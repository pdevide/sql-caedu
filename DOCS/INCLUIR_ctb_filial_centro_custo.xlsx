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QL\"/>
    </mc:Choice>
  </mc:AlternateContent>
  <bookViews>
    <workbookView xWindow="0" yWindow="0" windowWidth="20310" windowHeight="7950" activeTab="1"/>
  </bookViews>
  <sheets>
    <sheet name="Planilha3" sheetId="3" r:id="rId1"/>
    <sheet name="Planilha4" sheetId="4" r:id="rId2"/>
    <sheet name="Planilha1" sheetId="1" r:id="rId3"/>
    <sheet name="Planilha2" sheetId="2" r:id="rId4"/>
  </sheets>
  <definedNames>
    <definedName name="_xlnm._FilterDatabase" localSheetId="2" hidden="1">Planilha1!$A$1:$G$210</definedName>
  </definedNames>
  <calcPr calcId="171027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3" i="4"/>
  <c r="D34" i="4"/>
  <c r="D35" i="4"/>
  <c r="D36" i="4"/>
  <c r="D37" i="4"/>
  <c r="D38" i="4"/>
  <c r="D39" i="4"/>
  <c r="D2" i="4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4" i="3"/>
  <c r="E140" i="1"/>
  <c r="E172" i="1"/>
  <c r="E204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2" i="2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" i="1"/>
  <c r="E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" i="1"/>
</calcChain>
</file>

<file path=xl/sharedStrings.xml><?xml version="1.0" encoding="utf-8"?>
<sst xmlns="http://schemas.openxmlformats.org/spreadsheetml/2006/main" count="1310" uniqueCount="418">
  <si>
    <t>FILIAL</t>
  </si>
  <si>
    <t>RATEIO_CENTRO_CUSTO</t>
  </si>
  <si>
    <t>RATEIO_FILIAL</t>
  </si>
  <si>
    <t>QTD</t>
  </si>
  <si>
    <t xml:space="preserve">CD REGIS                 </t>
  </si>
  <si>
    <t xml:space="preserve">2.1.2          </t>
  </si>
  <si>
    <t xml:space="preserve">000067         </t>
  </si>
  <si>
    <t xml:space="preserve">JAÇANA                   </t>
  </si>
  <si>
    <t>003</t>
  </si>
  <si>
    <t>000027</t>
  </si>
  <si>
    <t xml:space="preserve">PIRASSUNUNGA             </t>
  </si>
  <si>
    <t>000084</t>
  </si>
  <si>
    <t xml:space="preserve">CARAGUATATUBA            </t>
  </si>
  <si>
    <t>000063</t>
  </si>
  <si>
    <t xml:space="preserve">ITAQUERA                 </t>
  </si>
  <si>
    <t xml:space="preserve">3.1.5          </t>
  </si>
  <si>
    <t xml:space="preserve">SUMARE                   </t>
  </si>
  <si>
    <t xml:space="preserve">000019         </t>
  </si>
  <si>
    <t xml:space="preserve">FRANCO DA ROCHA          </t>
  </si>
  <si>
    <t xml:space="preserve">000008         </t>
  </si>
  <si>
    <t xml:space="preserve">CD NAVEGANTES            </t>
  </si>
  <si>
    <t xml:space="preserve">6.1.1          </t>
  </si>
  <si>
    <t xml:space="preserve">000092         </t>
  </si>
  <si>
    <t xml:space="preserve">COTIA                    </t>
  </si>
  <si>
    <t xml:space="preserve">MOGI DAS CRUZES          </t>
  </si>
  <si>
    <t xml:space="preserve">CONTROLE DE QUALIDADE    </t>
  </si>
  <si>
    <t xml:space="preserve">2.1.5          </t>
  </si>
  <si>
    <t xml:space="preserve">2.1.4          </t>
  </si>
  <si>
    <t xml:space="preserve">CD IMPORTACAO            </t>
  </si>
  <si>
    <t xml:space="preserve">VARZEA PAULISTA          </t>
  </si>
  <si>
    <t xml:space="preserve">ITAPEVI                  </t>
  </si>
  <si>
    <t xml:space="preserve">VILA FORMOSA             </t>
  </si>
  <si>
    <t>000057</t>
  </si>
  <si>
    <t xml:space="preserve">2.1.3          </t>
  </si>
  <si>
    <t xml:space="preserve">VILA DIRCE               </t>
  </si>
  <si>
    <t xml:space="preserve">000062         </t>
  </si>
  <si>
    <t xml:space="preserve">MATRIZ                   </t>
  </si>
  <si>
    <t xml:space="preserve">003            </t>
  </si>
  <si>
    <t>999999</t>
  </si>
  <si>
    <t xml:space="preserve">CD ARAQUARI              </t>
  </si>
  <si>
    <t xml:space="preserve">000040         </t>
  </si>
  <si>
    <t xml:space="preserve">000095         </t>
  </si>
  <si>
    <t xml:space="preserve">POA                      </t>
  </si>
  <si>
    <t xml:space="preserve">000080         </t>
  </si>
  <si>
    <t xml:space="preserve">000010         </t>
  </si>
  <si>
    <t xml:space="preserve">AMOSTRA CD REGIS         </t>
  </si>
  <si>
    <t>000090</t>
  </si>
  <si>
    <t xml:space="preserve">CIDADE TIRADENTES        </t>
  </si>
  <si>
    <t xml:space="preserve">000056         </t>
  </si>
  <si>
    <t xml:space="preserve">BARUERI                  </t>
  </si>
  <si>
    <t xml:space="preserve">000046         </t>
  </si>
  <si>
    <t xml:space="preserve">000036         </t>
  </si>
  <si>
    <t xml:space="preserve">ITAPECERICA              </t>
  </si>
  <si>
    <t xml:space="preserve">SP - METRO CAPAO         </t>
  </si>
  <si>
    <t>000075</t>
  </si>
  <si>
    <t xml:space="preserve">2.1.6          </t>
  </si>
  <si>
    <t xml:space="preserve">CARAPICUIBA              </t>
  </si>
  <si>
    <t xml:space="preserve">000003         </t>
  </si>
  <si>
    <t xml:space="preserve">000045         </t>
  </si>
  <si>
    <t>000019</t>
  </si>
  <si>
    <t xml:space="preserve">HORTOLANDIA              </t>
  </si>
  <si>
    <t>000058</t>
  </si>
  <si>
    <t xml:space="preserve">CRUZEIRO                 </t>
  </si>
  <si>
    <t xml:space="preserve">000029         </t>
  </si>
  <si>
    <t xml:space="preserve">2.1.9          </t>
  </si>
  <si>
    <t xml:space="preserve">MAUA                     </t>
  </si>
  <si>
    <t>000015</t>
  </si>
  <si>
    <t xml:space="preserve">SP - CAPAO CENTRO        </t>
  </si>
  <si>
    <t xml:space="preserve">3.1.2          </t>
  </si>
  <si>
    <t>000079</t>
  </si>
  <si>
    <t xml:space="preserve">AMOSTRA PIRAJA           </t>
  </si>
  <si>
    <t xml:space="preserve">000091         </t>
  </si>
  <si>
    <t xml:space="preserve">000015         </t>
  </si>
  <si>
    <t xml:space="preserve">DIADEMA                  </t>
  </si>
  <si>
    <t xml:space="preserve">JARDIM IGUATEMI          </t>
  </si>
  <si>
    <t xml:space="preserve">NAVEGANTES CQ            </t>
  </si>
  <si>
    <t>000093</t>
  </si>
  <si>
    <t xml:space="preserve">SAO MATHEUS              </t>
  </si>
  <si>
    <t>000018</t>
  </si>
  <si>
    <t>000029</t>
  </si>
  <si>
    <t xml:space="preserve">000075         </t>
  </si>
  <si>
    <t xml:space="preserve">SP - GRAJAU              </t>
  </si>
  <si>
    <t xml:space="preserve">000082         </t>
  </si>
  <si>
    <t xml:space="preserve">FRANCISCO MORATO         </t>
  </si>
  <si>
    <t xml:space="preserve">2.1.8          </t>
  </si>
  <si>
    <t xml:space="preserve">000079         </t>
  </si>
  <si>
    <t xml:space="preserve">NOVO SP - ATACADO 2      </t>
  </si>
  <si>
    <t xml:space="preserve">5.5.3          </t>
  </si>
  <si>
    <t>000082</t>
  </si>
  <si>
    <t xml:space="preserve">JARDIM ANGELA            </t>
  </si>
  <si>
    <t xml:space="preserve">000060         </t>
  </si>
  <si>
    <t xml:space="preserve">000025         </t>
  </si>
  <si>
    <t>000095</t>
  </si>
  <si>
    <t xml:space="preserve">000093         </t>
  </si>
  <si>
    <t xml:space="preserve">FERRAZ                   </t>
  </si>
  <si>
    <t>000006</t>
  </si>
  <si>
    <t xml:space="preserve">SP - BRASILANDIA         </t>
  </si>
  <si>
    <t xml:space="preserve">000076         </t>
  </si>
  <si>
    <t xml:space="preserve">GUARATINGUETA            </t>
  </si>
  <si>
    <t xml:space="preserve">000009         </t>
  </si>
  <si>
    <t xml:space="preserve">ITAIM                    </t>
  </si>
  <si>
    <t>000035</t>
  </si>
  <si>
    <t xml:space="preserve">IPIRANGA                 </t>
  </si>
  <si>
    <t xml:space="preserve">3.1.4          </t>
  </si>
  <si>
    <t xml:space="preserve">000006         </t>
  </si>
  <si>
    <t xml:space="preserve">000035         </t>
  </si>
  <si>
    <t xml:space="preserve">REGISTRO                 </t>
  </si>
  <si>
    <t>000068</t>
  </si>
  <si>
    <t xml:space="preserve">2.1.7          </t>
  </si>
  <si>
    <t>000005</t>
  </si>
  <si>
    <t xml:space="preserve">ITU                      </t>
  </si>
  <si>
    <t xml:space="preserve">000071         </t>
  </si>
  <si>
    <t xml:space="preserve">000063         </t>
  </si>
  <si>
    <t>000009</t>
  </si>
  <si>
    <t>000012</t>
  </si>
  <si>
    <t xml:space="preserve">SP - PIRAPORINHA         </t>
  </si>
  <si>
    <t>000074</t>
  </si>
  <si>
    <t>000046</t>
  </si>
  <si>
    <t>000036</t>
  </si>
  <si>
    <t xml:space="preserve">SP - TUCURUVI            </t>
  </si>
  <si>
    <t>000081</t>
  </si>
  <si>
    <t>000055</t>
  </si>
  <si>
    <t xml:space="preserve">ITAQUA                   </t>
  </si>
  <si>
    <t>000011</t>
  </si>
  <si>
    <t>000004</t>
  </si>
  <si>
    <t xml:space="preserve">000084         </t>
  </si>
  <si>
    <t xml:space="preserve">PRAIA GRANDE             </t>
  </si>
  <si>
    <t>000091</t>
  </si>
  <si>
    <t xml:space="preserve">VICENTE DE CARVALHO      </t>
  </si>
  <si>
    <t xml:space="preserve">000028         </t>
  </si>
  <si>
    <t>000056</t>
  </si>
  <si>
    <t xml:space="preserve">000007         </t>
  </si>
  <si>
    <t xml:space="preserve">000065         </t>
  </si>
  <si>
    <t xml:space="preserve">CIDADE OCIAN             </t>
  </si>
  <si>
    <t>000059</t>
  </si>
  <si>
    <t>000080</t>
  </si>
  <si>
    <t xml:space="preserve">VILA DAS MERCES          </t>
  </si>
  <si>
    <t>000061</t>
  </si>
  <si>
    <t xml:space="preserve">MOGI GUACU               </t>
  </si>
  <si>
    <t>000072</t>
  </si>
  <si>
    <t xml:space="preserve">JARDIM ZAIRA             </t>
  </si>
  <si>
    <t>000067</t>
  </si>
  <si>
    <t xml:space="preserve">000064         </t>
  </si>
  <si>
    <t xml:space="preserve">000011         </t>
  </si>
  <si>
    <t>000060</t>
  </si>
  <si>
    <t xml:space="preserve">TAUBATE                  </t>
  </si>
  <si>
    <t>000020</t>
  </si>
  <si>
    <t xml:space="preserve">000061         </t>
  </si>
  <si>
    <t xml:space="preserve">000059         </t>
  </si>
  <si>
    <t>000007</t>
  </si>
  <si>
    <t>000062</t>
  </si>
  <si>
    <t xml:space="preserve">000027         </t>
  </si>
  <si>
    <t xml:space="preserve">INDAIATUBA               </t>
  </si>
  <si>
    <t>000030</t>
  </si>
  <si>
    <t xml:space="preserve">SP - ATACADO             </t>
  </si>
  <si>
    <t>000094</t>
  </si>
  <si>
    <t xml:space="preserve">000004         </t>
  </si>
  <si>
    <t xml:space="preserve">SAO BERNARDO             </t>
  </si>
  <si>
    <t xml:space="preserve">000042         </t>
  </si>
  <si>
    <t xml:space="preserve">2.1.1          </t>
  </si>
  <si>
    <t xml:space="preserve">000020         </t>
  </si>
  <si>
    <t>000026</t>
  </si>
  <si>
    <t>000071</t>
  </si>
  <si>
    <t xml:space="preserve">PINDAMONHANGABA          </t>
  </si>
  <si>
    <t xml:space="preserve">000023         </t>
  </si>
  <si>
    <t>000064</t>
  </si>
  <si>
    <t>000045</t>
  </si>
  <si>
    <t>000076</t>
  </si>
  <si>
    <t>000003</t>
  </si>
  <si>
    <t>000047</t>
  </si>
  <si>
    <t xml:space="preserve">JUNDIAI                  </t>
  </si>
  <si>
    <t xml:space="preserve">000014         </t>
  </si>
  <si>
    <t xml:space="preserve">000005         </t>
  </si>
  <si>
    <t>000028</t>
  </si>
  <si>
    <t xml:space="preserve">000033         </t>
  </si>
  <si>
    <t xml:space="preserve">000074         </t>
  </si>
  <si>
    <t>000023</t>
  </si>
  <si>
    <t xml:space="preserve">000058         </t>
  </si>
  <si>
    <t>000092</t>
  </si>
  <si>
    <t xml:space="preserve">000072         </t>
  </si>
  <si>
    <t xml:space="preserve">000055         </t>
  </si>
  <si>
    <t xml:space="preserve">000068         </t>
  </si>
  <si>
    <t xml:space="preserve">4.1.2          </t>
  </si>
  <si>
    <t>000025</t>
  </si>
  <si>
    <t xml:space="preserve">000018         </t>
  </si>
  <si>
    <t xml:space="preserve">000047         </t>
  </si>
  <si>
    <t>000042</t>
  </si>
  <si>
    <t xml:space="preserve">000026         </t>
  </si>
  <si>
    <t xml:space="preserve">000012         </t>
  </si>
  <si>
    <t xml:space="preserve">000030         </t>
  </si>
  <si>
    <t>000008</t>
  </si>
  <si>
    <t>000010</t>
  </si>
  <si>
    <t>000014</t>
  </si>
  <si>
    <t xml:space="preserve">000057         </t>
  </si>
  <si>
    <t>000065</t>
  </si>
  <si>
    <t>SQL</t>
  </si>
  <si>
    <t>CENTRO_CUSTO</t>
  </si>
  <si>
    <t>COD_FILIAL</t>
  </si>
  <si>
    <t>PORCENTAGEM</t>
  </si>
  <si>
    <t xml:space="preserve">002            </t>
  </si>
  <si>
    <t>000002</t>
  </si>
  <si>
    <t>0.000000</t>
  </si>
  <si>
    <t xml:space="preserve">009            </t>
  </si>
  <si>
    <t xml:space="preserve">011            </t>
  </si>
  <si>
    <t xml:space="preserve">012            </t>
  </si>
  <si>
    <t>000013</t>
  </si>
  <si>
    <t>000016</t>
  </si>
  <si>
    <t>000017</t>
  </si>
  <si>
    <t>000021</t>
  </si>
  <si>
    <t>000024</t>
  </si>
  <si>
    <t>000033</t>
  </si>
  <si>
    <t>000037</t>
  </si>
  <si>
    <t xml:space="preserve">11303          </t>
  </si>
  <si>
    <t>000039</t>
  </si>
  <si>
    <t>000043</t>
  </si>
  <si>
    <t>000044</t>
  </si>
  <si>
    <t>100.000000</t>
  </si>
  <si>
    <t xml:space="preserve">8.00000001     </t>
  </si>
  <si>
    <t>000077</t>
  </si>
  <si>
    <t xml:space="preserve">11101          </t>
  </si>
  <si>
    <t xml:space="preserve">11102          </t>
  </si>
  <si>
    <t xml:space="preserve">11103          </t>
  </si>
  <si>
    <t xml:space="preserve">11201          </t>
  </si>
  <si>
    <t xml:space="preserve">11203          </t>
  </si>
  <si>
    <t xml:space="preserve">11204          </t>
  </si>
  <si>
    <t xml:space="preserve">11205          </t>
  </si>
  <si>
    <t xml:space="preserve">11301          </t>
  </si>
  <si>
    <t xml:space="preserve">11401          </t>
  </si>
  <si>
    <t xml:space="preserve">11501          </t>
  </si>
  <si>
    <t xml:space="preserve">11502          </t>
  </si>
  <si>
    <t xml:space="preserve">11601          </t>
  </si>
  <si>
    <t>CHAVE</t>
  </si>
  <si>
    <t>PESQUISA</t>
  </si>
  <si>
    <t>Rótulos de Linha</t>
  </si>
  <si>
    <t>003|000003</t>
  </si>
  <si>
    <t>003|000004</t>
  </si>
  <si>
    <t>003|000005</t>
  </si>
  <si>
    <t>003|000006</t>
  </si>
  <si>
    <t>003|000007</t>
  </si>
  <si>
    <t>003|000008</t>
  </si>
  <si>
    <t>003|000009</t>
  </si>
  <si>
    <t>003|000010</t>
  </si>
  <si>
    <t>003|000011</t>
  </si>
  <si>
    <t>003|000012</t>
  </si>
  <si>
    <t>003|000014</t>
  </si>
  <si>
    <t>003|000015</t>
  </si>
  <si>
    <t>003|000018</t>
  </si>
  <si>
    <t>003|000019</t>
  </si>
  <si>
    <t>003|000020</t>
  </si>
  <si>
    <t>003|000023</t>
  </si>
  <si>
    <t>003|000025</t>
  </si>
  <si>
    <t>003|000026</t>
  </si>
  <si>
    <t>003|000027</t>
  </si>
  <si>
    <t>003|000028</t>
  </si>
  <si>
    <t>003|000029</t>
  </si>
  <si>
    <t>003|000030</t>
  </si>
  <si>
    <t>003|000035</t>
  </si>
  <si>
    <t>003|000036</t>
  </si>
  <si>
    <t>003|000042</t>
  </si>
  <si>
    <t>003|000045</t>
  </si>
  <si>
    <t>003|000046</t>
  </si>
  <si>
    <t>003|000047</t>
  </si>
  <si>
    <t>003|000055</t>
  </si>
  <si>
    <t>003|000056</t>
  </si>
  <si>
    <t>003|000057</t>
  </si>
  <si>
    <t>003|000058</t>
  </si>
  <si>
    <t>003|000059</t>
  </si>
  <si>
    <t>003|000060</t>
  </si>
  <si>
    <t>003|000061</t>
  </si>
  <si>
    <t>003|000062</t>
  </si>
  <si>
    <t>003|000063</t>
  </si>
  <si>
    <t>003|000064</t>
  </si>
  <si>
    <t>003|000065</t>
  </si>
  <si>
    <t>003|000067</t>
  </si>
  <si>
    <t>003|000068</t>
  </si>
  <si>
    <t>003|000071</t>
  </si>
  <si>
    <t>003|000072</t>
  </si>
  <si>
    <t>003|000074</t>
  </si>
  <si>
    <t>003|000075</t>
  </si>
  <si>
    <t>003|000076</t>
  </si>
  <si>
    <t>003|000079</t>
  </si>
  <si>
    <t>003|000080</t>
  </si>
  <si>
    <t>003|000081</t>
  </si>
  <si>
    <t>003|000082</t>
  </si>
  <si>
    <t>003|000084</t>
  </si>
  <si>
    <t>003|000090</t>
  </si>
  <si>
    <t>003|000091</t>
  </si>
  <si>
    <t>003|000092</t>
  </si>
  <si>
    <t>003|000093</t>
  </si>
  <si>
    <t>003|000094</t>
  </si>
  <si>
    <t>003|000095</t>
  </si>
  <si>
    <t>003|999999</t>
  </si>
  <si>
    <t>2.1.1|000067</t>
  </si>
  <si>
    <t>2.1.2|000067</t>
  </si>
  <si>
    <t>2.1.3|000004</t>
  </si>
  <si>
    <t>2.1.3|000010</t>
  </si>
  <si>
    <t>2.1.3|000040</t>
  </si>
  <si>
    <t>2.1.3|000045</t>
  </si>
  <si>
    <t>2.1.3|000067</t>
  </si>
  <si>
    <t>2.1.3|000092</t>
  </si>
  <si>
    <t>2.1.4|000040</t>
  </si>
  <si>
    <t>2.1.4|000045</t>
  </si>
  <si>
    <t>2.1.4|000062</t>
  </si>
  <si>
    <t>2.1.4|000064</t>
  </si>
  <si>
    <t>2.1.4|000067</t>
  </si>
  <si>
    <t>2.1.4|000091</t>
  </si>
  <si>
    <t>2.1.4|000092</t>
  </si>
  <si>
    <t>2.1.4|000093</t>
  </si>
  <si>
    <t>2.1.4|000095</t>
  </si>
  <si>
    <t>2.1.5|000040</t>
  </si>
  <si>
    <t>2.1.5|000045</t>
  </si>
  <si>
    <t>2.1.5|000067</t>
  </si>
  <si>
    <t>2.1.5|000092</t>
  </si>
  <si>
    <t>2.1.5|000095</t>
  </si>
  <si>
    <t>2.1.6|000009</t>
  </si>
  <si>
    <t>2.1.6|000010</t>
  </si>
  <si>
    <t>2.1.6|000040</t>
  </si>
  <si>
    <t>2.1.6|000045</t>
  </si>
  <si>
    <t>2.1.6|000067</t>
  </si>
  <si>
    <t>2.1.6|000092</t>
  </si>
  <si>
    <t>2.1.6|000093</t>
  </si>
  <si>
    <t>2.1.7|000067</t>
  </si>
  <si>
    <t>2.1.7|000092</t>
  </si>
  <si>
    <t>2.1.8|000033</t>
  </si>
  <si>
    <t>2.1.8|000045</t>
  </si>
  <si>
    <t>2.1.8|000067</t>
  </si>
  <si>
    <t>2.1.8|000092</t>
  </si>
  <si>
    <t>2.1.9|000045</t>
  </si>
  <si>
    <t>2.1.9|000067</t>
  </si>
  <si>
    <t>3.1.2|000020</t>
  </si>
  <si>
    <t>3.1.2|000067</t>
  </si>
  <si>
    <t>3.1.2|000079</t>
  </si>
  <si>
    <t>3.1.2|000091</t>
  </si>
  <si>
    <t>3.1.4|000067</t>
  </si>
  <si>
    <t>3.1.5|000003</t>
  </si>
  <si>
    <t>3.1.5|000004</t>
  </si>
  <si>
    <t>3.1.5|000005</t>
  </si>
  <si>
    <t>3.1.5|000006</t>
  </si>
  <si>
    <t>3.1.5|000007</t>
  </si>
  <si>
    <t>3.1.5|000008</t>
  </si>
  <si>
    <t>3.1.5|000009</t>
  </si>
  <si>
    <t>3.1.5|000010</t>
  </si>
  <si>
    <t>3.1.5|000011</t>
  </si>
  <si>
    <t>3.1.5|000012</t>
  </si>
  <si>
    <t>3.1.5|000014</t>
  </si>
  <si>
    <t>3.1.5|000015</t>
  </si>
  <si>
    <t>3.1.5|000018</t>
  </si>
  <si>
    <t>3.1.5|000019</t>
  </si>
  <si>
    <t>3.1.5|000020</t>
  </si>
  <si>
    <t>3.1.5|000023</t>
  </si>
  <si>
    <t>3.1.5|000025</t>
  </si>
  <si>
    <t>3.1.5|000026</t>
  </si>
  <si>
    <t>3.1.5|000027</t>
  </si>
  <si>
    <t>3.1.5|000028</t>
  </si>
  <si>
    <t>3.1.5|000029</t>
  </si>
  <si>
    <t>3.1.5|000030</t>
  </si>
  <si>
    <t>3.1.5|000035</t>
  </si>
  <si>
    <t>3.1.5|000036</t>
  </si>
  <si>
    <t>3.1.5|000042</t>
  </si>
  <si>
    <t>3.1.5|000046</t>
  </si>
  <si>
    <t>3.1.5|000047</t>
  </si>
  <si>
    <t>3.1.5|000055</t>
  </si>
  <si>
    <t>3.1.5|000056</t>
  </si>
  <si>
    <t>3.1.5|000057</t>
  </si>
  <si>
    <t>3.1.5|000058</t>
  </si>
  <si>
    <t>3.1.5|000059</t>
  </si>
  <si>
    <t>3.1.5|000060</t>
  </si>
  <si>
    <t>3.1.5|000061</t>
  </si>
  <si>
    <t>3.1.5|000062</t>
  </si>
  <si>
    <t>3.1.5|000063</t>
  </si>
  <si>
    <t>3.1.5|000064</t>
  </si>
  <si>
    <t>3.1.5|000065</t>
  </si>
  <si>
    <t>3.1.5|000067</t>
  </si>
  <si>
    <t>3.1.5|000068</t>
  </si>
  <si>
    <t>3.1.5|000071</t>
  </si>
  <si>
    <t>3.1.5|000072</t>
  </si>
  <si>
    <t>3.1.5|000074</t>
  </si>
  <si>
    <t>3.1.5|000075</t>
  </si>
  <si>
    <t>3.1.5|000076</t>
  </si>
  <si>
    <t>3.1.5|000079</t>
  </si>
  <si>
    <t>3.1.5|000080</t>
  </si>
  <si>
    <t>3.1.5|000082</t>
  </si>
  <si>
    <t>3.1.5|000084</t>
  </si>
  <si>
    <t>4.1.2|000055</t>
  </si>
  <si>
    <t>5.5.3|000067</t>
  </si>
  <si>
    <t>6.1.1|000067</t>
  </si>
  <si>
    <t>6.1.1|000092</t>
  </si>
  <si>
    <t>Total Geral</t>
  </si>
  <si>
    <t>Contagem de CHAVE</t>
  </si>
  <si>
    <t>467</t>
  </si>
  <si>
    <t>1</t>
  </si>
  <si>
    <t>2665</t>
  </si>
  <si>
    <t>2</t>
  </si>
  <si>
    <t xml:space="preserve">000090         </t>
  </si>
  <si>
    <t>24</t>
  </si>
  <si>
    <t>4392</t>
  </si>
  <si>
    <t>NULL</t>
  </si>
  <si>
    <t>5512</t>
  </si>
  <si>
    <t>1212</t>
  </si>
  <si>
    <t>5</t>
  </si>
  <si>
    <t>1489</t>
  </si>
  <si>
    <t>152</t>
  </si>
  <si>
    <t xml:space="preserve">006            </t>
  </si>
  <si>
    <t xml:space="preserve">000021         </t>
  </si>
  <si>
    <t>29</t>
  </si>
  <si>
    <t>834</t>
  </si>
  <si>
    <t>1599</t>
  </si>
  <si>
    <t>4</t>
  </si>
  <si>
    <t xml:space="preserve">000094         </t>
  </si>
  <si>
    <t>287</t>
  </si>
  <si>
    <t>105</t>
  </si>
  <si>
    <t>461</t>
  </si>
  <si>
    <t>1602</t>
  </si>
  <si>
    <t xml:space="preserve">1.1.1          </t>
  </si>
  <si>
    <t>2413</t>
  </si>
  <si>
    <t>3</t>
  </si>
  <si>
    <t>3587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</si>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</sst>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ulo Devide" refreshedDate="42877.609823726852" createdVersion="6" refreshedVersion="6" minRefreshableVersion="3" recordCount="209">
  <cacheSource type="worksheet">
    <worksheetSource ref="A1:G210" sheet="Planilha1"/>
  </cacheSource>
  <cacheFields count="7">
    <cacheField name="FILIAL" numFmtId="49">
      <sharedItems/>
    </cacheField>
    <cacheField name="RATEIO_CENTRO_CUSTO" numFmtId="49">
      <sharedItems/>
    </cacheField>
    <cacheField name="RATEIO_FILIAL" numFmtId="49">
      <sharedItems/>
    </cacheField>
    <cacheField name="CHAVE" numFmtId="0">
      <sharedItems count="153">
        <s v="2.1.2|000067"/>
        <s v="003|000027"/>
        <s v="003|000084"/>
        <s v="003|000063"/>
        <s v="3.1.5|000067"/>
        <s v="3.1.5|000019"/>
        <s v="3.1.5|000008"/>
        <s v="6.1.1|000092"/>
        <s v="2.1.5|000067"/>
        <s v="2.1.4|000092"/>
        <s v="2.1.4|000067"/>
        <s v="003|000057"/>
        <s v="2.1.3|000067"/>
        <s v="3.1.5|000062"/>
        <s v="003|999999"/>
        <s v="2.1.3|000040"/>
        <s v="2.1.5|000095"/>
        <s v="2.1.4|000062"/>
        <s v="3.1.5|000080"/>
        <s v="3.1.5|000010"/>
        <s v="003|000090"/>
        <s v="3.1.5|000056"/>
        <s v="3.1.5|000046"/>
        <s v="3.1.5|000036"/>
        <s v="003|000075"/>
        <s v="2.1.6|000067"/>
        <s v="3.1.5|000003"/>
        <s v="2.1.4|000045"/>
        <s v="003|000019"/>
        <s v="003|000058"/>
        <s v="3.1.5|000029"/>
        <s v="2.1.9|000067"/>
        <s v="003|000015"/>
        <s v="3.1.2|000079"/>
        <s v="2.1.4|000091"/>
        <s v="2.1.5|000040"/>
        <s v="3.1.5|000015"/>
        <s v="2.1.3|000092"/>
        <s v="2.1.4|000040"/>
        <s v="003|000093"/>
        <s v="003|000018"/>
        <s v="003|000029"/>
        <s v="3.1.5|000075"/>
        <s v="3.1.5|000082"/>
        <s v="2.1.8|000067"/>
        <s v="6.1.1|000067"/>
        <s v="3.1.5|000079"/>
        <s v="2.1.5|000045"/>
        <s v="5.5.3|000067"/>
        <s v="003|000082"/>
        <s v="2.1.6|000092"/>
        <s v="3.1.5|000060"/>
        <s v="3.1.5|000025"/>
        <s v="003|000095"/>
        <s v="2.1.6|000093"/>
        <s v="003|000006"/>
        <s v="3.1.5|000076"/>
        <s v="3.1.5|000009"/>
        <s v="003|000035"/>
        <s v="3.1.4|000067"/>
        <s v="3.1.5|000006"/>
        <s v="3.1.5|000035"/>
        <s v="003|000068"/>
        <s v="2.1.7|000092"/>
        <s v="003|000005"/>
        <s v="3.1.5|000071"/>
        <s v="3.1.5|000063"/>
        <s v="003|000009"/>
        <s v="003|000012"/>
        <s v="2.1.8|000045"/>
        <s v="003|000074"/>
        <s v="003|000046"/>
        <s v="003|000036"/>
        <s v="003|000081"/>
        <s v="003|000055"/>
        <s v="2.1.6|000010"/>
        <s v="003|000011"/>
        <s v="003|000004"/>
        <s v="3.1.5|000084"/>
        <s v="2.1.5|000092"/>
        <s v="2.1.7|000067"/>
        <s v="3.1.2|000091"/>
        <s v="2.1.3|000045"/>
        <s v="2.1.8|000092"/>
        <s v="3.1.5|000028"/>
        <s v="003|000056"/>
        <s v="3.1.5|000007"/>
        <s v="3.1.5|000065"/>
        <s v="003|000059"/>
        <s v="003|000080"/>
        <s v="003|000061"/>
        <s v="003|000072"/>
        <s v="3.1.2|000067"/>
        <s v="3.1.5|000064"/>
        <s v="3.1.5|000011"/>
        <s v="003|000060"/>
        <s v="003|000091"/>
        <s v="3.1.2|000020"/>
        <s v="2.1.6|000040"/>
        <s v="3.1.5|000061"/>
        <s v="3.1.5|000059"/>
        <s v="003|000007"/>
        <s v="2.1.3|000010"/>
        <s v="003|000062"/>
        <s v="3.1.5|000027"/>
        <s v="003|000020"/>
        <s v="003|000030"/>
        <s v="003|000094"/>
        <s v="3.1.5|000004"/>
        <s v="2.1.6|000009"/>
        <s v="2.1.4|000093"/>
        <s v="3.1.5|000042"/>
        <s v="2.1.1|000067"/>
        <s v="003|000079"/>
        <s v="3.1.5|000020"/>
        <s v="003|000026"/>
        <s v="003|000067"/>
        <s v="003|000071"/>
        <s v="2.1.4|000095"/>
        <s v="2.1.6|000045"/>
        <s v="3.1.5|000023"/>
        <s v="003|000064"/>
        <s v="003|000045"/>
        <s v="2.1.4|000064"/>
        <s v="2.1.3|000004"/>
        <s v="2.1.9|000045"/>
        <s v="003|000076"/>
        <s v="003|000003"/>
        <s v="003|000047"/>
        <s v="3.1.5|000014"/>
        <s v="3.1.5|000005"/>
        <s v="003|000028"/>
        <s v="2.1.8|000033"/>
        <s v="3.1.5|000074"/>
        <s v="003|000023"/>
        <s v="3.1.5|000058"/>
        <s v="003|000092"/>
        <s v="3.1.5|000072"/>
        <s v="3.1.5|000055"/>
        <s v="3.1.5|000068"/>
        <s v="4.1.2|000055"/>
        <s v="003|000025"/>
        <s v="3.1.5|000018"/>
        <s v="3.1.5|000047"/>
        <s v="003|000042"/>
        <s v="3.1.5|000026"/>
        <s v="3.1.5|000012"/>
        <s v="3.1.5|000030"/>
        <s v="003|000008"/>
        <s v="003|000010"/>
        <s v="003|000014"/>
        <s v="3.1.5|000057"/>
        <s v="003|000065"/>
      </sharedItems>
    </cacheField>
    <cacheField name="PESQUISA" numFmtId="0">
      <sharedItems/>
    </cacheField>
    <cacheField name="QTD" numFmtId="0">
      <sharedItems containsSemiMixedTypes="0" containsString="0" containsNumber="1" containsInteger="1" minValue="1" maxValue="53113"/>
    </cacheField>
    <cacheField name="SQ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9">
  <r>
    <s v="CD REGIS                 "/>
    <s v="2.1.2          "/>
    <s v="000067         "/>
    <x v="0"/>
    <e v="#N/A"/>
    <n v="1"/>
    <s v="INSERT INTO ctb_filial_centro_custo (CENTRO_CUSTO,COD_FILIAL,PORCENTAGEM) VALUES ('2.1.2', '000067',100)"/>
  </r>
  <r>
    <s v="JAÇANA                   "/>
    <s v="003"/>
    <s v="000027"/>
    <x v="1"/>
    <e v="#N/A"/>
    <n v="203"/>
    <s v="INSERT INTO ctb_filial_centro_custo (CENTRO_CUSTO,COD_FILIAL,PORCENTAGEM) VALUES ('003', '000027',100)"/>
  </r>
  <r>
    <s v="PIRASSUNUNGA             "/>
    <s v="003"/>
    <s v="000084"/>
    <x v="2"/>
    <e v="#N/A"/>
    <n v="136"/>
    <s v="INSERT INTO ctb_filial_centro_custo (CENTRO_CUSTO,COD_FILIAL,PORCENTAGEM) VALUES ('003', '000084',100)"/>
  </r>
  <r>
    <s v="CARAGUATATUBA            "/>
    <s v="003"/>
    <s v="000063"/>
    <x v="3"/>
    <e v="#N/A"/>
    <n v="152"/>
    <s v="INSERT INTO ctb_filial_centro_custo (CENTRO_CUSTO,COD_FILIAL,PORCENTAGEM) VALUES ('003', '000063',100)"/>
  </r>
  <r>
    <s v="ITAQUERA                 "/>
    <s v="3.1.5          "/>
    <s v="000067         "/>
    <x v="4"/>
    <e v="#N/A"/>
    <n v="2"/>
    <s v="INSERT INTO ctb_filial_centro_custo (CENTRO_CUSTO,COD_FILIAL,PORCENTAGEM) VALUES ('3.1.5', '000067',100)"/>
  </r>
  <r>
    <s v="SUMARE                   "/>
    <s v="3.1.5          "/>
    <s v="000019         "/>
    <x v="5"/>
    <e v="#N/A"/>
    <n v="26873"/>
    <s v="INSERT INTO ctb_filial_centro_custo (CENTRO_CUSTO,COD_FILIAL,PORCENTAGEM) VALUES ('3.1.5', '000019',100)"/>
  </r>
  <r>
    <s v="FRANCO DA ROCHA          "/>
    <s v="3.1.5          "/>
    <s v="000008         "/>
    <x v="6"/>
    <e v="#N/A"/>
    <n v="33746"/>
    <s v="INSERT INTO ctb_filial_centro_custo (CENTRO_CUSTO,COD_FILIAL,PORCENTAGEM) VALUES ('3.1.5', '000008',100)"/>
  </r>
  <r>
    <s v="CD NAVEGANTES            "/>
    <s v="6.1.1          "/>
    <s v="000092         "/>
    <x v="7"/>
    <e v="#N/A"/>
    <n v="1"/>
    <s v="INSERT INTO ctb_filial_centro_custo (CENTRO_CUSTO,COD_FILIAL,PORCENTAGEM) VALUES ('6.1.1', '000092',100)"/>
  </r>
  <r>
    <s v="COTIA                    "/>
    <s v="3.1.5          "/>
    <s v="000067         "/>
    <x v="4"/>
    <e v="#N/A"/>
    <n v="24"/>
    <s v="INSERT INTO ctb_filial_centro_custo (CENTRO_CUSTO,COD_FILIAL,PORCENTAGEM) VALUES ('3.1.5', '000067',100)"/>
  </r>
  <r>
    <s v="MOGI DAS CRUZES          "/>
    <s v="3.1.5          "/>
    <s v="000067         "/>
    <x v="4"/>
    <e v="#N/A"/>
    <n v="8"/>
    <s v="INSERT INTO ctb_filial_centro_custo (CENTRO_CUSTO,COD_FILIAL,PORCENTAGEM) VALUES ('3.1.5', '000067',100)"/>
  </r>
  <r>
    <s v="CONTROLE DE QUALIDADE    "/>
    <s v="2.1.5          "/>
    <s v="000067         "/>
    <x v="8"/>
    <e v="#N/A"/>
    <n v="6"/>
    <s v="INSERT INTO ctb_filial_centro_custo (CENTRO_CUSTO,COD_FILIAL,PORCENTAGEM) VALUES ('2.1.5', '000067',100)"/>
  </r>
  <r>
    <s v="CD NAVEGANTES            "/>
    <s v="2.1.4          "/>
    <s v="000092         "/>
    <x v="9"/>
    <e v="#N/A"/>
    <n v="1341"/>
    <s v="INSERT INTO ctb_filial_centro_custo (CENTRO_CUSTO,COD_FILIAL,PORCENTAGEM) VALUES ('2.1.4', '000092',100)"/>
  </r>
  <r>
    <s v="CD IMPORTACAO            "/>
    <s v="2.1.4          "/>
    <s v="000067         "/>
    <x v="10"/>
    <e v="#N/A"/>
    <n v="25"/>
    <s v="INSERT INTO ctb_filial_centro_custo (CENTRO_CUSTO,COD_FILIAL,PORCENTAGEM) VALUES ('2.1.4', '000067',100)"/>
  </r>
  <r>
    <s v="VARZEA PAULISTA          "/>
    <s v="3.1.5          "/>
    <s v="000067         "/>
    <x v="4"/>
    <e v="#N/A"/>
    <n v="14"/>
    <s v="INSERT INTO ctb_filial_centro_custo (CENTRO_CUSTO,COD_FILIAL,PORCENTAGEM) VALUES ('3.1.5', '000067',100)"/>
  </r>
  <r>
    <s v="ITAPEVI                  "/>
    <s v="3.1.5          "/>
    <s v="000067         "/>
    <x v="4"/>
    <e v="#N/A"/>
    <n v="5"/>
    <s v="INSERT INTO ctb_filial_centro_custo (CENTRO_CUSTO,COD_FILIAL,PORCENTAGEM) VALUES ('3.1.5', '000067',100)"/>
  </r>
  <r>
    <s v="VILA FORMOSA             "/>
    <s v="003"/>
    <s v="000057"/>
    <x v="11"/>
    <e v="#N/A"/>
    <n v="254"/>
    <s v="INSERT INTO ctb_filial_centro_custo (CENTRO_CUSTO,COD_FILIAL,PORCENTAGEM) VALUES ('003', '000057',100)"/>
  </r>
  <r>
    <s v="CD NAVEGANTES            "/>
    <s v="2.1.3          "/>
    <s v="000067         "/>
    <x v="12"/>
    <e v="#N/A"/>
    <n v="17"/>
    <s v="INSERT INTO ctb_filial_centro_custo (CENTRO_CUSTO,COD_FILIAL,PORCENTAGEM) VALUES ('2.1.3', '000067',100)"/>
  </r>
  <r>
    <s v="VILA DIRCE               "/>
    <s v="3.1.5          "/>
    <s v="000062         "/>
    <x v="13"/>
    <e v="#N/A"/>
    <n v="21092"/>
    <s v="INSERT INTO ctb_filial_centro_custo (CENTRO_CUSTO,COD_FILIAL,PORCENTAGEM) VALUES ('3.1.5', '000062',100)"/>
  </r>
  <r>
    <s v="MATRIZ                   "/>
    <s v="003            "/>
    <s v="999999"/>
    <x v="14"/>
    <e v="#N/A"/>
    <n v="3"/>
    <s v="INSERT INTO ctb_filial_centro_custo (CENTRO_CUSTO,COD_FILIAL,PORCENTAGEM) VALUES ('003', '999999',100)"/>
  </r>
  <r>
    <s v="CD ARAQUARI              "/>
    <s v="2.1.3          "/>
    <s v="000040         "/>
    <x v="15"/>
    <e v="#N/A"/>
    <n v="29"/>
    <s v="INSERT INTO ctb_filial_centro_custo (CENTRO_CUSTO,COD_FILIAL,PORCENTAGEM) VALUES ('2.1.3', '000040',100)"/>
  </r>
  <r>
    <s v="CD NAVEGANTES            "/>
    <s v="2.1.5          "/>
    <s v="000095         "/>
    <x v="16"/>
    <e v="#N/A"/>
    <n v="6"/>
    <s v="INSERT INTO ctb_filial_centro_custo (CENTRO_CUSTO,COD_FILIAL,PORCENTAGEM) VALUES ('2.1.5', '000095',100)"/>
  </r>
  <r>
    <s v="CD NAVEGANTES            "/>
    <s v="2.1.4          "/>
    <s v="000062         "/>
    <x v="17"/>
    <e v="#N/A"/>
    <n v="2"/>
    <s v="INSERT INTO ctb_filial_centro_custo (CENTRO_CUSTO,COD_FILIAL,PORCENTAGEM) VALUES ('2.1.4', '000062',100)"/>
  </r>
  <r>
    <s v="POA                      "/>
    <s v="3.1.5          "/>
    <s v="000080         "/>
    <x v="18"/>
    <e v="#N/A"/>
    <n v="17076"/>
    <s v="INSERT INTO ctb_filial_centro_custo (CENTRO_CUSTO,COD_FILIAL,PORCENTAGEM) VALUES ('3.1.5', '000080',100)"/>
  </r>
  <r>
    <s v="ITAPEVI                  "/>
    <s v="3.1.5          "/>
    <s v="000010         "/>
    <x v="19"/>
    <e v="#N/A"/>
    <n v="37101"/>
    <s v="INSERT INTO ctb_filial_centro_custo (CENTRO_CUSTO,COD_FILIAL,PORCENTAGEM) VALUES ('3.1.5', '000010',100)"/>
  </r>
  <r>
    <s v="AMOSTRA CD REGIS         "/>
    <s v="003            "/>
    <s v="000090"/>
    <x v="20"/>
    <e v="#N/A"/>
    <n v="30"/>
    <s v="INSERT INTO ctb_filial_centro_custo (CENTRO_CUSTO,COD_FILIAL,PORCENTAGEM) VALUES ('003', '000090',100)"/>
  </r>
  <r>
    <s v="CIDADE TIRADENTES        "/>
    <s v="3.1.5          "/>
    <s v="000056         "/>
    <x v="21"/>
    <e v="#N/A"/>
    <n v="22307"/>
    <s v="INSERT INTO ctb_filial_centro_custo (CENTRO_CUSTO,COD_FILIAL,PORCENTAGEM) VALUES ('3.1.5', '000056',100)"/>
  </r>
  <r>
    <s v="CD REGIS                 "/>
    <s v="2.1.4          "/>
    <s v="000092         "/>
    <x v="9"/>
    <e v="#N/A"/>
    <n v="20"/>
    <s v="INSERT INTO ctb_filial_centro_custo (CENTRO_CUSTO,COD_FILIAL,PORCENTAGEM) VALUES ('2.1.4', '000092',100)"/>
  </r>
  <r>
    <s v="CD ARAQUARI              "/>
    <s v="2.1.4          "/>
    <s v="000067         "/>
    <x v="10"/>
    <e v="#N/A"/>
    <n v="3"/>
    <s v="INSERT INTO ctb_filial_centro_custo (CENTRO_CUSTO,COD_FILIAL,PORCENTAGEM) VALUES ('2.1.4', '000067',100)"/>
  </r>
  <r>
    <s v="BARUERI                  "/>
    <s v="3.1.5          "/>
    <s v="000046         "/>
    <x v="22"/>
    <e v="#N/A"/>
    <n v="20352"/>
    <s v="INSERT INTO ctb_filial_centro_custo (CENTRO_CUSTO,COD_FILIAL,PORCENTAGEM) VALUES ('3.1.5', '000046',100)"/>
  </r>
  <r>
    <s v="MOGI DAS CRUZES          "/>
    <s v="3.1.5          "/>
    <s v="000036         "/>
    <x v="23"/>
    <e v="#N/A"/>
    <n v="21635"/>
    <s v="INSERT INTO ctb_filial_centro_custo (CENTRO_CUSTO,COD_FILIAL,PORCENTAGEM) VALUES ('3.1.5', '000036',100)"/>
  </r>
  <r>
    <s v="ITAPECERICA              "/>
    <s v="3.1.5          "/>
    <s v="000067         "/>
    <x v="4"/>
    <e v="#N/A"/>
    <n v="12"/>
    <s v="INSERT INTO ctb_filial_centro_custo (CENTRO_CUSTO,COD_FILIAL,PORCENTAGEM) VALUES ('3.1.5', '000067',100)"/>
  </r>
  <r>
    <s v="SP - METRO CAPAO         "/>
    <s v="003"/>
    <s v="000075"/>
    <x v="24"/>
    <e v="#N/A"/>
    <n v="272"/>
    <s v="INSERT INTO ctb_filial_centro_custo (CENTRO_CUSTO,COD_FILIAL,PORCENTAGEM) VALUES ('003', '000075',100)"/>
  </r>
  <r>
    <s v="CD NAVEGANTES            "/>
    <s v="2.1.6          "/>
    <s v="000067         "/>
    <x v="25"/>
    <e v="#N/A"/>
    <n v="27"/>
    <s v="INSERT INTO ctb_filial_centro_custo (CENTRO_CUSTO,COD_FILIAL,PORCENTAGEM) VALUES ('2.1.6', '000067',100)"/>
  </r>
  <r>
    <s v="CARAPICUIBA              "/>
    <s v="3.1.5          "/>
    <s v="000003         "/>
    <x v="26"/>
    <e v="#N/A"/>
    <n v="33034"/>
    <s v="INSERT INTO ctb_filial_centro_custo (CENTRO_CUSTO,COD_FILIAL,PORCENTAGEM) VALUES ('3.1.5', '000003',100)"/>
  </r>
  <r>
    <s v="CONTROLE DE QUALIDADE    "/>
    <s v="2.1.4          "/>
    <s v="000045         "/>
    <x v="27"/>
    <e v="#N/A"/>
    <n v="591"/>
    <s v="INSERT INTO ctb_filial_centro_custo (CENTRO_CUSTO,COD_FILIAL,PORCENTAGEM) VALUES ('2.1.4', '000045',100)"/>
  </r>
  <r>
    <s v="SUMARE                   "/>
    <s v="003"/>
    <s v="000019"/>
    <x v="28"/>
    <e v="#N/A"/>
    <n v="249"/>
    <s v="INSERT INTO ctb_filial_centro_custo (CENTRO_CUSTO,COD_FILIAL,PORCENTAGEM) VALUES ('003', '000019',100)"/>
  </r>
  <r>
    <s v="HORTOLANDIA              "/>
    <s v="003"/>
    <s v="000058"/>
    <x v="29"/>
    <e v="#N/A"/>
    <n v="239"/>
    <s v="INSERT INTO ctb_filial_centro_custo (CENTRO_CUSTO,COD_FILIAL,PORCENTAGEM) VALUES ('003', '000058',100)"/>
  </r>
  <r>
    <s v="CRUZEIRO                 "/>
    <s v="3.1.5          "/>
    <s v="000029         "/>
    <x v="30"/>
    <e v="#N/A"/>
    <n v="16750"/>
    <s v="INSERT INTO ctb_filial_centro_custo (CENTRO_CUSTO,COD_FILIAL,PORCENTAGEM) VALUES ('3.1.5', '000029',100)"/>
  </r>
  <r>
    <s v="CD REGIS                 "/>
    <s v="2.1.9          "/>
    <s v="000067         "/>
    <x v="31"/>
    <e v="#N/A"/>
    <n v="66"/>
    <s v="INSERT INTO ctb_filial_centro_custo (CENTRO_CUSTO,COD_FILIAL,PORCENTAGEM) VALUES ('2.1.9', '000067',100)"/>
  </r>
  <r>
    <s v="MAUA                     "/>
    <s v="003"/>
    <s v="000015"/>
    <x v="32"/>
    <e v="#N/A"/>
    <n v="294"/>
    <s v="INSERT INTO ctb_filial_centro_custo (CENTRO_CUSTO,COD_FILIAL,PORCENTAGEM) VALUES ('003', '000015',100)"/>
  </r>
  <r>
    <s v="SP - CAPAO CENTRO        "/>
    <s v="3.1.2          "/>
    <s v="000079"/>
    <x v="33"/>
    <e v="#N/A"/>
    <n v="1"/>
    <s v="INSERT INTO ctb_filial_centro_custo (CENTRO_CUSTO,COD_FILIAL,PORCENTAGEM) VALUES ('3.1.2', '000079',100)"/>
  </r>
  <r>
    <s v="AMOSTRA PIRAJA           "/>
    <s v="2.1.4          "/>
    <s v="000091         "/>
    <x v="34"/>
    <e v="#N/A"/>
    <n v="1"/>
    <s v="INSERT INTO ctb_filial_centro_custo (CENTRO_CUSTO,COD_FILIAL,PORCENTAGEM) VALUES ('2.1.4', '000091',100)"/>
  </r>
  <r>
    <s v="CD NAVEGANTES            "/>
    <s v="2.1.5          "/>
    <s v="000040         "/>
    <x v="35"/>
    <e v="#N/A"/>
    <n v="20"/>
    <s v="INSERT INTO ctb_filial_centro_custo (CENTRO_CUSTO,COD_FILIAL,PORCENTAGEM) VALUES ('2.1.5', '000040',100)"/>
  </r>
  <r>
    <s v="MAUA                     "/>
    <s v="3.1.5          "/>
    <s v="000015         "/>
    <x v="36"/>
    <e v="#N/A"/>
    <n v="53113"/>
    <s v="INSERT INTO ctb_filial_centro_custo (CENTRO_CUSTO,COD_FILIAL,PORCENTAGEM) VALUES ('3.1.5', '000015',100)"/>
  </r>
  <r>
    <s v="CD REGIS                 "/>
    <s v="2.1.3          "/>
    <s v="000092         "/>
    <x v="37"/>
    <e v="#N/A"/>
    <n v="19"/>
    <s v="INSERT INTO ctb_filial_centro_custo (CENTRO_CUSTO,COD_FILIAL,PORCENTAGEM) VALUES ('2.1.3', '000092',100)"/>
  </r>
  <r>
    <s v="CD ARAQUARI              "/>
    <s v="2.1.4          "/>
    <s v="000040         "/>
    <x v="38"/>
    <e v="#N/A"/>
    <n v="7"/>
    <s v="INSERT INTO ctb_filial_centro_custo (CENTRO_CUSTO,COD_FILIAL,PORCENTAGEM) VALUES ('2.1.4', '000040',100)"/>
  </r>
  <r>
    <s v="CONTROLE DE QUALIDADE    "/>
    <s v="2.1.3          "/>
    <s v="000067         "/>
    <x v="12"/>
    <e v="#N/A"/>
    <n v="8"/>
    <s v="INSERT INTO ctb_filial_centro_custo (CENTRO_CUSTO,COD_FILIAL,PORCENTAGEM) VALUES ('2.1.3', '000067',100)"/>
  </r>
  <r>
    <s v="DIADEMA                  "/>
    <s v="3.1.5          "/>
    <s v="000067         "/>
    <x v="4"/>
    <e v="#N/A"/>
    <n v="1"/>
    <s v="INSERT INTO ctb_filial_centro_custo (CENTRO_CUSTO,COD_FILIAL,PORCENTAGEM) VALUES ('3.1.5', '000067',100)"/>
  </r>
  <r>
    <s v="JARDIM IGUATEMI          "/>
    <s v="3.1.5          "/>
    <s v="000067         "/>
    <x v="4"/>
    <e v="#N/A"/>
    <n v="7"/>
    <s v="INSERT INTO ctb_filial_centro_custo (CENTRO_CUSTO,COD_FILIAL,PORCENTAGEM) VALUES ('3.1.5', '000067',100)"/>
  </r>
  <r>
    <s v="NAVEGANTES CQ            "/>
    <s v="003            "/>
    <s v="000093"/>
    <x v="39"/>
    <e v="#N/A"/>
    <n v="62"/>
    <s v="INSERT INTO ctb_filial_centro_custo (CENTRO_CUSTO,COD_FILIAL,PORCENTAGEM) VALUES ('003', '000093',100)"/>
  </r>
  <r>
    <s v="SAO MATHEUS              "/>
    <s v="003            "/>
    <s v="000018"/>
    <x v="40"/>
    <e v="#N/A"/>
    <n v="309"/>
    <s v="INSERT INTO ctb_filial_centro_custo (CENTRO_CUSTO,COD_FILIAL,PORCENTAGEM) VALUES ('003', '000018',100)"/>
  </r>
  <r>
    <s v="CRUZEIRO                 "/>
    <s v="003"/>
    <s v="000029"/>
    <x v="41"/>
    <e v="#N/A"/>
    <n v="238"/>
    <s v="INSERT INTO ctb_filial_centro_custo (CENTRO_CUSTO,COD_FILIAL,PORCENTAGEM) VALUES ('003', '000029',100)"/>
  </r>
  <r>
    <s v="SP - METRO CAPAO         "/>
    <s v="3.1.5          "/>
    <s v="000075         "/>
    <x v="42"/>
    <e v="#N/A"/>
    <n v="19243"/>
    <s v="INSERT INTO ctb_filial_centro_custo (CENTRO_CUSTO,COD_FILIAL,PORCENTAGEM) VALUES ('3.1.5', '000075',100)"/>
  </r>
  <r>
    <s v="SP - GRAJAU              "/>
    <s v="3.1.5          "/>
    <s v="000082         "/>
    <x v="43"/>
    <e v="#N/A"/>
    <n v="15285"/>
    <s v="INSERT INTO ctb_filial_centro_custo (CENTRO_CUSTO,COD_FILIAL,PORCENTAGEM) VALUES ('3.1.5', '000082',100)"/>
  </r>
  <r>
    <s v="FRANCISCO MORATO         "/>
    <s v="3.1.5          "/>
    <s v="000067         "/>
    <x v="4"/>
    <e v="#N/A"/>
    <n v="6"/>
    <s v="INSERT INTO ctb_filial_centro_custo (CENTRO_CUSTO,COD_FILIAL,PORCENTAGEM) VALUES ('3.1.5', '000067',100)"/>
  </r>
  <r>
    <s v="CD REGIS                 "/>
    <s v="2.1.8          "/>
    <s v="000067         "/>
    <x v="44"/>
    <e v="#N/A"/>
    <n v="1079"/>
    <s v="INSERT INTO ctb_filial_centro_custo (CENTRO_CUSTO,COD_FILIAL,PORCENTAGEM) VALUES ('2.1.8', '000067',100)"/>
  </r>
  <r>
    <s v="CD REGIS                 "/>
    <s v="6.1.1          "/>
    <s v="000067         "/>
    <x v="45"/>
    <e v="#N/A"/>
    <n v="1"/>
    <s v="INSERT INTO ctb_filial_centro_custo (CENTRO_CUSTO,COD_FILIAL,PORCENTAGEM) VALUES ('6.1.1', '000067',100)"/>
  </r>
  <r>
    <s v="SP - CAPAO CENTRO        "/>
    <s v="3.1.5          "/>
    <s v="000079         "/>
    <x v="46"/>
    <e v="#N/A"/>
    <n v="15433"/>
    <s v="INSERT INTO ctb_filial_centro_custo (CENTRO_CUSTO,COD_FILIAL,PORCENTAGEM) VALUES ('3.1.5', '000079',100)"/>
  </r>
  <r>
    <s v="MATRIZ                   "/>
    <s v="2.1.6          "/>
    <s v="000067         "/>
    <x v="25"/>
    <e v="#N/A"/>
    <n v="62"/>
    <s v="INSERT INTO ctb_filial_centro_custo (CENTRO_CUSTO,COD_FILIAL,PORCENTAGEM) VALUES ('2.1.6', '000067',100)"/>
  </r>
  <r>
    <s v="CONTROLE DE QUALIDADE    "/>
    <s v="2.1.5          "/>
    <s v="000045         "/>
    <x v="47"/>
    <e v="#N/A"/>
    <n v="1171"/>
    <s v="INSERT INTO ctb_filial_centro_custo (CENTRO_CUSTO,COD_FILIAL,PORCENTAGEM) VALUES ('2.1.5', '000045',100)"/>
  </r>
  <r>
    <s v="NOVO SP - ATACADO 2      "/>
    <s v="2.1.3          "/>
    <s v="000067         "/>
    <x v="12"/>
    <e v="#N/A"/>
    <n v="3"/>
    <s v="INSERT INTO ctb_filial_centro_custo (CENTRO_CUSTO,COD_FILIAL,PORCENTAGEM) VALUES ('2.1.3', '000067',100)"/>
  </r>
  <r>
    <s v="CD REGIS                 "/>
    <s v="5.5.3          "/>
    <s v="000067         "/>
    <x v="48"/>
    <e v="#N/A"/>
    <n v="40"/>
    <s v="INSERT INTO ctb_filial_centro_custo (CENTRO_CUSTO,COD_FILIAL,PORCENTAGEM) VALUES ('5.5.3', '000067',100)"/>
  </r>
  <r>
    <s v="SP - GRAJAU              "/>
    <s v="003"/>
    <s v="000082"/>
    <x v="49"/>
    <e v="#N/A"/>
    <n v="248"/>
    <s v="INSERT INTO ctb_filial_centro_custo (CENTRO_CUSTO,COD_FILIAL,PORCENTAGEM) VALUES ('003', '000082',100)"/>
  </r>
  <r>
    <s v="CD REGIS                 "/>
    <s v="2.1.6          "/>
    <s v="000092         "/>
    <x v="50"/>
    <e v="#N/A"/>
    <n v="15"/>
    <s v="INSERT INTO ctb_filial_centro_custo (CENTRO_CUSTO,COD_FILIAL,PORCENTAGEM) VALUES ('2.1.6', '000092',100)"/>
  </r>
  <r>
    <s v="JARDIM ANGELA            "/>
    <s v="3.1.5          "/>
    <s v="000060         "/>
    <x v="51"/>
    <e v="#N/A"/>
    <n v="16726"/>
    <s v="INSERT INTO ctb_filial_centro_custo (CENTRO_CUSTO,COD_FILIAL,PORCENTAGEM) VALUES ('3.1.5', '000060',100)"/>
  </r>
  <r>
    <s v="CONTROLE DE QUALIDADE    "/>
    <s v="2.1.6          "/>
    <s v="000067         "/>
    <x v="25"/>
    <e v="#N/A"/>
    <n v="3"/>
    <s v="INSERT INTO ctb_filial_centro_custo (CENTRO_CUSTO,COD_FILIAL,PORCENTAGEM) VALUES ('2.1.6', '000067',100)"/>
  </r>
  <r>
    <s v="ITAPECERICA              "/>
    <s v="3.1.5          "/>
    <s v="000025         "/>
    <x v="52"/>
    <e v="#N/A"/>
    <n v="17875"/>
    <s v="INSERT INTO ctb_filial_centro_custo (CENTRO_CUSTO,COD_FILIAL,PORCENTAGEM) VALUES ('3.1.5', '000025',100)"/>
  </r>
  <r>
    <s v="NOVO SP - ATACADO 2      "/>
    <s v="003            "/>
    <s v="000095"/>
    <x v="53"/>
    <e v="#N/A"/>
    <n v="23"/>
    <s v="INSERT INTO ctb_filial_centro_custo (CENTRO_CUSTO,COD_FILIAL,PORCENTAGEM) VALUES ('003', '000095',100)"/>
  </r>
  <r>
    <s v="CD NAVEGANTES            "/>
    <s v="2.1.6          "/>
    <s v="000093         "/>
    <x v="54"/>
    <e v="#N/A"/>
    <n v="1"/>
    <s v="INSERT INTO ctb_filial_centro_custo (CENTRO_CUSTO,COD_FILIAL,PORCENTAGEM) VALUES ('2.1.6', '000093',100)"/>
  </r>
  <r>
    <s v="FERRAZ                   "/>
    <s v="003"/>
    <s v="000006"/>
    <x v="55"/>
    <e v="#N/A"/>
    <n v="234"/>
    <s v="INSERT INTO ctb_filial_centro_custo (CENTRO_CUSTO,COD_FILIAL,PORCENTAGEM) VALUES ('003', '000006',100)"/>
  </r>
  <r>
    <s v="SP - BRASILANDIA         "/>
    <s v="3.1.5          "/>
    <s v="000076         "/>
    <x v="56"/>
    <e v="#N/A"/>
    <n v="21820"/>
    <s v="INSERT INTO ctb_filial_centro_custo (CENTRO_CUSTO,COD_FILIAL,PORCENTAGEM) VALUES ('3.1.5', '000076',100)"/>
  </r>
  <r>
    <s v="CD NAVEGANTES            "/>
    <s v="2.1.5          "/>
    <s v="000067         "/>
    <x v="8"/>
    <e v="#N/A"/>
    <n v="34"/>
    <s v="INSERT INTO ctb_filial_centro_custo (CENTRO_CUSTO,COD_FILIAL,PORCENTAGEM) VALUES ('2.1.5', '000067',100)"/>
  </r>
  <r>
    <s v="GUARATINGUETA            "/>
    <s v="3.1.5          "/>
    <s v="000009         "/>
    <x v="57"/>
    <e v="#N/A"/>
    <n v="24678"/>
    <s v="INSERT INTO ctb_filial_centro_custo (CENTRO_CUSTO,COD_FILIAL,PORCENTAGEM) VALUES ('3.1.5', '000009',100)"/>
  </r>
  <r>
    <s v="SP - METRO CAPAO         "/>
    <s v="3.1.5          "/>
    <s v="000067         "/>
    <x v="4"/>
    <e v="#N/A"/>
    <n v="14"/>
    <s v="INSERT INTO ctb_filial_centro_custo (CENTRO_CUSTO,COD_FILIAL,PORCENTAGEM) VALUES ('3.1.5', '000067',100)"/>
  </r>
  <r>
    <s v="ITAIM                    "/>
    <s v="003"/>
    <s v="000035"/>
    <x v="58"/>
    <e v="#N/A"/>
    <n v="252"/>
    <s v="INSERT INTO ctb_filial_centro_custo (CENTRO_CUSTO,COD_FILIAL,PORCENTAGEM) VALUES ('003', '000035',100)"/>
  </r>
  <r>
    <s v="ITAIM                    "/>
    <s v="3.1.5          "/>
    <s v="000067         "/>
    <x v="4"/>
    <e v="#N/A"/>
    <n v="14"/>
    <s v="INSERT INTO ctb_filial_centro_custo (CENTRO_CUSTO,COD_FILIAL,PORCENTAGEM) VALUES ('3.1.5', '000067',100)"/>
  </r>
  <r>
    <s v="IPIRANGA                 "/>
    <s v="3.1.4          "/>
    <s v="000067         "/>
    <x v="59"/>
    <e v="#N/A"/>
    <n v="1"/>
    <s v="INSERT INTO ctb_filial_centro_custo (CENTRO_CUSTO,COD_FILIAL,PORCENTAGEM) VALUES ('3.1.4', '000067',100)"/>
  </r>
  <r>
    <s v="FERRAZ                   "/>
    <s v="3.1.5          "/>
    <s v="000006         "/>
    <x v="60"/>
    <e v="#N/A"/>
    <n v="29065"/>
    <s v="INSERT INTO ctb_filial_centro_custo (CENTRO_CUSTO,COD_FILIAL,PORCENTAGEM) VALUES ('3.1.5', '000006',100)"/>
  </r>
  <r>
    <s v="JARDIM ANGELA            "/>
    <s v="3.1.5          "/>
    <s v="000067         "/>
    <x v="4"/>
    <e v="#N/A"/>
    <n v="1"/>
    <s v="INSERT INTO ctb_filial_centro_custo (CENTRO_CUSTO,COD_FILIAL,PORCENTAGEM) VALUES ('3.1.5', '000067',100)"/>
  </r>
  <r>
    <s v="ITAIM                    "/>
    <s v="3.1.5          "/>
    <s v="000035         "/>
    <x v="61"/>
    <e v="#N/A"/>
    <n v="23880"/>
    <s v="INSERT INTO ctb_filial_centro_custo (CENTRO_CUSTO,COD_FILIAL,PORCENTAGEM) VALUES ('3.1.5', '000035',100)"/>
  </r>
  <r>
    <s v="REGISTRO                 "/>
    <s v="3.1.5          "/>
    <s v="000067         "/>
    <x v="4"/>
    <e v="#N/A"/>
    <n v="3"/>
    <s v="INSERT INTO ctb_filial_centro_custo (CENTRO_CUSTO,COD_FILIAL,PORCENTAGEM) VALUES ('3.1.5', '000067',100)"/>
  </r>
  <r>
    <s v="JARDIM IGUATEMI          "/>
    <s v="003"/>
    <s v="000068"/>
    <x v="62"/>
    <e v="#N/A"/>
    <n v="223"/>
    <s v="INSERT INTO ctb_filial_centro_custo (CENTRO_CUSTO,COD_FILIAL,PORCENTAGEM) VALUES ('003', '000068',100)"/>
  </r>
  <r>
    <s v="CD NAVEGANTES            "/>
    <s v="2.1.7          "/>
    <s v="000092         "/>
    <x v="63"/>
    <e v="#N/A"/>
    <n v="28"/>
    <s v="INSERT INTO ctb_filial_centro_custo (CENTRO_CUSTO,COD_FILIAL,PORCENTAGEM) VALUES ('2.1.7', '000092',100)"/>
  </r>
  <r>
    <s v="DIADEMA                  "/>
    <s v="003"/>
    <s v="000005"/>
    <x v="64"/>
    <e v="#N/A"/>
    <n v="241"/>
    <s v="INSERT INTO ctb_filial_centro_custo (CENTRO_CUSTO,COD_FILIAL,PORCENTAGEM) VALUES ('003', '000005',100)"/>
  </r>
  <r>
    <s v="CD REGIS                 "/>
    <s v="2.1.5          "/>
    <s v="000067         "/>
    <x v="8"/>
    <e v="#N/A"/>
    <n v="1218"/>
    <s v="INSERT INTO ctb_filial_centro_custo (CENTRO_CUSTO,COD_FILIAL,PORCENTAGEM) VALUES ('2.1.5', '000067',100)"/>
  </r>
  <r>
    <s v="ITU                      "/>
    <s v="3.1.5          "/>
    <s v="000071         "/>
    <x v="65"/>
    <e v="#N/A"/>
    <n v="12739"/>
    <s v="INSERT INTO ctb_filial_centro_custo (CENTRO_CUSTO,COD_FILIAL,PORCENTAGEM) VALUES ('3.1.5', '000071',100)"/>
  </r>
  <r>
    <s v="CARAGUATATUBA            "/>
    <s v="3.1.5          "/>
    <s v="000063         "/>
    <x v="66"/>
    <e v="#N/A"/>
    <n v="12308"/>
    <s v="INSERT INTO ctb_filial_centro_custo (CENTRO_CUSTO,COD_FILIAL,PORCENTAGEM) VALUES ('3.1.5', '000063',100)"/>
  </r>
  <r>
    <s v="GUARATINGUETA            "/>
    <s v="003"/>
    <s v="000009"/>
    <x v="67"/>
    <e v="#N/A"/>
    <n v="234"/>
    <s v="INSERT INTO ctb_filial_centro_custo (CENTRO_CUSTO,COD_FILIAL,PORCENTAGEM) VALUES ('003', '000009',100)"/>
  </r>
  <r>
    <s v="ITAQUERA                 "/>
    <s v="003"/>
    <s v="000012"/>
    <x v="68"/>
    <e v="#N/A"/>
    <n v="272"/>
    <s v="INSERT INTO ctb_filial_centro_custo (CENTRO_CUSTO,COD_FILIAL,PORCENTAGEM) VALUES ('003', '000012',100)"/>
  </r>
  <r>
    <s v="CONTROLE DE QUALIDADE    "/>
    <s v="2.1.8          "/>
    <s v="000045         "/>
    <x v="69"/>
    <e v="#N/A"/>
    <n v="219"/>
    <s v="INSERT INTO ctb_filial_centro_custo (CENTRO_CUSTO,COD_FILIAL,PORCENTAGEM) VALUES ('2.1.8', '000045',100)"/>
  </r>
  <r>
    <s v="NOVO SP - ATACADO 2      "/>
    <s v="2.1.6          "/>
    <s v="000067         "/>
    <x v="25"/>
    <e v="#N/A"/>
    <n v="1"/>
    <s v="INSERT INTO ctb_filial_centro_custo (CENTRO_CUSTO,COD_FILIAL,PORCENTAGEM) VALUES ('2.1.6', '000067',100)"/>
  </r>
  <r>
    <s v="SP - PIRAPORINHA         "/>
    <s v="003"/>
    <s v="000074"/>
    <x v="70"/>
    <e v="#N/A"/>
    <n v="272"/>
    <s v="INSERT INTO ctb_filial_centro_custo (CENTRO_CUSTO,COD_FILIAL,PORCENTAGEM) VALUES ('003', '000074',100)"/>
  </r>
  <r>
    <s v="BARUERI                  "/>
    <s v="003"/>
    <s v="000046"/>
    <x v="71"/>
    <e v="#N/A"/>
    <n v="253"/>
    <s v="INSERT INTO ctb_filial_centro_custo (CENTRO_CUSTO,COD_FILIAL,PORCENTAGEM) VALUES ('003', '000046',100)"/>
  </r>
  <r>
    <s v="BARUERI                  "/>
    <s v="3.1.5          "/>
    <s v="000067         "/>
    <x v="4"/>
    <e v="#N/A"/>
    <n v="3"/>
    <s v="INSERT INTO ctb_filial_centro_custo (CENTRO_CUSTO,COD_FILIAL,PORCENTAGEM) VALUES ('3.1.5', '000067',100)"/>
  </r>
  <r>
    <s v="MOGI DAS CRUZES          "/>
    <s v="003"/>
    <s v="000036"/>
    <x v="72"/>
    <e v="#N/A"/>
    <n v="226"/>
    <s v="INSERT INTO ctb_filial_centro_custo (CENTRO_CUSTO,COD_FILIAL,PORCENTAGEM) VALUES ('003', '000036',100)"/>
  </r>
  <r>
    <s v="SP - TUCURUVI            "/>
    <s v="003"/>
    <s v="000081"/>
    <x v="73"/>
    <e v="#N/A"/>
    <n v="253"/>
    <s v="INSERT INTO ctb_filial_centro_custo (CENTRO_CUSTO,COD_FILIAL,PORCENTAGEM) VALUES ('003', '000081',100)"/>
  </r>
  <r>
    <s v="IPIRANGA                 "/>
    <s v="003"/>
    <s v="000055"/>
    <x v="74"/>
    <e v="#N/A"/>
    <n v="242"/>
    <s v="INSERT INTO ctb_filial_centro_custo (CENTRO_CUSTO,COD_FILIAL,PORCENTAGEM) VALUES ('003', '000055',100)"/>
  </r>
  <r>
    <s v="CD IMPORTACAO            "/>
    <s v="2.1.6          "/>
    <s v="000067         "/>
    <x v="25"/>
    <e v="#N/A"/>
    <n v="3"/>
    <s v="INSERT INTO ctb_filial_centro_custo (CENTRO_CUSTO,COD_FILIAL,PORCENTAGEM) VALUES ('2.1.6', '000067',100)"/>
  </r>
  <r>
    <s v="CD REGIS                 "/>
    <s v="2.1.6          "/>
    <s v="000010         "/>
    <x v="75"/>
    <e v="#N/A"/>
    <n v="1"/>
    <s v="INSERT INTO ctb_filial_centro_custo (CENTRO_CUSTO,COD_FILIAL,PORCENTAGEM) VALUES ('2.1.6', '000010',100)"/>
  </r>
  <r>
    <s v="ITAQUA                   "/>
    <s v="003"/>
    <s v="000011"/>
    <x v="76"/>
    <e v="#N/A"/>
    <n v="230"/>
    <s v="INSERT INTO ctb_filial_centro_custo (CENTRO_CUSTO,COD_FILIAL,PORCENTAGEM) VALUES ('003', '000011',100)"/>
  </r>
  <r>
    <s v="COTIA                    "/>
    <s v="003"/>
    <s v="000004"/>
    <x v="77"/>
    <e v="#N/A"/>
    <n v="232"/>
    <s v="INSERT INTO ctb_filial_centro_custo (CENTRO_CUSTO,COD_FILIAL,PORCENTAGEM) VALUES ('003', '000004',100)"/>
  </r>
  <r>
    <s v="PIRASSUNUNGA             "/>
    <s v="3.1.5          "/>
    <s v="000084         "/>
    <x v="78"/>
    <e v="#N/A"/>
    <n v="10365"/>
    <s v="INSERT INTO ctb_filial_centro_custo (CENTRO_CUSTO,COD_FILIAL,PORCENTAGEM) VALUES ('3.1.5', '000084',100)"/>
  </r>
  <r>
    <s v="CD NAVEGANTES            "/>
    <s v="2.1.3          "/>
    <s v="000040         "/>
    <x v="15"/>
    <e v="#N/A"/>
    <n v="11"/>
    <s v="INSERT INTO ctb_filial_centro_custo (CENTRO_CUSTO,COD_FILIAL,PORCENTAGEM) VALUES ('2.1.3', '000040',100)"/>
  </r>
  <r>
    <s v="CD REGIS                 "/>
    <s v="2.1.6          "/>
    <s v="000067         "/>
    <x v="25"/>
    <e v="#N/A"/>
    <n v="2497"/>
    <s v="INSERT INTO ctb_filial_centro_custo (CENTRO_CUSTO,COD_FILIAL,PORCENTAGEM) VALUES ('2.1.6', '000067',100)"/>
  </r>
  <r>
    <s v="CD NAVEGANTES            "/>
    <s v="2.1.5          "/>
    <s v="000092         "/>
    <x v="79"/>
    <e v="#N/A"/>
    <n v="3630"/>
    <s v="INSERT INTO ctb_filial_centro_custo (CENTRO_CUSTO,COD_FILIAL,PORCENTAGEM) VALUES ('2.1.5', '000092',100)"/>
  </r>
  <r>
    <s v="CD NAVEGANTES            "/>
    <s v="2.1.7          "/>
    <s v="000067         "/>
    <x v="80"/>
    <e v="#N/A"/>
    <n v="1"/>
    <s v="INSERT INTO ctb_filial_centro_custo (CENTRO_CUSTO,COD_FILIAL,PORCENTAGEM) VALUES ('2.1.7', '000067',100)"/>
  </r>
  <r>
    <s v="PRAIA GRANDE             "/>
    <s v="3.1.5          "/>
    <s v="000067         "/>
    <x v="4"/>
    <e v="#N/A"/>
    <n v="54"/>
    <s v="INSERT INTO ctb_filial_centro_custo (CENTRO_CUSTO,COD_FILIAL,PORCENTAGEM) VALUES ('3.1.5', '000067',100)"/>
  </r>
  <r>
    <s v="CONTROLE DE QUALIDADE    "/>
    <s v="5.5.3          "/>
    <s v="000067         "/>
    <x v="48"/>
    <e v="#N/A"/>
    <n v="1"/>
    <s v="INSERT INTO ctb_filial_centro_custo (CENTRO_CUSTO,COD_FILIAL,PORCENTAGEM) VALUES ('5.5.3', '000067',100)"/>
  </r>
  <r>
    <s v="SP - CAPAO CENTRO        "/>
    <s v="3.1.5          "/>
    <s v="000067         "/>
    <x v="4"/>
    <e v="#N/A"/>
    <n v="1"/>
    <s v="INSERT INTO ctb_filial_centro_custo (CENTRO_CUSTO,COD_FILIAL,PORCENTAGEM) VALUES ('3.1.5', '000067',100)"/>
  </r>
  <r>
    <s v="AMOSTRA PIRAJA           "/>
    <s v="3.1.2          "/>
    <s v="000091"/>
    <x v="81"/>
    <e v="#N/A"/>
    <n v="1"/>
    <s v="INSERT INTO ctb_filial_centro_custo (CENTRO_CUSTO,COD_FILIAL,PORCENTAGEM) VALUES ('3.1.2', '000091',100)"/>
  </r>
  <r>
    <s v="CONTROLE DE QUALIDADE    "/>
    <s v="2.1.3          "/>
    <s v="000045         "/>
    <x v="82"/>
    <s v="2.1.3|000045"/>
    <n v="1415"/>
    <s v="INSERT INTO ctb_filial_centro_custo (CENTRO_CUSTO,COD_FILIAL,PORCENTAGEM) VALUES ('2.1.3', '000045',100)"/>
  </r>
  <r>
    <s v="CD NAVEGANTES            "/>
    <s v="2.1.8          "/>
    <s v="000092         "/>
    <x v="83"/>
    <e v="#N/A"/>
    <n v="150"/>
    <s v="INSERT INTO ctb_filial_centro_custo (CENTRO_CUSTO,COD_FILIAL,PORCENTAGEM) VALUES ('2.1.8', '000092',100)"/>
  </r>
  <r>
    <s v="VICENTE DE CARVALHO      "/>
    <s v="3.1.5          "/>
    <s v="000028         "/>
    <x v="84"/>
    <e v="#N/A"/>
    <n v="27625"/>
    <s v="INSERT INTO ctb_filial_centro_custo (CENTRO_CUSTO,COD_FILIAL,PORCENTAGEM) VALUES ('3.1.5', '000028',100)"/>
  </r>
  <r>
    <s v="CIDADE TIRADENTES        "/>
    <s v="003"/>
    <s v="000056"/>
    <x v="85"/>
    <e v="#N/A"/>
    <n v="263"/>
    <s v="INSERT INTO ctb_filial_centro_custo (CENTRO_CUSTO,COD_FILIAL,PORCENTAGEM) VALUES ('003', '000056',100)"/>
  </r>
  <r>
    <s v="FRANCISCO MORATO         "/>
    <s v="3.1.5          "/>
    <s v="000007         "/>
    <x v="86"/>
    <e v="#N/A"/>
    <n v="26835"/>
    <s v="INSERT INTO ctb_filial_centro_custo (CENTRO_CUSTO,COD_FILIAL,PORCENTAGEM) VALUES ('3.1.5', '000007',100)"/>
  </r>
  <r>
    <s v="REGISTRO                 "/>
    <s v="3.1.5          "/>
    <s v="000065         "/>
    <x v="87"/>
    <e v="#N/A"/>
    <n v="16487"/>
    <s v="INSERT INTO ctb_filial_centro_custo (CENTRO_CUSTO,COD_FILIAL,PORCENTAGEM) VALUES ('3.1.5', '000065',100)"/>
  </r>
  <r>
    <s v="CIDADE OCIAN             "/>
    <s v="003"/>
    <s v="000059"/>
    <x v="88"/>
    <e v="#N/A"/>
    <n v="237"/>
    <s v="INSERT INTO ctb_filial_centro_custo (CENTRO_CUSTO,COD_FILIAL,PORCENTAGEM) VALUES ('003', '000059',100)"/>
  </r>
  <r>
    <s v="POA                      "/>
    <s v="003"/>
    <s v="000080"/>
    <x v="89"/>
    <e v="#N/A"/>
    <n v="263"/>
    <s v="INSERT INTO ctb_filial_centro_custo (CENTRO_CUSTO,COD_FILIAL,PORCENTAGEM) VALUES ('003', '000080',100)"/>
  </r>
  <r>
    <s v="VILA DAS MERCES          "/>
    <s v="003"/>
    <s v="000061"/>
    <x v="90"/>
    <e v="#N/A"/>
    <n v="276"/>
    <s v="INSERT INTO ctb_filial_centro_custo (CENTRO_CUSTO,COD_FILIAL,PORCENTAGEM) VALUES ('003', '000061',100)"/>
  </r>
  <r>
    <s v="MOGI GUACU               "/>
    <s v="003"/>
    <s v="000072"/>
    <x v="91"/>
    <e v="#N/A"/>
    <n v="68"/>
    <s v="INSERT INTO ctb_filial_centro_custo (CENTRO_CUSTO,COD_FILIAL,PORCENTAGEM) VALUES ('003', '000072',100)"/>
  </r>
  <r>
    <s v="JARDIM ZAIRA             "/>
    <s v="3.1.5          "/>
    <s v="000067         "/>
    <x v="4"/>
    <e v="#N/A"/>
    <n v="3"/>
    <s v="INSERT INTO ctb_filial_centro_custo (CENTRO_CUSTO,COD_FILIAL,PORCENTAGEM) VALUES ('3.1.5', '000067',100)"/>
  </r>
  <r>
    <s v="CD REGIS                 "/>
    <s v="3.1.2          "/>
    <s v="000067"/>
    <x v="92"/>
    <e v="#N/A"/>
    <n v="45"/>
    <s v="INSERT INTO ctb_filial_centro_custo (CENTRO_CUSTO,COD_FILIAL,PORCENTAGEM) VALUES ('3.1.2', '000067',100)"/>
  </r>
  <r>
    <s v="JARDIM ZAIRA             "/>
    <s v="3.1.5          "/>
    <s v="000064         "/>
    <x v="93"/>
    <e v="#N/A"/>
    <n v="10212"/>
    <s v="INSERT INTO ctb_filial_centro_custo (CENTRO_CUSTO,COD_FILIAL,PORCENTAGEM) VALUES ('3.1.5', '000064',100)"/>
  </r>
  <r>
    <s v="ITAQUA                   "/>
    <s v="3.1.5          "/>
    <s v="000011         "/>
    <x v="94"/>
    <e v="#N/A"/>
    <n v="17798"/>
    <s v="INSERT INTO ctb_filial_centro_custo (CENTRO_CUSTO,COD_FILIAL,PORCENTAGEM) VALUES ('3.1.5', '000011',100)"/>
  </r>
  <r>
    <s v="CD REGIS                 "/>
    <s v="2.1.3          "/>
    <s v="000067         "/>
    <x v="12"/>
    <e v="#N/A"/>
    <n v="3390"/>
    <s v="INSERT INTO ctb_filial_centro_custo (CENTRO_CUSTO,COD_FILIAL,PORCENTAGEM) VALUES ('2.1.3', '000067',100)"/>
  </r>
  <r>
    <s v="CONTROLE DE QUALIDADE    "/>
    <s v="2.1.8          "/>
    <s v="000067         "/>
    <x v="44"/>
    <e v="#N/A"/>
    <n v="2"/>
    <s v="INSERT INTO ctb_filial_centro_custo (CENTRO_CUSTO,COD_FILIAL,PORCENTAGEM) VALUES ('2.1.8', '000067',100)"/>
  </r>
  <r>
    <s v="JARDIM ANGELA            "/>
    <s v="003"/>
    <s v="000060"/>
    <x v="95"/>
    <e v="#N/A"/>
    <n v="216"/>
    <s v="INSERT INTO ctb_filial_centro_custo (CENTRO_CUSTO,COD_FILIAL,PORCENTAGEM) VALUES ('003', '000060',100)"/>
  </r>
  <r>
    <s v="AMOSTRA PIRAJA           "/>
    <s v="003            "/>
    <s v="000091"/>
    <x v="96"/>
    <e v="#N/A"/>
    <n v="193"/>
    <s v="INSERT INTO ctb_filial_centro_custo (CENTRO_CUSTO,COD_FILIAL,PORCENTAGEM) VALUES ('003', '000091',100)"/>
  </r>
  <r>
    <s v="TAUBATE                  "/>
    <s v="3.1.2          "/>
    <s v="000020"/>
    <x v="97"/>
    <e v="#N/A"/>
    <n v="5"/>
    <s v="INSERT INTO ctb_filial_centro_custo (CENTRO_CUSTO,COD_FILIAL,PORCENTAGEM) VALUES ('3.1.2', '000020',100)"/>
  </r>
  <r>
    <s v="POA                      "/>
    <s v="3.1.5          "/>
    <s v="000067         "/>
    <x v="4"/>
    <e v="#N/A"/>
    <n v="5"/>
    <s v="INSERT INTO ctb_filial_centro_custo (CENTRO_CUSTO,COD_FILIAL,PORCENTAGEM) VALUES ('3.1.5', '000067',100)"/>
  </r>
  <r>
    <s v="CD NAVEGANTES            "/>
    <s v="2.1.6          "/>
    <s v="000040         "/>
    <x v="98"/>
    <e v="#N/A"/>
    <n v="9"/>
    <s v="INSERT INTO ctb_filial_centro_custo (CENTRO_CUSTO,COD_FILIAL,PORCENTAGEM) VALUES ('2.1.6', '000040',100)"/>
  </r>
  <r>
    <s v="CD IMPORTACAO            "/>
    <s v="2.1.3          "/>
    <s v="000067         "/>
    <x v="12"/>
    <e v="#N/A"/>
    <n v="45"/>
    <s v="INSERT INTO ctb_filial_centro_custo (CENTRO_CUSTO,COD_FILIAL,PORCENTAGEM) VALUES ('2.1.3', '000067',100)"/>
  </r>
  <r>
    <s v="CD NAVEGANTES            "/>
    <s v="2.1.4          "/>
    <s v="000067         "/>
    <x v="10"/>
    <e v="#N/A"/>
    <n v="25"/>
    <s v="INSERT INTO ctb_filial_centro_custo (CENTRO_CUSTO,COD_FILIAL,PORCENTAGEM) VALUES ('2.1.4', '000067',100)"/>
  </r>
  <r>
    <s v="VILA DAS MERCES          "/>
    <s v="3.1.5          "/>
    <s v="000061         "/>
    <x v="99"/>
    <e v="#N/A"/>
    <n v="17894"/>
    <s v="INSERT INTO ctb_filial_centro_custo (CENTRO_CUSTO,COD_FILIAL,PORCENTAGEM) VALUES ('3.1.5', '000061',100)"/>
  </r>
  <r>
    <s v="SP - BRASILANDIA         "/>
    <s v="3.1.5          "/>
    <s v="000067         "/>
    <x v="4"/>
    <e v="#N/A"/>
    <n v="5"/>
    <s v="INSERT INTO ctb_filial_centro_custo (CENTRO_CUSTO,COD_FILIAL,PORCENTAGEM) VALUES ('3.1.5', '000067',100)"/>
  </r>
  <r>
    <s v="CIDADE OCIAN             "/>
    <s v="3.1.5          "/>
    <s v="000059         "/>
    <x v="100"/>
    <e v="#N/A"/>
    <n v="31335"/>
    <s v="INSERT INTO ctb_filial_centro_custo (CENTRO_CUSTO,COD_FILIAL,PORCENTAGEM) VALUES ('3.1.5', '000059',100)"/>
  </r>
  <r>
    <s v="FRANCISCO MORATO         "/>
    <s v="003"/>
    <s v="000007"/>
    <x v="101"/>
    <e v="#N/A"/>
    <n v="225"/>
    <s v="INSERT INTO ctb_filial_centro_custo (CENTRO_CUSTO,COD_FILIAL,PORCENTAGEM) VALUES ('003', '000007',100)"/>
  </r>
  <r>
    <s v="CD REGIS                 "/>
    <s v="2.1.3          "/>
    <s v="000010         "/>
    <x v="102"/>
    <e v="#N/A"/>
    <n v="1"/>
    <s v="INSERT INTO ctb_filial_centro_custo (CENTRO_CUSTO,COD_FILIAL,PORCENTAGEM) VALUES ('2.1.3', '000010',100)"/>
  </r>
  <r>
    <s v="MAUA                     "/>
    <s v="3.1.5          "/>
    <s v="000067         "/>
    <x v="4"/>
    <e v="#N/A"/>
    <n v="33"/>
    <s v="INSERT INTO ctb_filial_centro_custo (CENTRO_CUSTO,COD_FILIAL,PORCENTAGEM) VALUES ('3.1.5', '000067',100)"/>
  </r>
  <r>
    <s v="VILA DIRCE               "/>
    <s v="003"/>
    <s v="000062"/>
    <x v="103"/>
    <e v="#N/A"/>
    <n v="298"/>
    <s v="INSERT INTO ctb_filial_centro_custo (CENTRO_CUSTO,COD_FILIAL,PORCENTAGEM) VALUES ('003', '000062',100)"/>
  </r>
  <r>
    <s v="JAÇANA                   "/>
    <s v="3.1.5          "/>
    <s v="000027         "/>
    <x v="104"/>
    <e v="#N/A"/>
    <n v="23480"/>
    <s v="INSERT INTO ctb_filial_centro_custo (CENTRO_CUSTO,COD_FILIAL,PORCENTAGEM) VALUES ('3.1.5', '000027',100)"/>
  </r>
  <r>
    <s v="TAUBATE                  "/>
    <s v="003            "/>
    <s v="000020"/>
    <x v="105"/>
    <e v="#N/A"/>
    <n v="275"/>
    <s v="INSERT INTO ctb_filial_centro_custo (CENTRO_CUSTO,COD_FILIAL,PORCENTAGEM) VALUES ('003', '000020',100)"/>
  </r>
  <r>
    <s v="INDAIATUBA               "/>
    <s v="003"/>
    <s v="000030"/>
    <x v="106"/>
    <e v="#N/A"/>
    <n v="235"/>
    <s v="INSERT INTO ctb_filial_centro_custo (CENTRO_CUSTO,COD_FILIAL,PORCENTAGEM) VALUES ('003', '000030',100)"/>
  </r>
  <r>
    <s v="SP - ATACADO             "/>
    <s v="003            "/>
    <s v="000094"/>
    <x v="107"/>
    <e v="#N/A"/>
    <n v="3"/>
    <s v="INSERT INTO ctb_filial_centro_custo (CENTRO_CUSTO,COD_FILIAL,PORCENTAGEM) VALUES ('003', '000094',100)"/>
  </r>
  <r>
    <s v="COTIA                    "/>
    <s v="3.1.5          "/>
    <s v="000004         "/>
    <x v="108"/>
    <e v="#N/A"/>
    <n v="35066"/>
    <s v="INSERT INTO ctb_filial_centro_custo (CENTRO_CUSTO,COD_FILIAL,PORCENTAGEM) VALUES ('3.1.5', '000004',100)"/>
  </r>
  <r>
    <s v="CD REGIS                 "/>
    <s v="2.1.6          "/>
    <s v="000009         "/>
    <x v="109"/>
    <e v="#N/A"/>
    <n v="1"/>
    <s v="INSERT INTO ctb_filial_centro_custo (CENTRO_CUSTO,COD_FILIAL,PORCENTAGEM) VALUES ('2.1.6', '000009',100)"/>
  </r>
  <r>
    <s v="CD REGIS                 "/>
    <s v="2.1.4          "/>
    <s v="000093         "/>
    <x v="110"/>
    <e v="#N/A"/>
    <n v="1"/>
    <s v="INSERT INTO ctb_filial_centro_custo (CENTRO_CUSTO,COD_FILIAL,PORCENTAGEM) VALUES ('2.1.4', '000093',100)"/>
  </r>
  <r>
    <s v="CIDADE OCIAN             "/>
    <s v="3.1.5          "/>
    <s v="000067         "/>
    <x v="4"/>
    <e v="#N/A"/>
    <n v="9"/>
    <s v="INSERT INTO ctb_filial_centro_custo (CENTRO_CUSTO,COD_FILIAL,PORCENTAGEM) VALUES ('3.1.5', '000067',100)"/>
  </r>
  <r>
    <s v="SAO BERNARDO             "/>
    <s v="3.1.5          "/>
    <s v="000042         "/>
    <x v="111"/>
    <e v="#N/A"/>
    <n v="27730"/>
    <s v="INSERT INTO ctb_filial_centro_custo (CENTRO_CUSTO,COD_FILIAL,PORCENTAGEM) VALUES ('3.1.5', '000042',100)"/>
  </r>
  <r>
    <s v="CD NAVEGANTES            "/>
    <s v="2.1.1          "/>
    <s v="000067         "/>
    <x v="112"/>
    <e v="#N/A"/>
    <n v="1"/>
    <s v="INSERT INTO ctb_filial_centro_custo (CENTRO_CUSTO,COD_FILIAL,PORCENTAGEM) VALUES ('2.1.1', '000067',100)"/>
  </r>
  <r>
    <s v="SP - CAPAO CENTRO        "/>
    <s v="003"/>
    <s v="000079"/>
    <x v="113"/>
    <e v="#N/A"/>
    <n v="262"/>
    <s v="INSERT INTO ctb_filial_centro_custo (CENTRO_CUSTO,COD_FILIAL,PORCENTAGEM) VALUES ('003', '000079',100)"/>
  </r>
  <r>
    <s v="TAUBATE                  "/>
    <s v="3.1.5          "/>
    <s v="000020         "/>
    <x v="114"/>
    <e v="#N/A"/>
    <n v="23323"/>
    <s v="INSERT INTO ctb_filial_centro_custo (CENTRO_CUSTO,COD_FILIAL,PORCENTAGEM) VALUES ('3.1.5', '000020',100)"/>
  </r>
  <r>
    <s v="PRAIA GRANDE             "/>
    <s v="003"/>
    <s v="000026"/>
    <x v="115"/>
    <e v="#N/A"/>
    <n v="220"/>
    <s v="INSERT INTO ctb_filial_centro_custo (CENTRO_CUSTO,COD_FILIAL,PORCENTAGEM) VALUES ('003', '000026',100)"/>
  </r>
  <r>
    <s v="FRANCO DA ROCHA          "/>
    <s v="3.1.5          "/>
    <s v="000067         "/>
    <x v="4"/>
    <e v="#N/A"/>
    <n v="10"/>
    <s v="INSERT INTO ctb_filial_centro_custo (CENTRO_CUSTO,COD_FILIAL,PORCENTAGEM) VALUES ('3.1.5', '000067',100)"/>
  </r>
  <r>
    <s v="CD REGIS                 "/>
    <s v="003            "/>
    <s v="000067"/>
    <x v="116"/>
    <e v="#N/A"/>
    <n v="4973"/>
    <s v="INSERT INTO ctb_filial_centro_custo (CENTRO_CUSTO,COD_FILIAL,PORCENTAGEM) VALUES ('003', '000067',100)"/>
  </r>
  <r>
    <s v="ITU                      "/>
    <s v="003            "/>
    <s v="000071"/>
    <x v="117"/>
    <e v="#N/A"/>
    <n v="250"/>
    <s v="INSERT INTO ctb_filial_centro_custo (CENTRO_CUSTO,COD_FILIAL,PORCENTAGEM) VALUES ('003', '000071',100)"/>
  </r>
  <r>
    <s v="CD NAVEGANTES            "/>
    <s v="2.1.4          "/>
    <s v="000095         "/>
    <x v="118"/>
    <e v="#N/A"/>
    <n v="1"/>
    <s v="INSERT INTO ctb_filial_centro_custo (CENTRO_CUSTO,COD_FILIAL,PORCENTAGEM) VALUES ('2.1.4', '000095',100)"/>
  </r>
  <r>
    <s v="CD NAVEGANTES            "/>
    <s v="2.1.8          "/>
    <s v="000067         "/>
    <x v="44"/>
    <e v="#N/A"/>
    <n v="1"/>
    <s v="INSERT INTO ctb_filial_centro_custo (CENTRO_CUSTO,COD_FILIAL,PORCENTAGEM) VALUES ('2.1.8', '000067',100)"/>
  </r>
  <r>
    <s v="CONTROLE DE QUALIDADE    "/>
    <s v="2.1.6          "/>
    <s v="000045         "/>
    <x v="119"/>
    <e v="#N/A"/>
    <n v="370"/>
    <s v="INSERT INTO ctb_filial_centro_custo (CENTRO_CUSTO,COD_FILIAL,PORCENTAGEM) VALUES ('2.1.6', '000045',100)"/>
  </r>
  <r>
    <s v="CD REGIS                 "/>
    <s v="2.1.4          "/>
    <s v="000067         "/>
    <x v="10"/>
    <e v="#N/A"/>
    <n v="1081"/>
    <s v="INSERT INTO ctb_filial_centro_custo (CENTRO_CUSTO,COD_FILIAL,PORCENTAGEM) VALUES ('2.1.4', '000067',100)"/>
  </r>
  <r>
    <s v="PINDAMONHANGABA          "/>
    <s v="3.1.5          "/>
    <s v="000023         "/>
    <x v="120"/>
    <e v="#N/A"/>
    <n v="18406"/>
    <s v="INSERT INTO ctb_filial_centro_custo (CENTRO_CUSTO,COD_FILIAL,PORCENTAGEM) VALUES ('3.1.5', '000023',100)"/>
  </r>
  <r>
    <s v="JARDIM ZAIRA             "/>
    <s v="003"/>
    <s v="000064"/>
    <x v="121"/>
    <e v="#N/A"/>
    <n v="155"/>
    <s v="INSERT INTO ctb_filial_centro_custo (CENTRO_CUSTO,COD_FILIAL,PORCENTAGEM) VALUES ('003', '000064',100)"/>
  </r>
  <r>
    <s v="SAO BERNARDO             "/>
    <s v="3.1.5          "/>
    <s v="000067         "/>
    <x v="4"/>
    <e v="#N/A"/>
    <n v="7"/>
    <s v="INSERT INTO ctb_filial_centro_custo (CENTRO_CUSTO,COD_FILIAL,PORCENTAGEM) VALUES ('3.1.5', '000067',100)"/>
  </r>
  <r>
    <s v="CONTROLE DE QUALIDADE    "/>
    <s v="003"/>
    <s v="000045"/>
    <x v="122"/>
    <e v="#N/A"/>
    <n v="27"/>
    <s v="INSERT INTO ctb_filial_centro_custo (CENTRO_CUSTO,COD_FILIAL,PORCENTAGEM) VALUES ('003', '000045',100)"/>
  </r>
  <r>
    <s v="CD REGIS                 "/>
    <s v="2.1.4          "/>
    <s v="000064         "/>
    <x v="123"/>
    <e v="#N/A"/>
    <n v="1"/>
    <s v="INSERT INTO ctb_filial_centro_custo (CENTRO_CUSTO,COD_FILIAL,PORCENTAGEM) VALUES ('2.1.4', '000064',100)"/>
  </r>
  <r>
    <s v="CD REGIS                 "/>
    <s v="2.1.5          "/>
    <s v="000092         "/>
    <x v="79"/>
    <e v="#N/A"/>
    <n v="29"/>
    <s v="INSERT INTO ctb_filial_centro_custo (CENTRO_CUSTO,COD_FILIAL,PORCENTAGEM) VALUES ('2.1.5', '000092',100)"/>
  </r>
  <r>
    <s v="PIRASSUNUNGA             "/>
    <s v="3.1.5          "/>
    <s v="000067         "/>
    <x v="4"/>
    <e v="#N/A"/>
    <n v="13"/>
    <s v="INSERT INTO ctb_filial_centro_custo (CENTRO_CUSTO,COD_FILIAL,PORCENTAGEM) VALUES ('3.1.5', '000067',100)"/>
  </r>
  <r>
    <s v="CONTROLE DE QUALIDADE    "/>
    <s v="2.1.3          "/>
    <s v="000004         "/>
    <x v="124"/>
    <e v="#N/A"/>
    <n v="1"/>
    <s v="INSERT INTO ctb_filial_centro_custo (CENTRO_CUSTO,COD_FILIAL,PORCENTAGEM) VALUES ('2.1.3', '000004',100)"/>
  </r>
  <r>
    <s v="CD NAVEGANTES            "/>
    <s v="2.1.6          "/>
    <s v="000092         "/>
    <x v="50"/>
    <e v="#N/A"/>
    <n v="167"/>
    <s v="INSERT INTO ctb_filial_centro_custo (CENTRO_CUSTO,COD_FILIAL,PORCENTAGEM) VALUES ('2.1.6', '000092',100)"/>
  </r>
  <r>
    <s v="PINDAMONHANGABA          "/>
    <s v="3.1.5          "/>
    <s v="000067         "/>
    <x v="4"/>
    <e v="#N/A"/>
    <n v="1"/>
    <s v="INSERT INTO ctb_filial_centro_custo (CENTRO_CUSTO,COD_FILIAL,PORCENTAGEM) VALUES ('3.1.5', '000067',100)"/>
  </r>
  <r>
    <s v="CONTROLE DE QUALIDADE    "/>
    <s v="2.1.9          "/>
    <s v="000045         "/>
    <x v="125"/>
    <e v="#N/A"/>
    <n v="3"/>
    <s v="INSERT INTO ctb_filial_centro_custo (CENTRO_CUSTO,COD_FILIAL,PORCENTAGEM) VALUES ('2.1.9', '000045',100)"/>
  </r>
  <r>
    <s v="SP - BRASILANDIA         "/>
    <s v="003"/>
    <s v="000076"/>
    <x v="126"/>
    <e v="#N/A"/>
    <n v="243"/>
    <s v="INSERT INTO ctb_filial_centro_custo (CENTRO_CUSTO,COD_FILIAL,PORCENTAGEM) VALUES ('003', '000076',100)"/>
  </r>
  <r>
    <s v="CARAPICUIBA              "/>
    <s v="003"/>
    <s v="000003"/>
    <x v="127"/>
    <e v="#N/A"/>
    <n v="266"/>
    <s v="INSERT INTO ctb_filial_centro_custo (CENTRO_CUSTO,COD_FILIAL,PORCENTAGEM) VALUES ('003', '000003',100)"/>
  </r>
  <r>
    <s v="VARZEA PAULISTA          "/>
    <s v="003"/>
    <s v="000047"/>
    <x v="128"/>
    <e v="#N/A"/>
    <n v="265"/>
    <s v="INSERT INTO ctb_filial_centro_custo (CENTRO_CUSTO,COD_FILIAL,PORCENTAGEM) VALUES ('003', '000047',100)"/>
  </r>
  <r>
    <s v="SP - PIRAPORINHA         "/>
    <s v="3.1.5          "/>
    <s v="000067         "/>
    <x v="4"/>
    <e v="#N/A"/>
    <n v="7"/>
    <s v="INSERT INTO ctb_filial_centro_custo (CENTRO_CUSTO,COD_FILIAL,PORCENTAGEM) VALUES ('3.1.5', '000067',100)"/>
  </r>
  <r>
    <s v="JUNDIAI                  "/>
    <s v="3.1.5          "/>
    <s v="000014         "/>
    <x v="129"/>
    <e v="#N/A"/>
    <n v="24686"/>
    <s v="INSERT INTO ctb_filial_centro_custo (CENTRO_CUSTO,COD_FILIAL,PORCENTAGEM) VALUES ('3.1.5', '000014',100)"/>
  </r>
  <r>
    <s v="DIADEMA                  "/>
    <s v="3.1.5          "/>
    <s v="000005         "/>
    <x v="130"/>
    <e v="#N/A"/>
    <n v="20277"/>
    <s v="INSERT INTO ctb_filial_centro_custo (CENTRO_CUSTO,COD_FILIAL,PORCENTAGEM) VALUES ('3.1.5', '000005',100)"/>
  </r>
  <r>
    <s v="CD REGIS                 "/>
    <s v="2.1.1          "/>
    <s v="000067         "/>
    <x v="112"/>
    <e v="#N/A"/>
    <n v="1"/>
    <s v="INSERT INTO ctb_filial_centro_custo (CENTRO_CUSTO,COD_FILIAL,PORCENTAGEM) VALUES ('2.1.1', '000067',100)"/>
  </r>
  <r>
    <s v="VICENTE DE CARVALHO      "/>
    <s v="003"/>
    <s v="000028"/>
    <x v="131"/>
    <e v="#N/A"/>
    <n v="151"/>
    <s v="INSERT INTO ctb_filial_centro_custo (CENTRO_CUSTO,COD_FILIAL,PORCENTAGEM) VALUES ('003', '000028',100)"/>
  </r>
  <r>
    <s v="CD REGIS                 "/>
    <s v="2.1.8          "/>
    <s v="000033         "/>
    <x v="132"/>
    <e v="#N/A"/>
    <n v="1"/>
    <s v="INSERT INTO ctb_filial_centro_custo (CENTRO_CUSTO,COD_FILIAL,PORCENTAGEM) VALUES ('2.1.8', '000033',100)"/>
  </r>
  <r>
    <s v="SP - PIRAPORINHA         "/>
    <s v="3.1.5          "/>
    <s v="000074         "/>
    <x v="133"/>
    <e v="#N/A"/>
    <n v="24393"/>
    <s v="INSERT INTO ctb_filial_centro_custo (CENTRO_CUSTO,COD_FILIAL,PORCENTAGEM) VALUES ('3.1.5', '000074',100)"/>
  </r>
  <r>
    <s v="PINDAMONHANGABA          "/>
    <s v="003"/>
    <s v="000023"/>
    <x v="134"/>
    <e v="#N/A"/>
    <n v="228"/>
    <s v="INSERT INTO ctb_filial_centro_custo (CENTRO_CUSTO,COD_FILIAL,PORCENTAGEM) VALUES ('003', '000023',100)"/>
  </r>
  <r>
    <s v="CD NAVEGANTES            "/>
    <s v="2.1.4          "/>
    <s v="000040         "/>
    <x v="38"/>
    <e v="#N/A"/>
    <n v="12"/>
    <s v="INSERT INTO ctb_filial_centro_custo (CENTRO_CUSTO,COD_FILIAL,PORCENTAGEM) VALUES ('2.1.4', '000040',100)"/>
  </r>
  <r>
    <s v="VILA DIRCE               "/>
    <s v="3.1.5          "/>
    <s v="000067         "/>
    <x v="4"/>
    <e v="#N/A"/>
    <n v="1"/>
    <s v="INSERT INTO ctb_filial_centro_custo (CENTRO_CUSTO,COD_FILIAL,PORCENTAGEM) VALUES ('3.1.5', '000067',100)"/>
  </r>
  <r>
    <s v="HORTOLANDIA              "/>
    <s v="3.1.5          "/>
    <s v="000058         "/>
    <x v="135"/>
    <e v="#N/A"/>
    <n v="18699"/>
    <s v="INSERT INTO ctb_filial_centro_custo (CENTRO_CUSTO,COD_FILIAL,PORCENTAGEM) VALUES ('3.1.5', '000058',100)"/>
  </r>
  <r>
    <s v="CD NAVEGANTES            "/>
    <s v="003            "/>
    <s v="000092"/>
    <x v="136"/>
    <e v="#N/A"/>
    <n v="1"/>
    <s v="INSERT INTO ctb_filial_centro_custo (CENTRO_CUSTO,COD_FILIAL,PORCENTAGEM) VALUES ('003', '000092',100)"/>
  </r>
  <r>
    <s v="CONTROLE DE QUALIDADE    "/>
    <s v="2.1.4          "/>
    <s v="000067         "/>
    <x v="10"/>
    <e v="#N/A"/>
    <n v="4"/>
    <s v="INSERT INTO ctb_filial_centro_custo (CENTRO_CUSTO,COD_FILIAL,PORCENTAGEM) VALUES ('2.1.4', '000067',100)"/>
  </r>
  <r>
    <s v="MOGI GUACU               "/>
    <s v="3.1.5          "/>
    <s v="000072         "/>
    <x v="137"/>
    <e v="#N/A"/>
    <n v="7287"/>
    <s v="INSERT INTO ctb_filial_centro_custo (CENTRO_CUSTO,COD_FILIAL,PORCENTAGEM) VALUES ('3.1.5', '000072',100)"/>
  </r>
  <r>
    <s v="IPIRANGA                 "/>
    <s v="3.1.5          "/>
    <s v="000055         "/>
    <x v="138"/>
    <e v="#N/A"/>
    <n v="34904"/>
    <s v="INSERT INTO ctb_filial_centro_custo (CENTRO_CUSTO,COD_FILIAL,PORCENTAGEM) VALUES ('3.1.5', '000055',100)"/>
  </r>
  <r>
    <s v="JARDIM IGUATEMI          "/>
    <s v="3.1.5          "/>
    <s v="000068         "/>
    <x v="139"/>
    <e v="#N/A"/>
    <n v="22470"/>
    <s v="INSERT INTO ctb_filial_centro_custo (CENTRO_CUSTO,COD_FILIAL,PORCENTAGEM) VALUES ('3.1.5', '000068',100)"/>
  </r>
  <r>
    <s v="CD REGIS                 "/>
    <s v="2.1.7          "/>
    <s v="000067         "/>
    <x v="80"/>
    <e v="#N/A"/>
    <n v="1"/>
    <s v="INSERT INTO ctb_filial_centro_custo (CENTRO_CUSTO,COD_FILIAL,PORCENTAGEM) VALUES ('2.1.7', '000067',100)"/>
  </r>
  <r>
    <s v="IPIRANGA                 "/>
    <s v="4.1.2          "/>
    <s v="000055         "/>
    <x v="140"/>
    <e v="#N/A"/>
    <n v="1"/>
    <s v="INSERT INTO ctb_filial_centro_custo (CENTRO_CUSTO,COD_FILIAL,PORCENTAGEM) VALUES ('4.1.2', '000055',100)"/>
  </r>
  <r>
    <s v="CD IMPORTACAO            "/>
    <s v="2.1.5          "/>
    <s v="000067         "/>
    <x v="8"/>
    <e v="#N/A"/>
    <n v="35"/>
    <s v="INSERT INTO ctb_filial_centro_custo (CENTRO_CUSTO,COD_FILIAL,PORCENTAGEM) VALUES ('2.1.5', '000067',100)"/>
  </r>
  <r>
    <s v="ITAPECERICA              "/>
    <s v="003"/>
    <s v="000025"/>
    <x v="141"/>
    <e v="#N/A"/>
    <n v="222"/>
    <s v="INSERT INTO ctb_filial_centro_custo (CENTRO_CUSTO,COD_FILIAL,PORCENTAGEM) VALUES ('003', '000025',100)"/>
  </r>
  <r>
    <s v="TAUBATE                  "/>
    <s v="3.1.5          "/>
    <s v="000067         "/>
    <x v="4"/>
    <e v="#N/A"/>
    <n v="1"/>
    <s v="INSERT INTO ctb_filial_centro_custo (CENTRO_CUSTO,COD_FILIAL,PORCENTAGEM) VALUES ('3.1.5', '000067',100)"/>
  </r>
  <r>
    <s v="SAO MATHEUS              "/>
    <s v="3.1.5          "/>
    <s v="000018         "/>
    <x v="142"/>
    <e v="#N/A"/>
    <n v="46372"/>
    <s v="INSERT INTO ctb_filial_centro_custo (CENTRO_CUSTO,COD_FILIAL,PORCENTAGEM) VALUES ('3.1.5', '000018',100)"/>
  </r>
  <r>
    <s v="VARZEA PAULISTA          "/>
    <s v="3.1.5          "/>
    <s v="000047         "/>
    <x v="143"/>
    <e v="#N/A"/>
    <n v="21861"/>
    <s v="INSERT INTO ctb_filial_centro_custo (CENTRO_CUSTO,COD_FILIAL,PORCENTAGEM) VALUES ('3.1.5', '000047',100)"/>
  </r>
  <r>
    <s v="SAO BERNARDO             "/>
    <s v="003"/>
    <s v="000042"/>
    <x v="144"/>
    <e v="#N/A"/>
    <n v="251"/>
    <s v="INSERT INTO ctb_filial_centro_custo (CENTRO_CUSTO,COD_FILIAL,PORCENTAGEM) VALUES ('003', '000042',100)"/>
  </r>
  <r>
    <s v="PRAIA GRANDE             "/>
    <s v="3.1.5          "/>
    <s v="000026         "/>
    <x v="145"/>
    <e v="#N/A"/>
    <n v="28507"/>
    <s v="INSERT INTO ctb_filial_centro_custo (CENTRO_CUSTO,COD_FILIAL,PORCENTAGEM) VALUES ('3.1.5', '000026',100)"/>
  </r>
  <r>
    <s v="ITAQUERA                 "/>
    <s v="3.1.5          "/>
    <s v="000012         "/>
    <x v="146"/>
    <e v="#N/A"/>
    <n v="36780"/>
    <s v="INSERT INTO ctb_filial_centro_custo (CENTRO_CUSTO,COD_FILIAL,PORCENTAGEM) VALUES ('3.1.5', '000012',100)"/>
  </r>
  <r>
    <s v="INDAIATUBA               "/>
    <s v="3.1.5          "/>
    <s v="000030         "/>
    <x v="147"/>
    <e v="#N/A"/>
    <n v="17816"/>
    <s v="INSERT INTO ctb_filial_centro_custo (CENTRO_CUSTO,COD_FILIAL,PORCENTAGEM) VALUES ('3.1.5', '000030',100)"/>
  </r>
  <r>
    <s v="CD NAVEGANTES            "/>
    <s v="2.1.3          "/>
    <s v="000092         "/>
    <x v="37"/>
    <e v="#N/A"/>
    <n v="2060"/>
    <s v="INSERT INTO ctb_filial_centro_custo (CENTRO_CUSTO,COD_FILIAL,PORCENTAGEM) VALUES ('2.1.3', '000092',100)"/>
  </r>
  <r>
    <s v="CD ARAQUARI              "/>
    <s v="2.1.5          "/>
    <s v="000040         "/>
    <x v="35"/>
    <e v="#N/A"/>
    <n v="8"/>
    <s v="INSERT INTO ctb_filial_centro_custo (CENTRO_CUSTO,COD_FILIAL,PORCENTAGEM) VALUES ('2.1.5', '000040',100)"/>
  </r>
  <r>
    <s v="FRANCO DA ROCHA          "/>
    <s v="003"/>
    <s v="000008"/>
    <x v="148"/>
    <e v="#N/A"/>
    <n v="279"/>
    <s v="INSERT INTO ctb_filial_centro_custo (CENTRO_CUSTO,COD_FILIAL,PORCENTAGEM) VALUES ('003', '000008',100)"/>
  </r>
  <r>
    <s v="ITAPEVI                  "/>
    <s v="003            "/>
    <s v="000010"/>
    <x v="149"/>
    <e v="#N/A"/>
    <n v="250"/>
    <s v="INSERT INTO ctb_filial_centro_custo (CENTRO_CUSTO,COD_FILIAL,PORCENTAGEM) VALUES ('003', '000010',100)"/>
  </r>
  <r>
    <s v="JUNDIAI                  "/>
    <s v="003"/>
    <s v="000014"/>
    <x v="150"/>
    <e v="#N/A"/>
    <n v="188"/>
    <s v="INSERT INTO ctb_filial_centro_custo (CENTRO_CUSTO,COD_FILIAL,PORCENTAGEM) VALUES ('003', '000014',100)"/>
  </r>
  <r>
    <s v="VILA FORMOSA             "/>
    <s v="3.1.5          "/>
    <s v="000057         "/>
    <x v="151"/>
    <e v="#N/A"/>
    <n v="31423"/>
    <s v="INSERT INTO ctb_filial_centro_custo (CENTRO_CUSTO,COD_FILIAL,PORCENTAGEM) VALUES ('3.1.5', '000057',100)"/>
  </r>
  <r>
    <s v="GUARATINGUETA            "/>
    <s v="3.1.5          "/>
    <s v="000067         "/>
    <x v="4"/>
    <e v="#N/A"/>
    <n v="1"/>
    <s v="INSERT INTO ctb_filial_centro_custo (CENTRO_CUSTO,COD_FILIAL,PORCENTAGEM) VALUES ('3.1.5', '000067',100)"/>
  </r>
  <r>
    <s v="REGISTRO                 "/>
    <s v="003"/>
    <s v="000065"/>
    <x v="152"/>
    <e v="#N/A"/>
    <n v="145"/>
    <s v="INSERT INTO ctb_filial_centro_custo (CENTRO_CUSTO,COD_FILIAL,PORCENTAGEM) VALUES ('003', '000065',100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57" firstHeaderRow="1" firstDataRow="1" firstDataCol="1"/>
  <pivotFields count="7">
    <pivotField showAll="0"/>
    <pivotField showAll="0"/>
    <pivotField showAll="0"/>
    <pivotField axis="axisRow" dataField="1" showAll="0">
      <items count="154">
        <item x="127"/>
        <item x="77"/>
        <item x="64"/>
        <item x="55"/>
        <item x="101"/>
        <item x="148"/>
        <item x="67"/>
        <item x="149"/>
        <item x="76"/>
        <item x="68"/>
        <item x="150"/>
        <item x="32"/>
        <item x="40"/>
        <item x="28"/>
        <item x="105"/>
        <item x="134"/>
        <item x="141"/>
        <item x="115"/>
        <item x="1"/>
        <item x="131"/>
        <item x="41"/>
        <item x="106"/>
        <item x="58"/>
        <item x="72"/>
        <item x="144"/>
        <item x="122"/>
        <item x="71"/>
        <item x="128"/>
        <item x="74"/>
        <item x="85"/>
        <item x="11"/>
        <item x="29"/>
        <item x="88"/>
        <item x="95"/>
        <item x="90"/>
        <item x="103"/>
        <item x="3"/>
        <item x="121"/>
        <item x="152"/>
        <item x="116"/>
        <item x="62"/>
        <item x="117"/>
        <item x="91"/>
        <item x="70"/>
        <item x="24"/>
        <item x="126"/>
        <item x="113"/>
        <item x="89"/>
        <item x="73"/>
        <item x="49"/>
        <item x="2"/>
        <item x="20"/>
        <item x="96"/>
        <item x="136"/>
        <item x="39"/>
        <item x="107"/>
        <item x="53"/>
        <item x="14"/>
        <item x="112"/>
        <item x="0"/>
        <item x="124"/>
        <item x="102"/>
        <item x="15"/>
        <item x="82"/>
        <item x="12"/>
        <item x="37"/>
        <item x="38"/>
        <item x="27"/>
        <item x="17"/>
        <item x="123"/>
        <item x="10"/>
        <item x="34"/>
        <item x="9"/>
        <item x="110"/>
        <item x="118"/>
        <item x="35"/>
        <item x="47"/>
        <item x="8"/>
        <item x="79"/>
        <item x="16"/>
        <item x="109"/>
        <item x="75"/>
        <item x="98"/>
        <item x="119"/>
        <item x="25"/>
        <item x="50"/>
        <item x="54"/>
        <item x="80"/>
        <item x="63"/>
        <item x="132"/>
        <item x="69"/>
        <item x="44"/>
        <item x="83"/>
        <item x="125"/>
        <item x="31"/>
        <item x="97"/>
        <item x="92"/>
        <item x="33"/>
        <item x="81"/>
        <item x="59"/>
        <item x="26"/>
        <item x="108"/>
        <item x="130"/>
        <item x="60"/>
        <item x="86"/>
        <item x="6"/>
        <item x="57"/>
        <item x="19"/>
        <item x="94"/>
        <item x="146"/>
        <item x="129"/>
        <item x="36"/>
        <item x="142"/>
        <item x="5"/>
        <item x="114"/>
        <item x="120"/>
        <item x="52"/>
        <item x="145"/>
        <item x="104"/>
        <item x="84"/>
        <item x="30"/>
        <item x="147"/>
        <item x="61"/>
        <item x="23"/>
        <item x="111"/>
        <item x="22"/>
        <item x="143"/>
        <item x="138"/>
        <item x="21"/>
        <item x="151"/>
        <item x="135"/>
        <item x="100"/>
        <item x="51"/>
        <item x="99"/>
        <item x="13"/>
        <item x="66"/>
        <item x="93"/>
        <item x="87"/>
        <item x="4"/>
        <item x="139"/>
        <item x="65"/>
        <item x="137"/>
        <item x="133"/>
        <item x="42"/>
        <item x="56"/>
        <item x="46"/>
        <item x="18"/>
        <item x="43"/>
        <item x="78"/>
        <item x="140"/>
        <item x="48"/>
        <item x="45"/>
        <item x="7"/>
        <item t="default"/>
      </items>
    </pivotField>
    <pivotField showAll="0"/>
    <pivotField showAll="0"/>
    <pivotField showAll="0"/>
  </pivotFields>
  <rowFields count="1">
    <field x="3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Items count="1">
    <i/>
  </colItems>
  <dataFields count="1">
    <dataField name="Contagem de CHAV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57"/>
  <sheetViews>
    <sheetView workbookViewId="0">
      <selection activeCell="E4" sqref="E4"/>
    </sheetView>
  </sheetViews>
  <sheetFormatPr defaultRowHeight="15" x14ac:dyDescent="0.25"/>
  <cols>
    <col min="1" max="1" width="18" bestFit="1" customWidth="1"/>
    <col min="2" max="2" width="19.42578125" bestFit="1" customWidth="1"/>
  </cols>
  <sheetData>
    <row r="3" spans="1:5" x14ac:dyDescent="0.25">
      <c r="A3" s="3" t="s">
        <v>233</v>
      </c>
      <c r="B3" t="s">
        <v>388</v>
      </c>
    </row>
    <row r="4" spans="1:5" x14ac:dyDescent="0.25">
      <c r="A4" s="4" t="s">
        <v>234</v>
      </c>
      <c r="B4" s="2">
        <v>1</v>
      </c>
      <c r="C4" t="str">
        <f>MID(A4,1,SEARCH("|",A4,1)-1)</f>
        <v>003</v>
      </c>
      <c r="D4" t="str">
        <f>MID(A4,SEARCH("|",A4,1)+1,6)</f>
        <v>000003</v>
      </c>
      <c r="E4" t="str">
        <f>"INSERT INTO ctb_filial_centro_custo (CENTRO_CUSTO,COD_FILIAL,PORCENTAGEM) VALUES ('"&amp;TRIM(C4)&amp;"', '"&amp;TRIM(D4)&amp;"',100)"</f>
        <v>INSERT INTO ctb_filial_centro_custo (CENTRO_CUSTO,COD_FILIAL,PORCENTAGEM) VALUES ('003', '000003',100)</v>
      </c>
    </row>
    <row r="5" spans="1:5" x14ac:dyDescent="0.25">
      <c r="A5" s="4" t="s">
        <v>235</v>
      </c>
      <c r="B5" s="2">
        <v>1</v>
      </c>
      <c r="C5" t="str">
        <f t="shared" ref="C5:C68" si="0">MID(A5,1,SEARCH("|",A5,1)-1)</f>
        <v>003</v>
      </c>
      <c r="D5" t="str">
        <f t="shared" ref="D5:D68" si="1">MID(A5,SEARCH("|",A5,1)+1,6)</f>
        <v>000004</v>
      </c>
      <c r="E5" t="str">
        <f t="shared" ref="E5:E68" si="2">"INSERT INTO ctb_filial_centro_custo (CENTRO_CUSTO,COD_FILIAL,PORCENTAGEM) VALUES ('"&amp;TRIM(C5)&amp;"', '"&amp;TRIM(D5)&amp;"',100)"</f>
        <v>INSERT INTO ctb_filial_centro_custo (CENTRO_CUSTO,COD_FILIAL,PORCENTAGEM) VALUES ('003', '000004',100)</v>
      </c>
    </row>
    <row r="6" spans="1:5" x14ac:dyDescent="0.25">
      <c r="A6" s="4" t="s">
        <v>236</v>
      </c>
      <c r="B6" s="2">
        <v>1</v>
      </c>
      <c r="C6" t="str">
        <f t="shared" si="0"/>
        <v>003</v>
      </c>
      <c r="D6" t="str">
        <f t="shared" si="1"/>
        <v>000005</v>
      </c>
      <c r="E6" t="str">
        <f t="shared" si="2"/>
        <v>INSERT INTO ctb_filial_centro_custo (CENTRO_CUSTO,COD_FILIAL,PORCENTAGEM) VALUES ('003', '000005',100)</v>
      </c>
    </row>
    <row r="7" spans="1:5" x14ac:dyDescent="0.25">
      <c r="A7" s="4" t="s">
        <v>237</v>
      </c>
      <c r="B7" s="2">
        <v>1</v>
      </c>
      <c r="C7" t="str">
        <f t="shared" si="0"/>
        <v>003</v>
      </c>
      <c r="D7" t="str">
        <f t="shared" si="1"/>
        <v>000006</v>
      </c>
      <c r="E7" t="str">
        <f t="shared" si="2"/>
        <v>INSERT INTO ctb_filial_centro_custo (CENTRO_CUSTO,COD_FILIAL,PORCENTAGEM) VALUES ('003', '000006',100)</v>
      </c>
    </row>
    <row r="8" spans="1:5" x14ac:dyDescent="0.25">
      <c r="A8" s="4" t="s">
        <v>238</v>
      </c>
      <c r="B8" s="2">
        <v>1</v>
      </c>
      <c r="C8" t="str">
        <f t="shared" si="0"/>
        <v>003</v>
      </c>
      <c r="D8" t="str">
        <f t="shared" si="1"/>
        <v>000007</v>
      </c>
      <c r="E8" t="str">
        <f t="shared" si="2"/>
        <v>INSERT INTO ctb_filial_centro_custo (CENTRO_CUSTO,COD_FILIAL,PORCENTAGEM) VALUES ('003', '000007',100)</v>
      </c>
    </row>
    <row r="9" spans="1:5" x14ac:dyDescent="0.25">
      <c r="A9" s="4" t="s">
        <v>239</v>
      </c>
      <c r="B9" s="2">
        <v>1</v>
      </c>
      <c r="C9" t="str">
        <f t="shared" si="0"/>
        <v>003</v>
      </c>
      <c r="D9" t="str">
        <f t="shared" si="1"/>
        <v>000008</v>
      </c>
      <c r="E9" t="str">
        <f t="shared" si="2"/>
        <v>INSERT INTO ctb_filial_centro_custo (CENTRO_CUSTO,COD_FILIAL,PORCENTAGEM) VALUES ('003', '000008',100)</v>
      </c>
    </row>
    <row r="10" spans="1:5" x14ac:dyDescent="0.25">
      <c r="A10" s="4" t="s">
        <v>240</v>
      </c>
      <c r="B10" s="2">
        <v>1</v>
      </c>
      <c r="C10" t="str">
        <f t="shared" si="0"/>
        <v>003</v>
      </c>
      <c r="D10" t="str">
        <f t="shared" si="1"/>
        <v>000009</v>
      </c>
      <c r="E10" t="str">
        <f t="shared" si="2"/>
        <v>INSERT INTO ctb_filial_centro_custo (CENTRO_CUSTO,COD_FILIAL,PORCENTAGEM) VALUES ('003', '000009',100)</v>
      </c>
    </row>
    <row r="11" spans="1:5" x14ac:dyDescent="0.25">
      <c r="A11" s="4" t="s">
        <v>241</v>
      </c>
      <c r="B11" s="2">
        <v>1</v>
      </c>
      <c r="C11" t="str">
        <f t="shared" si="0"/>
        <v>003</v>
      </c>
      <c r="D11" t="str">
        <f t="shared" si="1"/>
        <v>000010</v>
      </c>
      <c r="E11" t="str">
        <f t="shared" si="2"/>
        <v>INSERT INTO ctb_filial_centro_custo (CENTRO_CUSTO,COD_FILIAL,PORCENTAGEM) VALUES ('003', '000010',100)</v>
      </c>
    </row>
    <row r="12" spans="1:5" x14ac:dyDescent="0.25">
      <c r="A12" s="4" t="s">
        <v>242</v>
      </c>
      <c r="B12" s="2">
        <v>1</v>
      </c>
      <c r="C12" t="str">
        <f t="shared" si="0"/>
        <v>003</v>
      </c>
      <c r="D12" t="str">
        <f t="shared" si="1"/>
        <v>000011</v>
      </c>
      <c r="E12" t="str">
        <f t="shared" si="2"/>
        <v>INSERT INTO ctb_filial_centro_custo (CENTRO_CUSTO,COD_FILIAL,PORCENTAGEM) VALUES ('003', '000011',100)</v>
      </c>
    </row>
    <row r="13" spans="1:5" x14ac:dyDescent="0.25">
      <c r="A13" s="4" t="s">
        <v>243</v>
      </c>
      <c r="B13" s="2">
        <v>1</v>
      </c>
      <c r="C13" t="str">
        <f t="shared" si="0"/>
        <v>003</v>
      </c>
      <c r="D13" t="str">
        <f t="shared" si="1"/>
        <v>000012</v>
      </c>
      <c r="E13" t="str">
        <f t="shared" si="2"/>
        <v>INSERT INTO ctb_filial_centro_custo (CENTRO_CUSTO,COD_FILIAL,PORCENTAGEM) VALUES ('003', '000012',100)</v>
      </c>
    </row>
    <row r="14" spans="1:5" x14ac:dyDescent="0.25">
      <c r="A14" s="4" t="s">
        <v>244</v>
      </c>
      <c r="B14" s="2">
        <v>1</v>
      </c>
      <c r="C14" t="str">
        <f t="shared" si="0"/>
        <v>003</v>
      </c>
      <c r="D14" t="str">
        <f t="shared" si="1"/>
        <v>000014</v>
      </c>
      <c r="E14" t="str">
        <f t="shared" si="2"/>
        <v>INSERT INTO ctb_filial_centro_custo (CENTRO_CUSTO,COD_FILIAL,PORCENTAGEM) VALUES ('003', '000014',100)</v>
      </c>
    </row>
    <row r="15" spans="1:5" x14ac:dyDescent="0.25">
      <c r="A15" s="4" t="s">
        <v>245</v>
      </c>
      <c r="B15" s="2">
        <v>1</v>
      </c>
      <c r="C15" t="str">
        <f t="shared" si="0"/>
        <v>003</v>
      </c>
      <c r="D15" t="str">
        <f t="shared" si="1"/>
        <v>000015</v>
      </c>
      <c r="E15" t="str">
        <f t="shared" si="2"/>
        <v>INSERT INTO ctb_filial_centro_custo (CENTRO_CUSTO,COD_FILIAL,PORCENTAGEM) VALUES ('003', '000015',100)</v>
      </c>
    </row>
    <row r="16" spans="1:5" x14ac:dyDescent="0.25">
      <c r="A16" s="4" t="s">
        <v>246</v>
      </c>
      <c r="B16" s="2">
        <v>1</v>
      </c>
      <c r="C16" t="str">
        <f t="shared" si="0"/>
        <v>003</v>
      </c>
      <c r="D16" t="str">
        <f t="shared" si="1"/>
        <v>000018</v>
      </c>
      <c r="E16" t="str">
        <f t="shared" si="2"/>
        <v>INSERT INTO ctb_filial_centro_custo (CENTRO_CUSTO,COD_FILIAL,PORCENTAGEM) VALUES ('003', '000018',100)</v>
      </c>
    </row>
    <row r="17" spans="1:5" x14ac:dyDescent="0.25">
      <c r="A17" s="4" t="s">
        <v>247</v>
      </c>
      <c r="B17" s="2">
        <v>1</v>
      </c>
      <c r="C17" t="str">
        <f t="shared" si="0"/>
        <v>003</v>
      </c>
      <c r="D17" t="str">
        <f t="shared" si="1"/>
        <v>000019</v>
      </c>
      <c r="E17" t="str">
        <f t="shared" si="2"/>
        <v>INSERT INTO ctb_filial_centro_custo (CENTRO_CUSTO,COD_FILIAL,PORCENTAGEM) VALUES ('003', '000019',100)</v>
      </c>
    </row>
    <row r="18" spans="1:5" x14ac:dyDescent="0.25">
      <c r="A18" s="4" t="s">
        <v>248</v>
      </c>
      <c r="B18" s="2">
        <v>1</v>
      </c>
      <c r="C18" t="str">
        <f t="shared" si="0"/>
        <v>003</v>
      </c>
      <c r="D18" t="str">
        <f t="shared" si="1"/>
        <v>000020</v>
      </c>
      <c r="E18" t="str">
        <f t="shared" si="2"/>
        <v>INSERT INTO ctb_filial_centro_custo (CENTRO_CUSTO,COD_FILIAL,PORCENTAGEM) VALUES ('003', '000020',100)</v>
      </c>
    </row>
    <row r="19" spans="1:5" x14ac:dyDescent="0.25">
      <c r="A19" s="4" t="s">
        <v>249</v>
      </c>
      <c r="B19" s="2">
        <v>1</v>
      </c>
      <c r="C19" t="str">
        <f t="shared" si="0"/>
        <v>003</v>
      </c>
      <c r="D19" t="str">
        <f t="shared" si="1"/>
        <v>000023</v>
      </c>
      <c r="E19" t="str">
        <f t="shared" si="2"/>
        <v>INSERT INTO ctb_filial_centro_custo (CENTRO_CUSTO,COD_FILIAL,PORCENTAGEM) VALUES ('003', '000023',100)</v>
      </c>
    </row>
    <row r="20" spans="1:5" x14ac:dyDescent="0.25">
      <c r="A20" s="4" t="s">
        <v>250</v>
      </c>
      <c r="B20" s="2">
        <v>1</v>
      </c>
      <c r="C20" t="str">
        <f t="shared" si="0"/>
        <v>003</v>
      </c>
      <c r="D20" t="str">
        <f t="shared" si="1"/>
        <v>000025</v>
      </c>
      <c r="E20" t="str">
        <f t="shared" si="2"/>
        <v>INSERT INTO ctb_filial_centro_custo (CENTRO_CUSTO,COD_FILIAL,PORCENTAGEM) VALUES ('003', '000025',100)</v>
      </c>
    </row>
    <row r="21" spans="1:5" x14ac:dyDescent="0.25">
      <c r="A21" s="4" t="s">
        <v>251</v>
      </c>
      <c r="B21" s="2">
        <v>1</v>
      </c>
      <c r="C21" t="str">
        <f t="shared" si="0"/>
        <v>003</v>
      </c>
      <c r="D21" t="str">
        <f t="shared" si="1"/>
        <v>000026</v>
      </c>
      <c r="E21" t="str">
        <f t="shared" si="2"/>
        <v>INSERT INTO ctb_filial_centro_custo (CENTRO_CUSTO,COD_FILIAL,PORCENTAGEM) VALUES ('003', '000026',100)</v>
      </c>
    </row>
    <row r="22" spans="1:5" x14ac:dyDescent="0.25">
      <c r="A22" s="4" t="s">
        <v>252</v>
      </c>
      <c r="B22" s="2">
        <v>1</v>
      </c>
      <c r="C22" t="str">
        <f t="shared" si="0"/>
        <v>003</v>
      </c>
      <c r="D22" t="str">
        <f t="shared" si="1"/>
        <v>000027</v>
      </c>
      <c r="E22" t="str">
        <f t="shared" si="2"/>
        <v>INSERT INTO ctb_filial_centro_custo (CENTRO_CUSTO,COD_FILIAL,PORCENTAGEM) VALUES ('003', '000027',100)</v>
      </c>
    </row>
    <row r="23" spans="1:5" x14ac:dyDescent="0.25">
      <c r="A23" s="4" t="s">
        <v>253</v>
      </c>
      <c r="B23" s="2">
        <v>1</v>
      </c>
      <c r="C23" t="str">
        <f t="shared" si="0"/>
        <v>003</v>
      </c>
      <c r="D23" t="str">
        <f t="shared" si="1"/>
        <v>000028</v>
      </c>
      <c r="E23" t="str">
        <f t="shared" si="2"/>
        <v>INSERT INTO ctb_filial_centro_custo (CENTRO_CUSTO,COD_FILIAL,PORCENTAGEM) VALUES ('003', '000028',100)</v>
      </c>
    </row>
    <row r="24" spans="1:5" x14ac:dyDescent="0.25">
      <c r="A24" s="4" t="s">
        <v>254</v>
      </c>
      <c r="B24" s="2">
        <v>1</v>
      </c>
      <c r="C24" t="str">
        <f t="shared" si="0"/>
        <v>003</v>
      </c>
      <c r="D24" t="str">
        <f t="shared" si="1"/>
        <v>000029</v>
      </c>
      <c r="E24" t="str">
        <f t="shared" si="2"/>
        <v>INSERT INTO ctb_filial_centro_custo (CENTRO_CUSTO,COD_FILIAL,PORCENTAGEM) VALUES ('003', '000029',100)</v>
      </c>
    </row>
    <row r="25" spans="1:5" x14ac:dyDescent="0.25">
      <c r="A25" s="4" t="s">
        <v>255</v>
      </c>
      <c r="B25" s="2">
        <v>1</v>
      </c>
      <c r="C25" t="str">
        <f t="shared" si="0"/>
        <v>003</v>
      </c>
      <c r="D25" t="str">
        <f t="shared" si="1"/>
        <v>000030</v>
      </c>
      <c r="E25" t="str">
        <f t="shared" si="2"/>
        <v>INSERT INTO ctb_filial_centro_custo (CENTRO_CUSTO,COD_FILIAL,PORCENTAGEM) VALUES ('003', '000030',100)</v>
      </c>
    </row>
    <row r="26" spans="1:5" x14ac:dyDescent="0.25">
      <c r="A26" s="4" t="s">
        <v>256</v>
      </c>
      <c r="B26" s="2">
        <v>1</v>
      </c>
      <c r="C26" t="str">
        <f t="shared" si="0"/>
        <v>003</v>
      </c>
      <c r="D26" t="str">
        <f t="shared" si="1"/>
        <v>000035</v>
      </c>
      <c r="E26" t="str">
        <f t="shared" si="2"/>
        <v>INSERT INTO ctb_filial_centro_custo (CENTRO_CUSTO,COD_FILIAL,PORCENTAGEM) VALUES ('003', '000035',100)</v>
      </c>
    </row>
    <row r="27" spans="1:5" x14ac:dyDescent="0.25">
      <c r="A27" s="4" t="s">
        <v>257</v>
      </c>
      <c r="B27" s="2">
        <v>1</v>
      </c>
      <c r="C27" t="str">
        <f t="shared" si="0"/>
        <v>003</v>
      </c>
      <c r="D27" t="str">
        <f t="shared" si="1"/>
        <v>000036</v>
      </c>
      <c r="E27" t="str">
        <f t="shared" si="2"/>
        <v>INSERT INTO ctb_filial_centro_custo (CENTRO_CUSTO,COD_FILIAL,PORCENTAGEM) VALUES ('003', '000036',100)</v>
      </c>
    </row>
    <row r="28" spans="1:5" x14ac:dyDescent="0.25">
      <c r="A28" s="4" t="s">
        <v>258</v>
      </c>
      <c r="B28" s="2">
        <v>1</v>
      </c>
      <c r="C28" t="str">
        <f t="shared" si="0"/>
        <v>003</v>
      </c>
      <c r="D28" t="str">
        <f t="shared" si="1"/>
        <v>000042</v>
      </c>
      <c r="E28" t="str">
        <f t="shared" si="2"/>
        <v>INSERT INTO ctb_filial_centro_custo (CENTRO_CUSTO,COD_FILIAL,PORCENTAGEM) VALUES ('003', '000042',100)</v>
      </c>
    </row>
    <row r="29" spans="1:5" x14ac:dyDescent="0.25">
      <c r="A29" s="4" t="s">
        <v>259</v>
      </c>
      <c r="B29" s="2">
        <v>1</v>
      </c>
      <c r="C29" t="str">
        <f t="shared" si="0"/>
        <v>003</v>
      </c>
      <c r="D29" t="str">
        <f t="shared" si="1"/>
        <v>000045</v>
      </c>
      <c r="E29" t="str">
        <f t="shared" si="2"/>
        <v>INSERT INTO ctb_filial_centro_custo (CENTRO_CUSTO,COD_FILIAL,PORCENTAGEM) VALUES ('003', '000045',100)</v>
      </c>
    </row>
    <row r="30" spans="1:5" x14ac:dyDescent="0.25">
      <c r="A30" s="4" t="s">
        <v>260</v>
      </c>
      <c r="B30" s="2">
        <v>1</v>
      </c>
      <c r="C30" t="str">
        <f t="shared" si="0"/>
        <v>003</v>
      </c>
      <c r="D30" t="str">
        <f t="shared" si="1"/>
        <v>000046</v>
      </c>
      <c r="E30" t="str">
        <f t="shared" si="2"/>
        <v>INSERT INTO ctb_filial_centro_custo (CENTRO_CUSTO,COD_FILIAL,PORCENTAGEM) VALUES ('003', '000046',100)</v>
      </c>
    </row>
    <row r="31" spans="1:5" x14ac:dyDescent="0.25">
      <c r="A31" s="4" t="s">
        <v>261</v>
      </c>
      <c r="B31" s="2">
        <v>1</v>
      </c>
      <c r="C31" t="str">
        <f t="shared" si="0"/>
        <v>003</v>
      </c>
      <c r="D31" t="str">
        <f t="shared" si="1"/>
        <v>000047</v>
      </c>
      <c r="E31" t="str">
        <f t="shared" si="2"/>
        <v>INSERT INTO ctb_filial_centro_custo (CENTRO_CUSTO,COD_FILIAL,PORCENTAGEM) VALUES ('003', '000047',100)</v>
      </c>
    </row>
    <row r="32" spans="1:5" x14ac:dyDescent="0.25">
      <c r="A32" s="4" t="s">
        <v>262</v>
      </c>
      <c r="B32" s="2">
        <v>1</v>
      </c>
      <c r="C32" t="str">
        <f t="shared" si="0"/>
        <v>003</v>
      </c>
      <c r="D32" t="str">
        <f t="shared" si="1"/>
        <v>000055</v>
      </c>
      <c r="E32" t="str">
        <f t="shared" si="2"/>
        <v>INSERT INTO ctb_filial_centro_custo (CENTRO_CUSTO,COD_FILIAL,PORCENTAGEM) VALUES ('003', '000055',100)</v>
      </c>
    </row>
    <row r="33" spans="1:5" x14ac:dyDescent="0.25">
      <c r="A33" s="4" t="s">
        <v>263</v>
      </c>
      <c r="B33" s="2">
        <v>1</v>
      </c>
      <c r="C33" t="str">
        <f t="shared" si="0"/>
        <v>003</v>
      </c>
      <c r="D33" t="str">
        <f t="shared" si="1"/>
        <v>000056</v>
      </c>
      <c r="E33" t="str">
        <f t="shared" si="2"/>
        <v>INSERT INTO ctb_filial_centro_custo (CENTRO_CUSTO,COD_FILIAL,PORCENTAGEM) VALUES ('003', '000056',100)</v>
      </c>
    </row>
    <row r="34" spans="1:5" x14ac:dyDescent="0.25">
      <c r="A34" s="4" t="s">
        <v>264</v>
      </c>
      <c r="B34" s="2">
        <v>1</v>
      </c>
      <c r="C34" t="str">
        <f t="shared" si="0"/>
        <v>003</v>
      </c>
      <c r="D34" t="str">
        <f t="shared" si="1"/>
        <v>000057</v>
      </c>
      <c r="E34" t="str">
        <f t="shared" si="2"/>
        <v>INSERT INTO ctb_filial_centro_custo (CENTRO_CUSTO,COD_FILIAL,PORCENTAGEM) VALUES ('003', '000057',100)</v>
      </c>
    </row>
    <row r="35" spans="1:5" x14ac:dyDescent="0.25">
      <c r="A35" s="4" t="s">
        <v>265</v>
      </c>
      <c r="B35" s="2">
        <v>1</v>
      </c>
      <c r="C35" t="str">
        <f t="shared" si="0"/>
        <v>003</v>
      </c>
      <c r="D35" t="str">
        <f t="shared" si="1"/>
        <v>000058</v>
      </c>
      <c r="E35" t="str">
        <f t="shared" si="2"/>
        <v>INSERT INTO ctb_filial_centro_custo (CENTRO_CUSTO,COD_FILIAL,PORCENTAGEM) VALUES ('003', '000058',100)</v>
      </c>
    </row>
    <row r="36" spans="1:5" x14ac:dyDescent="0.25">
      <c r="A36" s="4" t="s">
        <v>266</v>
      </c>
      <c r="B36" s="2">
        <v>1</v>
      </c>
      <c r="C36" t="str">
        <f t="shared" si="0"/>
        <v>003</v>
      </c>
      <c r="D36" t="str">
        <f t="shared" si="1"/>
        <v>000059</v>
      </c>
      <c r="E36" t="str">
        <f t="shared" si="2"/>
        <v>INSERT INTO ctb_filial_centro_custo (CENTRO_CUSTO,COD_FILIAL,PORCENTAGEM) VALUES ('003', '000059',100)</v>
      </c>
    </row>
    <row r="37" spans="1:5" x14ac:dyDescent="0.25">
      <c r="A37" s="4" t="s">
        <v>267</v>
      </c>
      <c r="B37" s="2">
        <v>1</v>
      </c>
      <c r="C37" t="str">
        <f t="shared" si="0"/>
        <v>003</v>
      </c>
      <c r="D37" t="str">
        <f t="shared" si="1"/>
        <v>000060</v>
      </c>
      <c r="E37" t="str">
        <f t="shared" si="2"/>
        <v>INSERT INTO ctb_filial_centro_custo (CENTRO_CUSTO,COD_FILIAL,PORCENTAGEM) VALUES ('003', '000060',100)</v>
      </c>
    </row>
    <row r="38" spans="1:5" x14ac:dyDescent="0.25">
      <c r="A38" s="4" t="s">
        <v>268</v>
      </c>
      <c r="B38" s="2">
        <v>1</v>
      </c>
      <c r="C38" t="str">
        <f t="shared" si="0"/>
        <v>003</v>
      </c>
      <c r="D38" t="str">
        <f t="shared" si="1"/>
        <v>000061</v>
      </c>
      <c r="E38" t="str">
        <f t="shared" si="2"/>
        <v>INSERT INTO ctb_filial_centro_custo (CENTRO_CUSTO,COD_FILIAL,PORCENTAGEM) VALUES ('003', '000061',100)</v>
      </c>
    </row>
    <row r="39" spans="1:5" x14ac:dyDescent="0.25">
      <c r="A39" s="4" t="s">
        <v>269</v>
      </c>
      <c r="B39" s="2">
        <v>1</v>
      </c>
      <c r="C39" t="str">
        <f t="shared" si="0"/>
        <v>003</v>
      </c>
      <c r="D39" t="str">
        <f t="shared" si="1"/>
        <v>000062</v>
      </c>
      <c r="E39" t="str">
        <f t="shared" si="2"/>
        <v>INSERT INTO ctb_filial_centro_custo (CENTRO_CUSTO,COD_FILIAL,PORCENTAGEM) VALUES ('003', '000062',100)</v>
      </c>
    </row>
    <row r="40" spans="1:5" x14ac:dyDescent="0.25">
      <c r="A40" s="4" t="s">
        <v>270</v>
      </c>
      <c r="B40" s="2">
        <v>1</v>
      </c>
      <c r="C40" t="str">
        <f t="shared" si="0"/>
        <v>003</v>
      </c>
      <c r="D40" t="str">
        <f t="shared" si="1"/>
        <v>000063</v>
      </c>
      <c r="E40" t="str">
        <f t="shared" si="2"/>
        <v>INSERT INTO ctb_filial_centro_custo (CENTRO_CUSTO,COD_FILIAL,PORCENTAGEM) VALUES ('003', '000063',100)</v>
      </c>
    </row>
    <row r="41" spans="1:5" x14ac:dyDescent="0.25">
      <c r="A41" s="4" t="s">
        <v>271</v>
      </c>
      <c r="B41" s="2">
        <v>1</v>
      </c>
      <c r="C41" t="str">
        <f t="shared" si="0"/>
        <v>003</v>
      </c>
      <c r="D41" t="str">
        <f t="shared" si="1"/>
        <v>000064</v>
      </c>
      <c r="E41" t="str">
        <f t="shared" si="2"/>
        <v>INSERT INTO ctb_filial_centro_custo (CENTRO_CUSTO,COD_FILIAL,PORCENTAGEM) VALUES ('003', '000064',100)</v>
      </c>
    </row>
    <row r="42" spans="1:5" x14ac:dyDescent="0.25">
      <c r="A42" s="4" t="s">
        <v>272</v>
      </c>
      <c r="B42" s="2">
        <v>1</v>
      </c>
      <c r="C42" t="str">
        <f t="shared" si="0"/>
        <v>003</v>
      </c>
      <c r="D42" t="str">
        <f t="shared" si="1"/>
        <v>000065</v>
      </c>
      <c r="E42" t="str">
        <f t="shared" si="2"/>
        <v>INSERT INTO ctb_filial_centro_custo (CENTRO_CUSTO,COD_FILIAL,PORCENTAGEM) VALUES ('003', '000065',100)</v>
      </c>
    </row>
    <row r="43" spans="1:5" x14ac:dyDescent="0.25">
      <c r="A43" s="4" t="s">
        <v>273</v>
      </c>
      <c r="B43" s="2">
        <v>1</v>
      </c>
      <c r="C43" t="str">
        <f t="shared" si="0"/>
        <v>003</v>
      </c>
      <c r="D43" t="str">
        <f t="shared" si="1"/>
        <v>000067</v>
      </c>
      <c r="E43" t="str">
        <f t="shared" si="2"/>
        <v>INSERT INTO ctb_filial_centro_custo (CENTRO_CUSTO,COD_FILIAL,PORCENTAGEM) VALUES ('003', '000067',100)</v>
      </c>
    </row>
    <row r="44" spans="1:5" x14ac:dyDescent="0.25">
      <c r="A44" s="4" t="s">
        <v>274</v>
      </c>
      <c r="B44" s="2">
        <v>1</v>
      </c>
      <c r="C44" t="str">
        <f t="shared" si="0"/>
        <v>003</v>
      </c>
      <c r="D44" t="str">
        <f t="shared" si="1"/>
        <v>000068</v>
      </c>
      <c r="E44" t="str">
        <f t="shared" si="2"/>
        <v>INSERT INTO ctb_filial_centro_custo (CENTRO_CUSTO,COD_FILIAL,PORCENTAGEM) VALUES ('003', '000068',100)</v>
      </c>
    </row>
    <row r="45" spans="1:5" x14ac:dyDescent="0.25">
      <c r="A45" s="4" t="s">
        <v>275</v>
      </c>
      <c r="B45" s="2">
        <v>1</v>
      </c>
      <c r="C45" t="str">
        <f t="shared" si="0"/>
        <v>003</v>
      </c>
      <c r="D45" t="str">
        <f t="shared" si="1"/>
        <v>000071</v>
      </c>
      <c r="E45" t="str">
        <f t="shared" si="2"/>
        <v>INSERT INTO ctb_filial_centro_custo (CENTRO_CUSTO,COD_FILIAL,PORCENTAGEM) VALUES ('003', '000071',100)</v>
      </c>
    </row>
    <row r="46" spans="1:5" x14ac:dyDescent="0.25">
      <c r="A46" s="4" t="s">
        <v>276</v>
      </c>
      <c r="B46" s="2">
        <v>1</v>
      </c>
      <c r="C46" t="str">
        <f t="shared" si="0"/>
        <v>003</v>
      </c>
      <c r="D46" t="str">
        <f t="shared" si="1"/>
        <v>000072</v>
      </c>
      <c r="E46" t="str">
        <f t="shared" si="2"/>
        <v>INSERT INTO ctb_filial_centro_custo (CENTRO_CUSTO,COD_FILIAL,PORCENTAGEM) VALUES ('003', '000072',100)</v>
      </c>
    </row>
    <row r="47" spans="1:5" x14ac:dyDescent="0.25">
      <c r="A47" s="4" t="s">
        <v>277</v>
      </c>
      <c r="B47" s="2">
        <v>1</v>
      </c>
      <c r="C47" t="str">
        <f t="shared" si="0"/>
        <v>003</v>
      </c>
      <c r="D47" t="str">
        <f t="shared" si="1"/>
        <v>000074</v>
      </c>
      <c r="E47" t="str">
        <f t="shared" si="2"/>
        <v>INSERT INTO ctb_filial_centro_custo (CENTRO_CUSTO,COD_FILIAL,PORCENTAGEM) VALUES ('003', '000074',100)</v>
      </c>
    </row>
    <row r="48" spans="1:5" x14ac:dyDescent="0.25">
      <c r="A48" s="4" t="s">
        <v>278</v>
      </c>
      <c r="B48" s="2">
        <v>1</v>
      </c>
      <c r="C48" t="str">
        <f t="shared" si="0"/>
        <v>003</v>
      </c>
      <c r="D48" t="str">
        <f t="shared" si="1"/>
        <v>000075</v>
      </c>
      <c r="E48" t="str">
        <f t="shared" si="2"/>
        <v>INSERT INTO ctb_filial_centro_custo (CENTRO_CUSTO,COD_FILIAL,PORCENTAGEM) VALUES ('003', '000075',100)</v>
      </c>
    </row>
    <row r="49" spans="1:5" x14ac:dyDescent="0.25">
      <c r="A49" s="4" t="s">
        <v>279</v>
      </c>
      <c r="B49" s="2">
        <v>1</v>
      </c>
      <c r="C49" t="str">
        <f t="shared" si="0"/>
        <v>003</v>
      </c>
      <c r="D49" t="str">
        <f t="shared" si="1"/>
        <v>000076</v>
      </c>
      <c r="E49" t="str">
        <f t="shared" si="2"/>
        <v>INSERT INTO ctb_filial_centro_custo (CENTRO_CUSTO,COD_FILIAL,PORCENTAGEM) VALUES ('003', '000076',100)</v>
      </c>
    </row>
    <row r="50" spans="1:5" x14ac:dyDescent="0.25">
      <c r="A50" s="4" t="s">
        <v>280</v>
      </c>
      <c r="B50" s="2">
        <v>1</v>
      </c>
      <c r="C50" t="str">
        <f t="shared" si="0"/>
        <v>003</v>
      </c>
      <c r="D50" t="str">
        <f t="shared" si="1"/>
        <v>000079</v>
      </c>
      <c r="E50" t="str">
        <f t="shared" si="2"/>
        <v>INSERT INTO ctb_filial_centro_custo (CENTRO_CUSTO,COD_FILIAL,PORCENTAGEM) VALUES ('003', '000079',100)</v>
      </c>
    </row>
    <row r="51" spans="1:5" x14ac:dyDescent="0.25">
      <c r="A51" s="4" t="s">
        <v>281</v>
      </c>
      <c r="B51" s="2">
        <v>1</v>
      </c>
      <c r="C51" t="str">
        <f t="shared" si="0"/>
        <v>003</v>
      </c>
      <c r="D51" t="str">
        <f t="shared" si="1"/>
        <v>000080</v>
      </c>
      <c r="E51" t="str">
        <f t="shared" si="2"/>
        <v>INSERT INTO ctb_filial_centro_custo (CENTRO_CUSTO,COD_FILIAL,PORCENTAGEM) VALUES ('003', '000080',100)</v>
      </c>
    </row>
    <row r="52" spans="1:5" x14ac:dyDescent="0.25">
      <c r="A52" s="4" t="s">
        <v>282</v>
      </c>
      <c r="B52" s="2">
        <v>1</v>
      </c>
      <c r="C52" t="str">
        <f t="shared" si="0"/>
        <v>003</v>
      </c>
      <c r="D52" t="str">
        <f t="shared" si="1"/>
        <v>000081</v>
      </c>
      <c r="E52" t="str">
        <f t="shared" si="2"/>
        <v>INSERT INTO ctb_filial_centro_custo (CENTRO_CUSTO,COD_FILIAL,PORCENTAGEM) VALUES ('003', '000081',100)</v>
      </c>
    </row>
    <row r="53" spans="1:5" x14ac:dyDescent="0.25">
      <c r="A53" s="4" t="s">
        <v>283</v>
      </c>
      <c r="B53" s="2">
        <v>1</v>
      </c>
      <c r="C53" t="str">
        <f t="shared" si="0"/>
        <v>003</v>
      </c>
      <c r="D53" t="str">
        <f t="shared" si="1"/>
        <v>000082</v>
      </c>
      <c r="E53" t="str">
        <f t="shared" si="2"/>
        <v>INSERT INTO ctb_filial_centro_custo (CENTRO_CUSTO,COD_FILIAL,PORCENTAGEM) VALUES ('003', '000082',100)</v>
      </c>
    </row>
    <row r="54" spans="1:5" x14ac:dyDescent="0.25">
      <c r="A54" s="4" t="s">
        <v>284</v>
      </c>
      <c r="B54" s="2">
        <v>1</v>
      </c>
      <c r="C54" t="str">
        <f t="shared" si="0"/>
        <v>003</v>
      </c>
      <c r="D54" t="str">
        <f t="shared" si="1"/>
        <v>000084</v>
      </c>
      <c r="E54" t="str">
        <f t="shared" si="2"/>
        <v>INSERT INTO ctb_filial_centro_custo (CENTRO_CUSTO,COD_FILIAL,PORCENTAGEM) VALUES ('003', '000084',100)</v>
      </c>
    </row>
    <row r="55" spans="1:5" x14ac:dyDescent="0.25">
      <c r="A55" s="4" t="s">
        <v>285</v>
      </c>
      <c r="B55" s="2">
        <v>1</v>
      </c>
      <c r="C55" t="str">
        <f t="shared" si="0"/>
        <v>003</v>
      </c>
      <c r="D55" t="str">
        <f t="shared" si="1"/>
        <v>000090</v>
      </c>
      <c r="E55" t="str">
        <f t="shared" si="2"/>
        <v>INSERT INTO ctb_filial_centro_custo (CENTRO_CUSTO,COD_FILIAL,PORCENTAGEM) VALUES ('003', '000090',100)</v>
      </c>
    </row>
    <row r="56" spans="1:5" x14ac:dyDescent="0.25">
      <c r="A56" s="4" t="s">
        <v>286</v>
      </c>
      <c r="B56" s="2">
        <v>1</v>
      </c>
      <c r="C56" t="str">
        <f t="shared" si="0"/>
        <v>003</v>
      </c>
      <c r="D56" t="str">
        <f t="shared" si="1"/>
        <v>000091</v>
      </c>
      <c r="E56" t="str">
        <f t="shared" si="2"/>
        <v>INSERT INTO ctb_filial_centro_custo (CENTRO_CUSTO,COD_FILIAL,PORCENTAGEM) VALUES ('003', '000091',100)</v>
      </c>
    </row>
    <row r="57" spans="1:5" x14ac:dyDescent="0.25">
      <c r="A57" s="4" t="s">
        <v>287</v>
      </c>
      <c r="B57" s="2">
        <v>1</v>
      </c>
      <c r="C57" t="str">
        <f t="shared" si="0"/>
        <v>003</v>
      </c>
      <c r="D57" t="str">
        <f t="shared" si="1"/>
        <v>000092</v>
      </c>
      <c r="E57" t="str">
        <f t="shared" si="2"/>
        <v>INSERT INTO ctb_filial_centro_custo (CENTRO_CUSTO,COD_FILIAL,PORCENTAGEM) VALUES ('003', '000092',100)</v>
      </c>
    </row>
    <row r="58" spans="1:5" x14ac:dyDescent="0.25">
      <c r="A58" s="4" t="s">
        <v>288</v>
      </c>
      <c r="B58" s="2">
        <v>1</v>
      </c>
      <c r="C58" t="str">
        <f t="shared" si="0"/>
        <v>003</v>
      </c>
      <c r="D58" t="str">
        <f t="shared" si="1"/>
        <v>000093</v>
      </c>
      <c r="E58" t="str">
        <f t="shared" si="2"/>
        <v>INSERT INTO ctb_filial_centro_custo (CENTRO_CUSTO,COD_FILIAL,PORCENTAGEM) VALUES ('003', '000093',100)</v>
      </c>
    </row>
    <row r="59" spans="1:5" x14ac:dyDescent="0.25">
      <c r="A59" s="4" t="s">
        <v>289</v>
      </c>
      <c r="B59" s="2">
        <v>1</v>
      </c>
      <c r="C59" t="str">
        <f t="shared" si="0"/>
        <v>003</v>
      </c>
      <c r="D59" t="str">
        <f t="shared" si="1"/>
        <v>000094</v>
      </c>
      <c r="E59" t="str">
        <f t="shared" si="2"/>
        <v>INSERT INTO ctb_filial_centro_custo (CENTRO_CUSTO,COD_FILIAL,PORCENTAGEM) VALUES ('003', '000094',100)</v>
      </c>
    </row>
    <row r="60" spans="1:5" x14ac:dyDescent="0.25">
      <c r="A60" s="4" t="s">
        <v>290</v>
      </c>
      <c r="B60" s="2">
        <v>1</v>
      </c>
      <c r="C60" t="str">
        <f t="shared" si="0"/>
        <v>003</v>
      </c>
      <c r="D60" t="str">
        <f t="shared" si="1"/>
        <v>000095</v>
      </c>
      <c r="E60" t="str">
        <f t="shared" si="2"/>
        <v>INSERT INTO ctb_filial_centro_custo (CENTRO_CUSTO,COD_FILIAL,PORCENTAGEM) VALUES ('003', '000095',100)</v>
      </c>
    </row>
    <row r="61" spans="1:5" x14ac:dyDescent="0.25">
      <c r="A61" s="4" t="s">
        <v>291</v>
      </c>
      <c r="B61" s="2">
        <v>1</v>
      </c>
      <c r="C61" t="str">
        <f t="shared" si="0"/>
        <v>003</v>
      </c>
      <c r="D61" t="str">
        <f t="shared" si="1"/>
        <v>999999</v>
      </c>
      <c r="E61" t="str">
        <f t="shared" si="2"/>
        <v>INSERT INTO ctb_filial_centro_custo (CENTRO_CUSTO,COD_FILIAL,PORCENTAGEM) VALUES ('003', '999999',100)</v>
      </c>
    </row>
    <row r="62" spans="1:5" x14ac:dyDescent="0.25">
      <c r="A62" s="4" t="s">
        <v>292</v>
      </c>
      <c r="B62" s="2">
        <v>2</v>
      </c>
      <c r="C62" t="str">
        <f t="shared" si="0"/>
        <v>2.1.1</v>
      </c>
      <c r="D62" t="str">
        <f t="shared" si="1"/>
        <v>000067</v>
      </c>
      <c r="E62" t="str">
        <f t="shared" si="2"/>
        <v>INSERT INTO ctb_filial_centro_custo (CENTRO_CUSTO,COD_FILIAL,PORCENTAGEM) VALUES ('2.1.1', '000067',100)</v>
      </c>
    </row>
    <row r="63" spans="1:5" x14ac:dyDescent="0.25">
      <c r="A63" s="4" t="s">
        <v>293</v>
      </c>
      <c r="B63" s="2">
        <v>1</v>
      </c>
      <c r="C63" t="str">
        <f t="shared" si="0"/>
        <v>2.1.2</v>
      </c>
      <c r="D63" t="str">
        <f t="shared" si="1"/>
        <v>000067</v>
      </c>
      <c r="E63" t="str">
        <f t="shared" si="2"/>
        <v>INSERT INTO ctb_filial_centro_custo (CENTRO_CUSTO,COD_FILIAL,PORCENTAGEM) VALUES ('2.1.2', '000067',100)</v>
      </c>
    </row>
    <row r="64" spans="1:5" x14ac:dyDescent="0.25">
      <c r="A64" s="4" t="s">
        <v>294</v>
      </c>
      <c r="B64" s="2">
        <v>1</v>
      </c>
      <c r="C64" t="str">
        <f t="shared" si="0"/>
        <v>2.1.3</v>
      </c>
      <c r="D64" t="str">
        <f t="shared" si="1"/>
        <v>000004</v>
      </c>
      <c r="E64" t="str">
        <f t="shared" si="2"/>
        <v>INSERT INTO ctb_filial_centro_custo (CENTRO_CUSTO,COD_FILIAL,PORCENTAGEM) VALUES ('2.1.3', '000004',100)</v>
      </c>
    </row>
    <row r="65" spans="1:5" x14ac:dyDescent="0.25">
      <c r="A65" s="4" t="s">
        <v>295</v>
      </c>
      <c r="B65" s="2">
        <v>1</v>
      </c>
      <c r="C65" t="str">
        <f t="shared" si="0"/>
        <v>2.1.3</v>
      </c>
      <c r="D65" t="str">
        <f t="shared" si="1"/>
        <v>000010</v>
      </c>
      <c r="E65" t="str">
        <f t="shared" si="2"/>
        <v>INSERT INTO ctb_filial_centro_custo (CENTRO_CUSTO,COD_FILIAL,PORCENTAGEM) VALUES ('2.1.3', '000010',100)</v>
      </c>
    </row>
    <row r="66" spans="1:5" x14ac:dyDescent="0.25">
      <c r="A66" s="4" t="s">
        <v>296</v>
      </c>
      <c r="B66" s="2">
        <v>2</v>
      </c>
      <c r="C66" t="str">
        <f t="shared" si="0"/>
        <v>2.1.3</v>
      </c>
      <c r="D66" t="str">
        <f t="shared" si="1"/>
        <v>000040</v>
      </c>
      <c r="E66" t="str">
        <f t="shared" si="2"/>
        <v>INSERT INTO ctb_filial_centro_custo (CENTRO_CUSTO,COD_FILIAL,PORCENTAGEM) VALUES ('2.1.3', '000040',100)</v>
      </c>
    </row>
    <row r="67" spans="1:5" x14ac:dyDescent="0.25">
      <c r="A67" s="4" t="s">
        <v>297</v>
      </c>
      <c r="B67" s="2">
        <v>1</v>
      </c>
      <c r="C67" t="str">
        <f t="shared" si="0"/>
        <v>2.1.3</v>
      </c>
      <c r="D67" t="str">
        <f t="shared" si="1"/>
        <v>000045</v>
      </c>
      <c r="E67" t="str">
        <f t="shared" si="2"/>
        <v>INSERT INTO ctb_filial_centro_custo (CENTRO_CUSTO,COD_FILIAL,PORCENTAGEM) VALUES ('2.1.3', '000045',100)</v>
      </c>
    </row>
    <row r="68" spans="1:5" x14ac:dyDescent="0.25">
      <c r="A68" s="4" t="s">
        <v>298</v>
      </c>
      <c r="B68" s="2">
        <v>5</v>
      </c>
      <c r="C68" t="str">
        <f t="shared" si="0"/>
        <v>2.1.3</v>
      </c>
      <c r="D68" t="str">
        <f t="shared" si="1"/>
        <v>000067</v>
      </c>
      <c r="E68" t="str">
        <f t="shared" si="2"/>
        <v>INSERT INTO ctb_filial_centro_custo (CENTRO_CUSTO,COD_FILIAL,PORCENTAGEM) VALUES ('2.1.3', '000067',100)</v>
      </c>
    </row>
    <row r="69" spans="1:5" x14ac:dyDescent="0.25">
      <c r="A69" s="4" t="s">
        <v>299</v>
      </c>
      <c r="B69" s="2">
        <v>2</v>
      </c>
      <c r="C69" t="str">
        <f t="shared" ref="C69:C132" si="3">MID(A69,1,SEARCH("|",A69,1)-1)</f>
        <v>2.1.3</v>
      </c>
      <c r="D69" t="str">
        <f t="shared" ref="D69:D132" si="4">MID(A69,SEARCH("|",A69,1)+1,6)</f>
        <v>000092</v>
      </c>
      <c r="E69" t="str">
        <f t="shared" ref="E69:E132" si="5">"INSERT INTO ctb_filial_centro_custo (CENTRO_CUSTO,COD_FILIAL,PORCENTAGEM) VALUES ('"&amp;TRIM(C69)&amp;"', '"&amp;TRIM(D69)&amp;"',100)"</f>
        <v>INSERT INTO ctb_filial_centro_custo (CENTRO_CUSTO,COD_FILIAL,PORCENTAGEM) VALUES ('2.1.3', '000092',100)</v>
      </c>
    </row>
    <row r="70" spans="1:5" x14ac:dyDescent="0.25">
      <c r="A70" s="4" t="s">
        <v>300</v>
      </c>
      <c r="B70" s="2">
        <v>2</v>
      </c>
      <c r="C70" t="str">
        <f t="shared" si="3"/>
        <v>2.1.4</v>
      </c>
      <c r="D70" t="str">
        <f t="shared" si="4"/>
        <v>000040</v>
      </c>
      <c r="E70" t="str">
        <f t="shared" si="5"/>
        <v>INSERT INTO ctb_filial_centro_custo (CENTRO_CUSTO,COD_FILIAL,PORCENTAGEM) VALUES ('2.1.4', '000040',100)</v>
      </c>
    </row>
    <row r="71" spans="1:5" x14ac:dyDescent="0.25">
      <c r="A71" s="4" t="s">
        <v>301</v>
      </c>
      <c r="B71" s="2">
        <v>1</v>
      </c>
      <c r="C71" t="str">
        <f t="shared" si="3"/>
        <v>2.1.4</v>
      </c>
      <c r="D71" t="str">
        <f t="shared" si="4"/>
        <v>000045</v>
      </c>
      <c r="E71" t="str">
        <f t="shared" si="5"/>
        <v>INSERT INTO ctb_filial_centro_custo (CENTRO_CUSTO,COD_FILIAL,PORCENTAGEM) VALUES ('2.1.4', '000045',100)</v>
      </c>
    </row>
    <row r="72" spans="1:5" x14ac:dyDescent="0.25">
      <c r="A72" s="4" t="s">
        <v>302</v>
      </c>
      <c r="B72" s="2">
        <v>1</v>
      </c>
      <c r="C72" t="str">
        <f t="shared" si="3"/>
        <v>2.1.4</v>
      </c>
      <c r="D72" t="str">
        <f t="shared" si="4"/>
        <v>000062</v>
      </c>
      <c r="E72" t="str">
        <f t="shared" si="5"/>
        <v>INSERT INTO ctb_filial_centro_custo (CENTRO_CUSTO,COD_FILIAL,PORCENTAGEM) VALUES ('2.1.4', '000062',100)</v>
      </c>
    </row>
    <row r="73" spans="1:5" x14ac:dyDescent="0.25">
      <c r="A73" s="4" t="s">
        <v>303</v>
      </c>
      <c r="B73" s="2">
        <v>1</v>
      </c>
      <c r="C73" t="str">
        <f t="shared" si="3"/>
        <v>2.1.4</v>
      </c>
      <c r="D73" t="str">
        <f t="shared" si="4"/>
        <v>000064</v>
      </c>
      <c r="E73" t="str">
        <f t="shared" si="5"/>
        <v>INSERT INTO ctb_filial_centro_custo (CENTRO_CUSTO,COD_FILIAL,PORCENTAGEM) VALUES ('2.1.4', '000064',100)</v>
      </c>
    </row>
    <row r="74" spans="1:5" x14ac:dyDescent="0.25">
      <c r="A74" s="4" t="s">
        <v>304</v>
      </c>
      <c r="B74" s="2">
        <v>5</v>
      </c>
      <c r="C74" t="str">
        <f t="shared" si="3"/>
        <v>2.1.4</v>
      </c>
      <c r="D74" t="str">
        <f t="shared" si="4"/>
        <v>000067</v>
      </c>
      <c r="E74" t="str">
        <f t="shared" si="5"/>
        <v>INSERT INTO ctb_filial_centro_custo (CENTRO_CUSTO,COD_FILIAL,PORCENTAGEM) VALUES ('2.1.4', '000067',100)</v>
      </c>
    </row>
    <row r="75" spans="1:5" x14ac:dyDescent="0.25">
      <c r="A75" s="4" t="s">
        <v>305</v>
      </c>
      <c r="B75" s="2">
        <v>1</v>
      </c>
      <c r="C75" t="str">
        <f t="shared" si="3"/>
        <v>2.1.4</v>
      </c>
      <c r="D75" t="str">
        <f t="shared" si="4"/>
        <v>000091</v>
      </c>
      <c r="E75" t="str">
        <f t="shared" si="5"/>
        <v>INSERT INTO ctb_filial_centro_custo (CENTRO_CUSTO,COD_FILIAL,PORCENTAGEM) VALUES ('2.1.4', '000091',100)</v>
      </c>
    </row>
    <row r="76" spans="1:5" x14ac:dyDescent="0.25">
      <c r="A76" s="4" t="s">
        <v>306</v>
      </c>
      <c r="B76" s="2">
        <v>2</v>
      </c>
      <c r="C76" t="str">
        <f t="shared" si="3"/>
        <v>2.1.4</v>
      </c>
      <c r="D76" t="str">
        <f t="shared" si="4"/>
        <v>000092</v>
      </c>
      <c r="E76" t="str">
        <f t="shared" si="5"/>
        <v>INSERT INTO ctb_filial_centro_custo (CENTRO_CUSTO,COD_FILIAL,PORCENTAGEM) VALUES ('2.1.4', '000092',100)</v>
      </c>
    </row>
    <row r="77" spans="1:5" x14ac:dyDescent="0.25">
      <c r="A77" s="4" t="s">
        <v>307</v>
      </c>
      <c r="B77" s="2">
        <v>1</v>
      </c>
      <c r="C77" t="str">
        <f t="shared" si="3"/>
        <v>2.1.4</v>
      </c>
      <c r="D77" t="str">
        <f t="shared" si="4"/>
        <v>000093</v>
      </c>
      <c r="E77" t="str">
        <f t="shared" si="5"/>
        <v>INSERT INTO ctb_filial_centro_custo (CENTRO_CUSTO,COD_FILIAL,PORCENTAGEM) VALUES ('2.1.4', '000093',100)</v>
      </c>
    </row>
    <row r="78" spans="1:5" x14ac:dyDescent="0.25">
      <c r="A78" s="4" t="s">
        <v>308</v>
      </c>
      <c r="B78" s="2">
        <v>1</v>
      </c>
      <c r="C78" t="str">
        <f t="shared" si="3"/>
        <v>2.1.4</v>
      </c>
      <c r="D78" t="str">
        <f t="shared" si="4"/>
        <v>000095</v>
      </c>
      <c r="E78" t="str">
        <f t="shared" si="5"/>
        <v>INSERT INTO ctb_filial_centro_custo (CENTRO_CUSTO,COD_FILIAL,PORCENTAGEM) VALUES ('2.1.4', '000095',100)</v>
      </c>
    </row>
    <row r="79" spans="1:5" x14ac:dyDescent="0.25">
      <c r="A79" s="4" t="s">
        <v>309</v>
      </c>
      <c r="B79" s="2">
        <v>2</v>
      </c>
      <c r="C79" t="str">
        <f t="shared" si="3"/>
        <v>2.1.5</v>
      </c>
      <c r="D79" t="str">
        <f t="shared" si="4"/>
        <v>000040</v>
      </c>
      <c r="E79" t="str">
        <f t="shared" si="5"/>
        <v>INSERT INTO ctb_filial_centro_custo (CENTRO_CUSTO,COD_FILIAL,PORCENTAGEM) VALUES ('2.1.5', '000040',100)</v>
      </c>
    </row>
    <row r="80" spans="1:5" x14ac:dyDescent="0.25">
      <c r="A80" s="4" t="s">
        <v>310</v>
      </c>
      <c r="B80" s="2">
        <v>1</v>
      </c>
      <c r="C80" t="str">
        <f t="shared" si="3"/>
        <v>2.1.5</v>
      </c>
      <c r="D80" t="str">
        <f t="shared" si="4"/>
        <v>000045</v>
      </c>
      <c r="E80" t="str">
        <f t="shared" si="5"/>
        <v>INSERT INTO ctb_filial_centro_custo (CENTRO_CUSTO,COD_FILIAL,PORCENTAGEM) VALUES ('2.1.5', '000045',100)</v>
      </c>
    </row>
    <row r="81" spans="1:5" x14ac:dyDescent="0.25">
      <c r="A81" s="4" t="s">
        <v>311</v>
      </c>
      <c r="B81" s="2">
        <v>4</v>
      </c>
      <c r="C81" t="str">
        <f t="shared" si="3"/>
        <v>2.1.5</v>
      </c>
      <c r="D81" t="str">
        <f t="shared" si="4"/>
        <v>000067</v>
      </c>
      <c r="E81" t="str">
        <f t="shared" si="5"/>
        <v>INSERT INTO ctb_filial_centro_custo (CENTRO_CUSTO,COD_FILIAL,PORCENTAGEM) VALUES ('2.1.5', '000067',100)</v>
      </c>
    </row>
    <row r="82" spans="1:5" x14ac:dyDescent="0.25">
      <c r="A82" s="4" t="s">
        <v>312</v>
      </c>
      <c r="B82" s="2">
        <v>2</v>
      </c>
      <c r="C82" t="str">
        <f t="shared" si="3"/>
        <v>2.1.5</v>
      </c>
      <c r="D82" t="str">
        <f t="shared" si="4"/>
        <v>000092</v>
      </c>
      <c r="E82" t="str">
        <f t="shared" si="5"/>
        <v>INSERT INTO ctb_filial_centro_custo (CENTRO_CUSTO,COD_FILIAL,PORCENTAGEM) VALUES ('2.1.5', '000092',100)</v>
      </c>
    </row>
    <row r="83" spans="1:5" x14ac:dyDescent="0.25">
      <c r="A83" s="4" t="s">
        <v>313</v>
      </c>
      <c r="B83" s="2">
        <v>1</v>
      </c>
      <c r="C83" t="str">
        <f t="shared" si="3"/>
        <v>2.1.5</v>
      </c>
      <c r="D83" t="str">
        <f t="shared" si="4"/>
        <v>000095</v>
      </c>
      <c r="E83" t="str">
        <f t="shared" si="5"/>
        <v>INSERT INTO ctb_filial_centro_custo (CENTRO_CUSTO,COD_FILIAL,PORCENTAGEM) VALUES ('2.1.5', '000095',100)</v>
      </c>
    </row>
    <row r="84" spans="1:5" x14ac:dyDescent="0.25">
      <c r="A84" s="4" t="s">
        <v>314</v>
      </c>
      <c r="B84" s="2">
        <v>1</v>
      </c>
      <c r="C84" t="str">
        <f t="shared" si="3"/>
        <v>2.1.6</v>
      </c>
      <c r="D84" t="str">
        <f t="shared" si="4"/>
        <v>000009</v>
      </c>
      <c r="E84" t="str">
        <f t="shared" si="5"/>
        <v>INSERT INTO ctb_filial_centro_custo (CENTRO_CUSTO,COD_FILIAL,PORCENTAGEM) VALUES ('2.1.6', '000009',100)</v>
      </c>
    </row>
    <row r="85" spans="1:5" x14ac:dyDescent="0.25">
      <c r="A85" s="4" t="s">
        <v>315</v>
      </c>
      <c r="B85" s="2">
        <v>1</v>
      </c>
      <c r="C85" t="str">
        <f t="shared" si="3"/>
        <v>2.1.6</v>
      </c>
      <c r="D85" t="str">
        <f t="shared" si="4"/>
        <v>000010</v>
      </c>
      <c r="E85" t="str">
        <f t="shared" si="5"/>
        <v>INSERT INTO ctb_filial_centro_custo (CENTRO_CUSTO,COD_FILIAL,PORCENTAGEM) VALUES ('2.1.6', '000010',100)</v>
      </c>
    </row>
    <row r="86" spans="1:5" x14ac:dyDescent="0.25">
      <c r="A86" s="4" t="s">
        <v>316</v>
      </c>
      <c r="B86" s="2">
        <v>1</v>
      </c>
      <c r="C86" t="str">
        <f t="shared" si="3"/>
        <v>2.1.6</v>
      </c>
      <c r="D86" t="str">
        <f t="shared" si="4"/>
        <v>000040</v>
      </c>
      <c r="E86" t="str">
        <f t="shared" si="5"/>
        <v>INSERT INTO ctb_filial_centro_custo (CENTRO_CUSTO,COD_FILIAL,PORCENTAGEM) VALUES ('2.1.6', '000040',100)</v>
      </c>
    </row>
    <row r="87" spans="1:5" x14ac:dyDescent="0.25">
      <c r="A87" s="4" t="s">
        <v>317</v>
      </c>
      <c r="B87" s="2">
        <v>1</v>
      </c>
      <c r="C87" t="str">
        <f t="shared" si="3"/>
        <v>2.1.6</v>
      </c>
      <c r="D87" t="str">
        <f t="shared" si="4"/>
        <v>000045</v>
      </c>
      <c r="E87" t="str">
        <f t="shared" si="5"/>
        <v>INSERT INTO ctb_filial_centro_custo (CENTRO_CUSTO,COD_FILIAL,PORCENTAGEM) VALUES ('2.1.6', '000045',100)</v>
      </c>
    </row>
    <row r="88" spans="1:5" x14ac:dyDescent="0.25">
      <c r="A88" s="4" t="s">
        <v>318</v>
      </c>
      <c r="B88" s="2">
        <v>6</v>
      </c>
      <c r="C88" t="str">
        <f t="shared" si="3"/>
        <v>2.1.6</v>
      </c>
      <c r="D88" t="str">
        <f t="shared" si="4"/>
        <v>000067</v>
      </c>
      <c r="E88" t="str">
        <f t="shared" si="5"/>
        <v>INSERT INTO ctb_filial_centro_custo (CENTRO_CUSTO,COD_FILIAL,PORCENTAGEM) VALUES ('2.1.6', '000067',100)</v>
      </c>
    </row>
    <row r="89" spans="1:5" x14ac:dyDescent="0.25">
      <c r="A89" s="4" t="s">
        <v>319</v>
      </c>
      <c r="B89" s="2">
        <v>2</v>
      </c>
      <c r="C89" t="str">
        <f t="shared" si="3"/>
        <v>2.1.6</v>
      </c>
      <c r="D89" t="str">
        <f t="shared" si="4"/>
        <v>000092</v>
      </c>
      <c r="E89" t="str">
        <f t="shared" si="5"/>
        <v>INSERT INTO ctb_filial_centro_custo (CENTRO_CUSTO,COD_FILIAL,PORCENTAGEM) VALUES ('2.1.6', '000092',100)</v>
      </c>
    </row>
    <row r="90" spans="1:5" x14ac:dyDescent="0.25">
      <c r="A90" s="4" t="s">
        <v>320</v>
      </c>
      <c r="B90" s="2">
        <v>1</v>
      </c>
      <c r="C90" t="str">
        <f t="shared" si="3"/>
        <v>2.1.6</v>
      </c>
      <c r="D90" t="str">
        <f t="shared" si="4"/>
        <v>000093</v>
      </c>
      <c r="E90" t="str">
        <f t="shared" si="5"/>
        <v>INSERT INTO ctb_filial_centro_custo (CENTRO_CUSTO,COD_FILIAL,PORCENTAGEM) VALUES ('2.1.6', '000093',100)</v>
      </c>
    </row>
    <row r="91" spans="1:5" x14ac:dyDescent="0.25">
      <c r="A91" s="4" t="s">
        <v>321</v>
      </c>
      <c r="B91" s="2">
        <v>2</v>
      </c>
      <c r="C91" t="str">
        <f t="shared" si="3"/>
        <v>2.1.7</v>
      </c>
      <c r="D91" t="str">
        <f t="shared" si="4"/>
        <v>000067</v>
      </c>
      <c r="E91" t="str">
        <f t="shared" si="5"/>
        <v>INSERT INTO ctb_filial_centro_custo (CENTRO_CUSTO,COD_FILIAL,PORCENTAGEM) VALUES ('2.1.7', '000067',100)</v>
      </c>
    </row>
    <row r="92" spans="1:5" x14ac:dyDescent="0.25">
      <c r="A92" s="4" t="s">
        <v>322</v>
      </c>
      <c r="B92" s="2">
        <v>1</v>
      </c>
      <c r="C92" t="str">
        <f t="shared" si="3"/>
        <v>2.1.7</v>
      </c>
      <c r="D92" t="str">
        <f t="shared" si="4"/>
        <v>000092</v>
      </c>
      <c r="E92" t="str">
        <f t="shared" si="5"/>
        <v>INSERT INTO ctb_filial_centro_custo (CENTRO_CUSTO,COD_FILIAL,PORCENTAGEM) VALUES ('2.1.7', '000092',100)</v>
      </c>
    </row>
    <row r="93" spans="1:5" x14ac:dyDescent="0.25">
      <c r="A93" s="4" t="s">
        <v>323</v>
      </c>
      <c r="B93" s="2">
        <v>1</v>
      </c>
      <c r="C93" t="str">
        <f t="shared" si="3"/>
        <v>2.1.8</v>
      </c>
      <c r="D93" t="str">
        <f t="shared" si="4"/>
        <v>000033</v>
      </c>
      <c r="E93" t="str">
        <f t="shared" si="5"/>
        <v>INSERT INTO ctb_filial_centro_custo (CENTRO_CUSTO,COD_FILIAL,PORCENTAGEM) VALUES ('2.1.8', '000033',100)</v>
      </c>
    </row>
    <row r="94" spans="1:5" x14ac:dyDescent="0.25">
      <c r="A94" s="4" t="s">
        <v>324</v>
      </c>
      <c r="B94" s="2">
        <v>1</v>
      </c>
      <c r="C94" t="str">
        <f t="shared" si="3"/>
        <v>2.1.8</v>
      </c>
      <c r="D94" t="str">
        <f t="shared" si="4"/>
        <v>000045</v>
      </c>
      <c r="E94" t="str">
        <f t="shared" si="5"/>
        <v>INSERT INTO ctb_filial_centro_custo (CENTRO_CUSTO,COD_FILIAL,PORCENTAGEM) VALUES ('2.1.8', '000045',100)</v>
      </c>
    </row>
    <row r="95" spans="1:5" x14ac:dyDescent="0.25">
      <c r="A95" s="4" t="s">
        <v>325</v>
      </c>
      <c r="B95" s="2">
        <v>3</v>
      </c>
      <c r="C95" t="str">
        <f t="shared" si="3"/>
        <v>2.1.8</v>
      </c>
      <c r="D95" t="str">
        <f t="shared" si="4"/>
        <v>000067</v>
      </c>
      <c r="E95" t="str">
        <f t="shared" si="5"/>
        <v>INSERT INTO ctb_filial_centro_custo (CENTRO_CUSTO,COD_FILIAL,PORCENTAGEM) VALUES ('2.1.8', '000067',100)</v>
      </c>
    </row>
    <row r="96" spans="1:5" x14ac:dyDescent="0.25">
      <c r="A96" s="4" t="s">
        <v>326</v>
      </c>
      <c r="B96" s="2">
        <v>1</v>
      </c>
      <c r="C96" t="str">
        <f t="shared" si="3"/>
        <v>2.1.8</v>
      </c>
      <c r="D96" t="str">
        <f t="shared" si="4"/>
        <v>000092</v>
      </c>
      <c r="E96" t="str">
        <f t="shared" si="5"/>
        <v>INSERT INTO ctb_filial_centro_custo (CENTRO_CUSTO,COD_FILIAL,PORCENTAGEM) VALUES ('2.1.8', '000092',100)</v>
      </c>
    </row>
    <row r="97" spans="1:5" x14ac:dyDescent="0.25">
      <c r="A97" s="4" t="s">
        <v>327</v>
      </c>
      <c r="B97" s="2">
        <v>1</v>
      </c>
      <c r="C97" t="str">
        <f t="shared" si="3"/>
        <v>2.1.9</v>
      </c>
      <c r="D97" t="str">
        <f t="shared" si="4"/>
        <v>000045</v>
      </c>
      <c r="E97" t="str">
        <f t="shared" si="5"/>
        <v>INSERT INTO ctb_filial_centro_custo (CENTRO_CUSTO,COD_FILIAL,PORCENTAGEM) VALUES ('2.1.9', '000045',100)</v>
      </c>
    </row>
    <row r="98" spans="1:5" x14ac:dyDescent="0.25">
      <c r="A98" s="4" t="s">
        <v>328</v>
      </c>
      <c r="B98" s="2">
        <v>1</v>
      </c>
      <c r="C98" t="str">
        <f t="shared" si="3"/>
        <v>2.1.9</v>
      </c>
      <c r="D98" t="str">
        <f t="shared" si="4"/>
        <v>000067</v>
      </c>
      <c r="E98" t="str">
        <f t="shared" si="5"/>
        <v>INSERT INTO ctb_filial_centro_custo (CENTRO_CUSTO,COD_FILIAL,PORCENTAGEM) VALUES ('2.1.9', '000067',100)</v>
      </c>
    </row>
    <row r="99" spans="1:5" x14ac:dyDescent="0.25">
      <c r="A99" s="4" t="s">
        <v>329</v>
      </c>
      <c r="B99" s="2">
        <v>1</v>
      </c>
      <c r="C99" t="str">
        <f t="shared" si="3"/>
        <v>3.1.2</v>
      </c>
      <c r="D99" t="str">
        <f t="shared" si="4"/>
        <v>000020</v>
      </c>
      <c r="E99" t="str">
        <f t="shared" si="5"/>
        <v>INSERT INTO ctb_filial_centro_custo (CENTRO_CUSTO,COD_FILIAL,PORCENTAGEM) VALUES ('3.1.2', '000020',100)</v>
      </c>
    </row>
    <row r="100" spans="1:5" x14ac:dyDescent="0.25">
      <c r="A100" s="4" t="s">
        <v>330</v>
      </c>
      <c r="B100" s="2">
        <v>1</v>
      </c>
      <c r="C100" t="str">
        <f t="shared" si="3"/>
        <v>3.1.2</v>
      </c>
      <c r="D100" t="str">
        <f t="shared" si="4"/>
        <v>000067</v>
      </c>
      <c r="E100" t="str">
        <f t="shared" si="5"/>
        <v>INSERT INTO ctb_filial_centro_custo (CENTRO_CUSTO,COD_FILIAL,PORCENTAGEM) VALUES ('3.1.2', '000067',100)</v>
      </c>
    </row>
    <row r="101" spans="1:5" x14ac:dyDescent="0.25">
      <c r="A101" s="4" t="s">
        <v>331</v>
      </c>
      <c r="B101" s="2">
        <v>1</v>
      </c>
      <c r="C101" t="str">
        <f t="shared" si="3"/>
        <v>3.1.2</v>
      </c>
      <c r="D101" t="str">
        <f t="shared" si="4"/>
        <v>000079</v>
      </c>
      <c r="E101" t="str">
        <f t="shared" si="5"/>
        <v>INSERT INTO ctb_filial_centro_custo (CENTRO_CUSTO,COD_FILIAL,PORCENTAGEM) VALUES ('3.1.2', '000079',100)</v>
      </c>
    </row>
    <row r="102" spans="1:5" x14ac:dyDescent="0.25">
      <c r="A102" s="4" t="s">
        <v>332</v>
      </c>
      <c r="B102" s="2">
        <v>1</v>
      </c>
      <c r="C102" t="str">
        <f t="shared" si="3"/>
        <v>3.1.2</v>
      </c>
      <c r="D102" t="str">
        <f t="shared" si="4"/>
        <v>000091</v>
      </c>
      <c r="E102" t="str">
        <f t="shared" si="5"/>
        <v>INSERT INTO ctb_filial_centro_custo (CENTRO_CUSTO,COD_FILIAL,PORCENTAGEM) VALUES ('3.1.2', '000091',100)</v>
      </c>
    </row>
    <row r="103" spans="1:5" x14ac:dyDescent="0.25">
      <c r="A103" s="4" t="s">
        <v>333</v>
      </c>
      <c r="B103" s="2">
        <v>1</v>
      </c>
      <c r="C103" t="str">
        <f t="shared" si="3"/>
        <v>3.1.4</v>
      </c>
      <c r="D103" t="str">
        <f t="shared" si="4"/>
        <v>000067</v>
      </c>
      <c r="E103" t="str">
        <f t="shared" si="5"/>
        <v>INSERT INTO ctb_filial_centro_custo (CENTRO_CUSTO,COD_FILIAL,PORCENTAGEM) VALUES ('3.1.4', '000067',100)</v>
      </c>
    </row>
    <row r="104" spans="1:5" x14ac:dyDescent="0.25">
      <c r="A104" s="4" t="s">
        <v>334</v>
      </c>
      <c r="B104" s="2">
        <v>1</v>
      </c>
      <c r="C104" t="str">
        <f t="shared" si="3"/>
        <v>3.1.5</v>
      </c>
      <c r="D104" t="str">
        <f t="shared" si="4"/>
        <v>000003</v>
      </c>
      <c r="E104" t="str">
        <f t="shared" si="5"/>
        <v>INSERT INTO ctb_filial_centro_custo (CENTRO_CUSTO,COD_FILIAL,PORCENTAGEM) VALUES ('3.1.5', '000003',100)</v>
      </c>
    </row>
    <row r="105" spans="1:5" x14ac:dyDescent="0.25">
      <c r="A105" s="4" t="s">
        <v>335</v>
      </c>
      <c r="B105" s="2">
        <v>1</v>
      </c>
      <c r="C105" t="str">
        <f t="shared" si="3"/>
        <v>3.1.5</v>
      </c>
      <c r="D105" t="str">
        <f t="shared" si="4"/>
        <v>000004</v>
      </c>
      <c r="E105" t="str">
        <f t="shared" si="5"/>
        <v>INSERT INTO ctb_filial_centro_custo (CENTRO_CUSTO,COD_FILIAL,PORCENTAGEM) VALUES ('3.1.5', '000004',100)</v>
      </c>
    </row>
    <row r="106" spans="1:5" x14ac:dyDescent="0.25">
      <c r="A106" s="4" t="s">
        <v>336</v>
      </c>
      <c r="B106" s="2">
        <v>1</v>
      </c>
      <c r="C106" t="str">
        <f t="shared" si="3"/>
        <v>3.1.5</v>
      </c>
      <c r="D106" t="str">
        <f t="shared" si="4"/>
        <v>000005</v>
      </c>
      <c r="E106" t="str">
        <f t="shared" si="5"/>
        <v>INSERT INTO ctb_filial_centro_custo (CENTRO_CUSTO,COD_FILIAL,PORCENTAGEM) VALUES ('3.1.5', '000005',100)</v>
      </c>
    </row>
    <row r="107" spans="1:5" x14ac:dyDescent="0.25">
      <c r="A107" s="4" t="s">
        <v>337</v>
      </c>
      <c r="B107" s="2">
        <v>1</v>
      </c>
      <c r="C107" t="str">
        <f t="shared" si="3"/>
        <v>3.1.5</v>
      </c>
      <c r="D107" t="str">
        <f t="shared" si="4"/>
        <v>000006</v>
      </c>
      <c r="E107" t="str">
        <f t="shared" si="5"/>
        <v>INSERT INTO ctb_filial_centro_custo (CENTRO_CUSTO,COD_FILIAL,PORCENTAGEM) VALUES ('3.1.5', '000006',100)</v>
      </c>
    </row>
    <row r="108" spans="1:5" x14ac:dyDescent="0.25">
      <c r="A108" s="4" t="s">
        <v>338</v>
      </c>
      <c r="B108" s="2">
        <v>1</v>
      </c>
      <c r="C108" t="str">
        <f t="shared" si="3"/>
        <v>3.1.5</v>
      </c>
      <c r="D108" t="str">
        <f t="shared" si="4"/>
        <v>000007</v>
      </c>
      <c r="E108" t="str">
        <f t="shared" si="5"/>
        <v>INSERT INTO ctb_filial_centro_custo (CENTRO_CUSTO,COD_FILIAL,PORCENTAGEM) VALUES ('3.1.5', '000007',100)</v>
      </c>
    </row>
    <row r="109" spans="1:5" x14ac:dyDescent="0.25">
      <c r="A109" s="4" t="s">
        <v>339</v>
      </c>
      <c r="B109" s="2">
        <v>1</v>
      </c>
      <c r="C109" t="str">
        <f t="shared" si="3"/>
        <v>3.1.5</v>
      </c>
      <c r="D109" t="str">
        <f t="shared" si="4"/>
        <v>000008</v>
      </c>
      <c r="E109" t="str">
        <f t="shared" si="5"/>
        <v>INSERT INTO ctb_filial_centro_custo (CENTRO_CUSTO,COD_FILIAL,PORCENTAGEM) VALUES ('3.1.5', '000008',100)</v>
      </c>
    </row>
    <row r="110" spans="1:5" x14ac:dyDescent="0.25">
      <c r="A110" s="4" t="s">
        <v>340</v>
      </c>
      <c r="B110" s="2">
        <v>1</v>
      </c>
      <c r="C110" t="str">
        <f t="shared" si="3"/>
        <v>3.1.5</v>
      </c>
      <c r="D110" t="str">
        <f t="shared" si="4"/>
        <v>000009</v>
      </c>
      <c r="E110" t="str">
        <f t="shared" si="5"/>
        <v>INSERT INTO ctb_filial_centro_custo (CENTRO_CUSTO,COD_FILIAL,PORCENTAGEM) VALUES ('3.1.5', '000009',100)</v>
      </c>
    </row>
    <row r="111" spans="1:5" x14ac:dyDescent="0.25">
      <c r="A111" s="4" t="s">
        <v>341</v>
      </c>
      <c r="B111" s="2">
        <v>1</v>
      </c>
      <c r="C111" t="str">
        <f t="shared" si="3"/>
        <v>3.1.5</v>
      </c>
      <c r="D111" t="str">
        <f t="shared" si="4"/>
        <v>000010</v>
      </c>
      <c r="E111" t="str">
        <f t="shared" si="5"/>
        <v>INSERT INTO ctb_filial_centro_custo (CENTRO_CUSTO,COD_FILIAL,PORCENTAGEM) VALUES ('3.1.5', '000010',100)</v>
      </c>
    </row>
    <row r="112" spans="1:5" x14ac:dyDescent="0.25">
      <c r="A112" s="4" t="s">
        <v>342</v>
      </c>
      <c r="B112" s="2">
        <v>1</v>
      </c>
      <c r="C112" t="str">
        <f t="shared" si="3"/>
        <v>3.1.5</v>
      </c>
      <c r="D112" t="str">
        <f t="shared" si="4"/>
        <v>000011</v>
      </c>
      <c r="E112" t="str">
        <f t="shared" si="5"/>
        <v>INSERT INTO ctb_filial_centro_custo (CENTRO_CUSTO,COD_FILIAL,PORCENTAGEM) VALUES ('3.1.5', '000011',100)</v>
      </c>
    </row>
    <row r="113" spans="1:5" x14ac:dyDescent="0.25">
      <c r="A113" s="4" t="s">
        <v>343</v>
      </c>
      <c r="B113" s="2">
        <v>1</v>
      </c>
      <c r="C113" t="str">
        <f t="shared" si="3"/>
        <v>3.1.5</v>
      </c>
      <c r="D113" t="str">
        <f t="shared" si="4"/>
        <v>000012</v>
      </c>
      <c r="E113" t="str">
        <f t="shared" si="5"/>
        <v>INSERT INTO ctb_filial_centro_custo (CENTRO_CUSTO,COD_FILIAL,PORCENTAGEM) VALUES ('3.1.5', '000012',100)</v>
      </c>
    </row>
    <row r="114" spans="1:5" x14ac:dyDescent="0.25">
      <c r="A114" s="4" t="s">
        <v>344</v>
      </c>
      <c r="B114" s="2">
        <v>1</v>
      </c>
      <c r="C114" t="str">
        <f t="shared" si="3"/>
        <v>3.1.5</v>
      </c>
      <c r="D114" t="str">
        <f t="shared" si="4"/>
        <v>000014</v>
      </c>
      <c r="E114" t="str">
        <f t="shared" si="5"/>
        <v>INSERT INTO ctb_filial_centro_custo (CENTRO_CUSTO,COD_FILIAL,PORCENTAGEM) VALUES ('3.1.5', '000014',100)</v>
      </c>
    </row>
    <row r="115" spans="1:5" x14ac:dyDescent="0.25">
      <c r="A115" s="4" t="s">
        <v>345</v>
      </c>
      <c r="B115" s="2">
        <v>1</v>
      </c>
      <c r="C115" t="str">
        <f t="shared" si="3"/>
        <v>3.1.5</v>
      </c>
      <c r="D115" t="str">
        <f t="shared" si="4"/>
        <v>000015</v>
      </c>
      <c r="E115" t="str">
        <f t="shared" si="5"/>
        <v>INSERT INTO ctb_filial_centro_custo (CENTRO_CUSTO,COD_FILIAL,PORCENTAGEM) VALUES ('3.1.5', '000015',100)</v>
      </c>
    </row>
    <row r="116" spans="1:5" x14ac:dyDescent="0.25">
      <c r="A116" s="4" t="s">
        <v>346</v>
      </c>
      <c r="B116" s="2">
        <v>1</v>
      </c>
      <c r="C116" t="str">
        <f t="shared" si="3"/>
        <v>3.1.5</v>
      </c>
      <c r="D116" t="str">
        <f t="shared" si="4"/>
        <v>000018</v>
      </c>
      <c r="E116" t="str">
        <f t="shared" si="5"/>
        <v>INSERT INTO ctb_filial_centro_custo (CENTRO_CUSTO,COD_FILIAL,PORCENTAGEM) VALUES ('3.1.5', '000018',100)</v>
      </c>
    </row>
    <row r="117" spans="1:5" x14ac:dyDescent="0.25">
      <c r="A117" s="4" t="s">
        <v>347</v>
      </c>
      <c r="B117" s="2">
        <v>1</v>
      </c>
      <c r="C117" t="str">
        <f t="shared" si="3"/>
        <v>3.1.5</v>
      </c>
      <c r="D117" t="str">
        <f t="shared" si="4"/>
        <v>000019</v>
      </c>
      <c r="E117" t="str">
        <f t="shared" si="5"/>
        <v>INSERT INTO ctb_filial_centro_custo (CENTRO_CUSTO,COD_FILIAL,PORCENTAGEM) VALUES ('3.1.5', '000019',100)</v>
      </c>
    </row>
    <row r="118" spans="1:5" x14ac:dyDescent="0.25">
      <c r="A118" s="4" t="s">
        <v>348</v>
      </c>
      <c r="B118" s="2">
        <v>1</v>
      </c>
      <c r="C118" t="str">
        <f t="shared" si="3"/>
        <v>3.1.5</v>
      </c>
      <c r="D118" t="str">
        <f t="shared" si="4"/>
        <v>000020</v>
      </c>
      <c r="E118" t="str">
        <f t="shared" si="5"/>
        <v>INSERT INTO ctb_filial_centro_custo (CENTRO_CUSTO,COD_FILIAL,PORCENTAGEM) VALUES ('3.1.5', '000020',100)</v>
      </c>
    </row>
    <row r="119" spans="1:5" x14ac:dyDescent="0.25">
      <c r="A119" s="4" t="s">
        <v>349</v>
      </c>
      <c r="B119" s="2">
        <v>1</v>
      </c>
      <c r="C119" t="str">
        <f t="shared" si="3"/>
        <v>3.1.5</v>
      </c>
      <c r="D119" t="str">
        <f t="shared" si="4"/>
        <v>000023</v>
      </c>
      <c r="E119" t="str">
        <f t="shared" si="5"/>
        <v>INSERT INTO ctb_filial_centro_custo (CENTRO_CUSTO,COD_FILIAL,PORCENTAGEM) VALUES ('3.1.5', '000023',100)</v>
      </c>
    </row>
    <row r="120" spans="1:5" x14ac:dyDescent="0.25">
      <c r="A120" s="4" t="s">
        <v>350</v>
      </c>
      <c r="B120" s="2">
        <v>1</v>
      </c>
      <c r="C120" t="str">
        <f t="shared" si="3"/>
        <v>3.1.5</v>
      </c>
      <c r="D120" t="str">
        <f t="shared" si="4"/>
        <v>000025</v>
      </c>
      <c r="E120" t="str">
        <f t="shared" si="5"/>
        <v>INSERT INTO ctb_filial_centro_custo (CENTRO_CUSTO,COD_FILIAL,PORCENTAGEM) VALUES ('3.1.5', '000025',100)</v>
      </c>
    </row>
    <row r="121" spans="1:5" x14ac:dyDescent="0.25">
      <c r="A121" s="4" t="s">
        <v>351</v>
      </c>
      <c r="B121" s="2">
        <v>1</v>
      </c>
      <c r="C121" t="str">
        <f t="shared" si="3"/>
        <v>3.1.5</v>
      </c>
      <c r="D121" t="str">
        <f t="shared" si="4"/>
        <v>000026</v>
      </c>
      <c r="E121" t="str">
        <f t="shared" si="5"/>
        <v>INSERT INTO ctb_filial_centro_custo (CENTRO_CUSTO,COD_FILIAL,PORCENTAGEM) VALUES ('3.1.5', '000026',100)</v>
      </c>
    </row>
    <row r="122" spans="1:5" x14ac:dyDescent="0.25">
      <c r="A122" s="4" t="s">
        <v>352</v>
      </c>
      <c r="B122" s="2">
        <v>1</v>
      </c>
      <c r="C122" t="str">
        <f t="shared" si="3"/>
        <v>3.1.5</v>
      </c>
      <c r="D122" t="str">
        <f t="shared" si="4"/>
        <v>000027</v>
      </c>
      <c r="E122" t="str">
        <f t="shared" si="5"/>
        <v>INSERT INTO ctb_filial_centro_custo (CENTRO_CUSTO,COD_FILIAL,PORCENTAGEM) VALUES ('3.1.5', '000027',100)</v>
      </c>
    </row>
    <row r="123" spans="1:5" x14ac:dyDescent="0.25">
      <c r="A123" s="4" t="s">
        <v>353</v>
      </c>
      <c r="B123" s="2">
        <v>1</v>
      </c>
      <c r="C123" t="str">
        <f t="shared" si="3"/>
        <v>3.1.5</v>
      </c>
      <c r="D123" t="str">
        <f t="shared" si="4"/>
        <v>000028</v>
      </c>
      <c r="E123" t="str">
        <f t="shared" si="5"/>
        <v>INSERT INTO ctb_filial_centro_custo (CENTRO_CUSTO,COD_FILIAL,PORCENTAGEM) VALUES ('3.1.5', '000028',100)</v>
      </c>
    </row>
    <row r="124" spans="1:5" x14ac:dyDescent="0.25">
      <c r="A124" s="4" t="s">
        <v>354</v>
      </c>
      <c r="B124" s="2">
        <v>1</v>
      </c>
      <c r="C124" t="str">
        <f t="shared" si="3"/>
        <v>3.1.5</v>
      </c>
      <c r="D124" t="str">
        <f t="shared" si="4"/>
        <v>000029</v>
      </c>
      <c r="E124" t="str">
        <f t="shared" si="5"/>
        <v>INSERT INTO ctb_filial_centro_custo (CENTRO_CUSTO,COD_FILIAL,PORCENTAGEM) VALUES ('3.1.5', '000029',100)</v>
      </c>
    </row>
    <row r="125" spans="1:5" x14ac:dyDescent="0.25">
      <c r="A125" s="4" t="s">
        <v>355</v>
      </c>
      <c r="B125" s="2">
        <v>1</v>
      </c>
      <c r="C125" t="str">
        <f t="shared" si="3"/>
        <v>3.1.5</v>
      </c>
      <c r="D125" t="str">
        <f t="shared" si="4"/>
        <v>000030</v>
      </c>
      <c r="E125" t="str">
        <f t="shared" si="5"/>
        <v>INSERT INTO ctb_filial_centro_custo (CENTRO_CUSTO,COD_FILIAL,PORCENTAGEM) VALUES ('3.1.5', '000030',100)</v>
      </c>
    </row>
    <row r="126" spans="1:5" x14ac:dyDescent="0.25">
      <c r="A126" s="4" t="s">
        <v>356</v>
      </c>
      <c r="B126" s="2">
        <v>1</v>
      </c>
      <c r="C126" t="str">
        <f t="shared" si="3"/>
        <v>3.1.5</v>
      </c>
      <c r="D126" t="str">
        <f t="shared" si="4"/>
        <v>000035</v>
      </c>
      <c r="E126" t="str">
        <f t="shared" si="5"/>
        <v>INSERT INTO ctb_filial_centro_custo (CENTRO_CUSTO,COD_FILIAL,PORCENTAGEM) VALUES ('3.1.5', '000035',100)</v>
      </c>
    </row>
    <row r="127" spans="1:5" x14ac:dyDescent="0.25">
      <c r="A127" s="4" t="s">
        <v>357</v>
      </c>
      <c r="B127" s="2">
        <v>1</v>
      </c>
      <c r="C127" t="str">
        <f t="shared" si="3"/>
        <v>3.1.5</v>
      </c>
      <c r="D127" t="str">
        <f t="shared" si="4"/>
        <v>000036</v>
      </c>
      <c r="E127" t="str">
        <f t="shared" si="5"/>
        <v>INSERT INTO ctb_filial_centro_custo (CENTRO_CUSTO,COD_FILIAL,PORCENTAGEM) VALUES ('3.1.5', '000036',100)</v>
      </c>
    </row>
    <row r="128" spans="1:5" x14ac:dyDescent="0.25">
      <c r="A128" s="4" t="s">
        <v>358</v>
      </c>
      <c r="B128" s="2">
        <v>1</v>
      </c>
      <c r="C128" t="str">
        <f t="shared" si="3"/>
        <v>3.1.5</v>
      </c>
      <c r="D128" t="str">
        <f t="shared" si="4"/>
        <v>000042</v>
      </c>
      <c r="E128" t="str">
        <f t="shared" si="5"/>
        <v>INSERT INTO ctb_filial_centro_custo (CENTRO_CUSTO,COD_FILIAL,PORCENTAGEM) VALUES ('3.1.5', '000042',100)</v>
      </c>
    </row>
    <row r="129" spans="1:5" x14ac:dyDescent="0.25">
      <c r="A129" s="4" t="s">
        <v>359</v>
      </c>
      <c r="B129" s="2">
        <v>1</v>
      </c>
      <c r="C129" t="str">
        <f t="shared" si="3"/>
        <v>3.1.5</v>
      </c>
      <c r="D129" t="str">
        <f t="shared" si="4"/>
        <v>000046</v>
      </c>
      <c r="E129" t="str">
        <f t="shared" si="5"/>
        <v>INSERT INTO ctb_filial_centro_custo (CENTRO_CUSTO,COD_FILIAL,PORCENTAGEM) VALUES ('3.1.5', '000046',100)</v>
      </c>
    </row>
    <row r="130" spans="1:5" x14ac:dyDescent="0.25">
      <c r="A130" s="4" t="s">
        <v>360</v>
      </c>
      <c r="B130" s="2">
        <v>1</v>
      </c>
      <c r="C130" t="str">
        <f t="shared" si="3"/>
        <v>3.1.5</v>
      </c>
      <c r="D130" t="str">
        <f t="shared" si="4"/>
        <v>000047</v>
      </c>
      <c r="E130" t="str">
        <f t="shared" si="5"/>
        <v>INSERT INTO ctb_filial_centro_custo (CENTRO_CUSTO,COD_FILIAL,PORCENTAGEM) VALUES ('3.1.5', '000047',100)</v>
      </c>
    </row>
    <row r="131" spans="1:5" x14ac:dyDescent="0.25">
      <c r="A131" s="4" t="s">
        <v>361</v>
      </c>
      <c r="B131" s="2">
        <v>1</v>
      </c>
      <c r="C131" t="str">
        <f t="shared" si="3"/>
        <v>3.1.5</v>
      </c>
      <c r="D131" t="str">
        <f t="shared" si="4"/>
        <v>000055</v>
      </c>
      <c r="E131" t="str">
        <f t="shared" si="5"/>
        <v>INSERT INTO ctb_filial_centro_custo (CENTRO_CUSTO,COD_FILIAL,PORCENTAGEM) VALUES ('3.1.5', '000055',100)</v>
      </c>
    </row>
    <row r="132" spans="1:5" x14ac:dyDescent="0.25">
      <c r="A132" s="4" t="s">
        <v>362</v>
      </c>
      <c r="B132" s="2">
        <v>1</v>
      </c>
      <c r="C132" t="str">
        <f t="shared" si="3"/>
        <v>3.1.5</v>
      </c>
      <c r="D132" t="str">
        <f t="shared" si="4"/>
        <v>000056</v>
      </c>
      <c r="E132" t="str">
        <f t="shared" si="5"/>
        <v>INSERT INTO ctb_filial_centro_custo (CENTRO_CUSTO,COD_FILIAL,PORCENTAGEM) VALUES ('3.1.5', '000056',100)</v>
      </c>
    </row>
    <row r="133" spans="1:5" x14ac:dyDescent="0.25">
      <c r="A133" s="4" t="s">
        <v>363</v>
      </c>
      <c r="B133" s="2">
        <v>1</v>
      </c>
      <c r="C133" t="str">
        <f t="shared" ref="C133:C157" si="6">MID(A133,1,SEARCH("|",A133,1)-1)</f>
        <v>3.1.5</v>
      </c>
      <c r="D133" t="str">
        <f t="shared" ref="D133:D157" si="7">MID(A133,SEARCH("|",A133,1)+1,6)</f>
        <v>000057</v>
      </c>
      <c r="E133" t="str">
        <f t="shared" ref="E133:E157" si="8">"INSERT INTO ctb_filial_centro_custo (CENTRO_CUSTO,COD_FILIAL,PORCENTAGEM) VALUES ('"&amp;TRIM(C133)&amp;"', '"&amp;TRIM(D133)&amp;"',100)"</f>
        <v>INSERT INTO ctb_filial_centro_custo (CENTRO_CUSTO,COD_FILIAL,PORCENTAGEM) VALUES ('3.1.5', '000057',100)</v>
      </c>
    </row>
    <row r="134" spans="1:5" x14ac:dyDescent="0.25">
      <c r="A134" s="4" t="s">
        <v>364</v>
      </c>
      <c r="B134" s="2">
        <v>1</v>
      </c>
      <c r="C134" t="str">
        <f t="shared" si="6"/>
        <v>3.1.5</v>
      </c>
      <c r="D134" t="str">
        <f t="shared" si="7"/>
        <v>000058</v>
      </c>
      <c r="E134" t="str">
        <f t="shared" si="8"/>
        <v>INSERT INTO ctb_filial_centro_custo (CENTRO_CUSTO,COD_FILIAL,PORCENTAGEM) VALUES ('3.1.5', '000058',100)</v>
      </c>
    </row>
    <row r="135" spans="1:5" x14ac:dyDescent="0.25">
      <c r="A135" s="4" t="s">
        <v>365</v>
      </c>
      <c r="B135" s="2">
        <v>1</v>
      </c>
      <c r="C135" t="str">
        <f t="shared" si="6"/>
        <v>3.1.5</v>
      </c>
      <c r="D135" t="str">
        <f t="shared" si="7"/>
        <v>000059</v>
      </c>
      <c r="E135" t="str">
        <f t="shared" si="8"/>
        <v>INSERT INTO ctb_filial_centro_custo (CENTRO_CUSTO,COD_FILIAL,PORCENTAGEM) VALUES ('3.1.5', '000059',100)</v>
      </c>
    </row>
    <row r="136" spans="1:5" x14ac:dyDescent="0.25">
      <c r="A136" s="4" t="s">
        <v>366</v>
      </c>
      <c r="B136" s="2">
        <v>1</v>
      </c>
      <c r="C136" t="str">
        <f t="shared" si="6"/>
        <v>3.1.5</v>
      </c>
      <c r="D136" t="str">
        <f t="shared" si="7"/>
        <v>000060</v>
      </c>
      <c r="E136" t="str">
        <f t="shared" si="8"/>
        <v>INSERT INTO ctb_filial_centro_custo (CENTRO_CUSTO,COD_FILIAL,PORCENTAGEM) VALUES ('3.1.5', '000060',100)</v>
      </c>
    </row>
    <row r="137" spans="1:5" x14ac:dyDescent="0.25">
      <c r="A137" s="4" t="s">
        <v>367</v>
      </c>
      <c r="B137" s="2">
        <v>1</v>
      </c>
      <c r="C137" t="str">
        <f t="shared" si="6"/>
        <v>3.1.5</v>
      </c>
      <c r="D137" t="str">
        <f t="shared" si="7"/>
        <v>000061</v>
      </c>
      <c r="E137" t="str">
        <f t="shared" si="8"/>
        <v>INSERT INTO ctb_filial_centro_custo (CENTRO_CUSTO,COD_FILIAL,PORCENTAGEM) VALUES ('3.1.5', '000061',100)</v>
      </c>
    </row>
    <row r="138" spans="1:5" x14ac:dyDescent="0.25">
      <c r="A138" s="4" t="s">
        <v>368</v>
      </c>
      <c r="B138" s="2">
        <v>1</v>
      </c>
      <c r="C138" t="str">
        <f t="shared" si="6"/>
        <v>3.1.5</v>
      </c>
      <c r="D138" t="str">
        <f t="shared" si="7"/>
        <v>000062</v>
      </c>
      <c r="E138" t="str">
        <f t="shared" si="8"/>
        <v>INSERT INTO ctb_filial_centro_custo (CENTRO_CUSTO,COD_FILIAL,PORCENTAGEM) VALUES ('3.1.5', '000062',100)</v>
      </c>
    </row>
    <row r="139" spans="1:5" x14ac:dyDescent="0.25">
      <c r="A139" s="4" t="s">
        <v>369</v>
      </c>
      <c r="B139" s="2">
        <v>1</v>
      </c>
      <c r="C139" t="str">
        <f t="shared" si="6"/>
        <v>3.1.5</v>
      </c>
      <c r="D139" t="str">
        <f t="shared" si="7"/>
        <v>000063</v>
      </c>
      <c r="E139" t="str">
        <f t="shared" si="8"/>
        <v>INSERT INTO ctb_filial_centro_custo (CENTRO_CUSTO,COD_FILIAL,PORCENTAGEM) VALUES ('3.1.5', '000063',100)</v>
      </c>
    </row>
    <row r="140" spans="1:5" x14ac:dyDescent="0.25">
      <c r="A140" s="4" t="s">
        <v>370</v>
      </c>
      <c r="B140" s="2">
        <v>1</v>
      </c>
      <c r="C140" t="str">
        <f t="shared" si="6"/>
        <v>3.1.5</v>
      </c>
      <c r="D140" t="str">
        <f t="shared" si="7"/>
        <v>000064</v>
      </c>
      <c r="E140" t="str">
        <f t="shared" si="8"/>
        <v>INSERT INTO ctb_filial_centro_custo (CENTRO_CUSTO,COD_FILIAL,PORCENTAGEM) VALUES ('3.1.5', '000064',100)</v>
      </c>
    </row>
    <row r="141" spans="1:5" x14ac:dyDescent="0.25">
      <c r="A141" s="4" t="s">
        <v>371</v>
      </c>
      <c r="B141" s="2">
        <v>1</v>
      </c>
      <c r="C141" t="str">
        <f t="shared" si="6"/>
        <v>3.1.5</v>
      </c>
      <c r="D141" t="str">
        <f t="shared" si="7"/>
        <v>000065</v>
      </c>
      <c r="E141" t="str">
        <f t="shared" si="8"/>
        <v>INSERT INTO ctb_filial_centro_custo (CENTRO_CUSTO,COD_FILIAL,PORCENTAGEM) VALUES ('3.1.5', '000065',100)</v>
      </c>
    </row>
    <row r="142" spans="1:5" x14ac:dyDescent="0.25">
      <c r="A142" s="4" t="s">
        <v>372</v>
      </c>
      <c r="B142" s="2">
        <v>29</v>
      </c>
      <c r="C142" t="str">
        <f t="shared" si="6"/>
        <v>3.1.5</v>
      </c>
      <c r="D142" t="str">
        <f t="shared" si="7"/>
        <v>000067</v>
      </c>
      <c r="E142" t="str">
        <f t="shared" si="8"/>
        <v>INSERT INTO ctb_filial_centro_custo (CENTRO_CUSTO,COD_FILIAL,PORCENTAGEM) VALUES ('3.1.5', '000067',100)</v>
      </c>
    </row>
    <row r="143" spans="1:5" x14ac:dyDescent="0.25">
      <c r="A143" s="4" t="s">
        <v>373</v>
      </c>
      <c r="B143" s="2">
        <v>1</v>
      </c>
      <c r="C143" t="str">
        <f t="shared" si="6"/>
        <v>3.1.5</v>
      </c>
      <c r="D143" t="str">
        <f t="shared" si="7"/>
        <v>000068</v>
      </c>
      <c r="E143" t="str">
        <f t="shared" si="8"/>
        <v>INSERT INTO ctb_filial_centro_custo (CENTRO_CUSTO,COD_FILIAL,PORCENTAGEM) VALUES ('3.1.5', '000068',100)</v>
      </c>
    </row>
    <row r="144" spans="1:5" x14ac:dyDescent="0.25">
      <c r="A144" s="4" t="s">
        <v>374</v>
      </c>
      <c r="B144" s="2">
        <v>1</v>
      </c>
      <c r="C144" t="str">
        <f t="shared" si="6"/>
        <v>3.1.5</v>
      </c>
      <c r="D144" t="str">
        <f t="shared" si="7"/>
        <v>000071</v>
      </c>
      <c r="E144" t="str">
        <f t="shared" si="8"/>
        <v>INSERT INTO ctb_filial_centro_custo (CENTRO_CUSTO,COD_FILIAL,PORCENTAGEM) VALUES ('3.1.5', '000071',100)</v>
      </c>
    </row>
    <row r="145" spans="1:5" x14ac:dyDescent="0.25">
      <c r="A145" s="4" t="s">
        <v>375</v>
      </c>
      <c r="B145" s="2">
        <v>1</v>
      </c>
      <c r="C145" t="str">
        <f t="shared" si="6"/>
        <v>3.1.5</v>
      </c>
      <c r="D145" t="str">
        <f t="shared" si="7"/>
        <v>000072</v>
      </c>
      <c r="E145" t="str">
        <f t="shared" si="8"/>
        <v>INSERT INTO ctb_filial_centro_custo (CENTRO_CUSTO,COD_FILIAL,PORCENTAGEM) VALUES ('3.1.5', '000072',100)</v>
      </c>
    </row>
    <row r="146" spans="1:5" x14ac:dyDescent="0.25">
      <c r="A146" s="4" t="s">
        <v>376</v>
      </c>
      <c r="B146" s="2">
        <v>1</v>
      </c>
      <c r="C146" t="str">
        <f t="shared" si="6"/>
        <v>3.1.5</v>
      </c>
      <c r="D146" t="str">
        <f t="shared" si="7"/>
        <v>000074</v>
      </c>
      <c r="E146" t="str">
        <f t="shared" si="8"/>
        <v>INSERT INTO ctb_filial_centro_custo (CENTRO_CUSTO,COD_FILIAL,PORCENTAGEM) VALUES ('3.1.5', '000074',100)</v>
      </c>
    </row>
    <row r="147" spans="1:5" x14ac:dyDescent="0.25">
      <c r="A147" s="4" t="s">
        <v>377</v>
      </c>
      <c r="B147" s="2">
        <v>1</v>
      </c>
      <c r="C147" t="str">
        <f t="shared" si="6"/>
        <v>3.1.5</v>
      </c>
      <c r="D147" t="str">
        <f t="shared" si="7"/>
        <v>000075</v>
      </c>
      <c r="E147" t="str">
        <f t="shared" si="8"/>
        <v>INSERT INTO ctb_filial_centro_custo (CENTRO_CUSTO,COD_FILIAL,PORCENTAGEM) VALUES ('3.1.5', '000075',100)</v>
      </c>
    </row>
    <row r="148" spans="1:5" x14ac:dyDescent="0.25">
      <c r="A148" s="4" t="s">
        <v>378</v>
      </c>
      <c r="B148" s="2">
        <v>1</v>
      </c>
      <c r="C148" t="str">
        <f t="shared" si="6"/>
        <v>3.1.5</v>
      </c>
      <c r="D148" t="str">
        <f t="shared" si="7"/>
        <v>000076</v>
      </c>
      <c r="E148" t="str">
        <f t="shared" si="8"/>
        <v>INSERT INTO ctb_filial_centro_custo (CENTRO_CUSTO,COD_FILIAL,PORCENTAGEM) VALUES ('3.1.5', '000076',100)</v>
      </c>
    </row>
    <row r="149" spans="1:5" x14ac:dyDescent="0.25">
      <c r="A149" s="4" t="s">
        <v>379</v>
      </c>
      <c r="B149" s="2">
        <v>1</v>
      </c>
      <c r="C149" t="str">
        <f t="shared" si="6"/>
        <v>3.1.5</v>
      </c>
      <c r="D149" t="str">
        <f t="shared" si="7"/>
        <v>000079</v>
      </c>
      <c r="E149" t="str">
        <f t="shared" si="8"/>
        <v>INSERT INTO ctb_filial_centro_custo (CENTRO_CUSTO,COD_FILIAL,PORCENTAGEM) VALUES ('3.1.5', '000079',100)</v>
      </c>
    </row>
    <row r="150" spans="1:5" x14ac:dyDescent="0.25">
      <c r="A150" s="4" t="s">
        <v>380</v>
      </c>
      <c r="B150" s="2">
        <v>1</v>
      </c>
      <c r="C150" t="str">
        <f t="shared" si="6"/>
        <v>3.1.5</v>
      </c>
      <c r="D150" t="str">
        <f t="shared" si="7"/>
        <v>000080</v>
      </c>
      <c r="E150" t="str">
        <f t="shared" si="8"/>
        <v>INSERT INTO ctb_filial_centro_custo (CENTRO_CUSTO,COD_FILIAL,PORCENTAGEM) VALUES ('3.1.5', '000080',100)</v>
      </c>
    </row>
    <row r="151" spans="1:5" x14ac:dyDescent="0.25">
      <c r="A151" s="4" t="s">
        <v>381</v>
      </c>
      <c r="B151" s="2">
        <v>1</v>
      </c>
      <c r="C151" t="str">
        <f t="shared" si="6"/>
        <v>3.1.5</v>
      </c>
      <c r="D151" t="str">
        <f t="shared" si="7"/>
        <v>000082</v>
      </c>
      <c r="E151" t="str">
        <f t="shared" si="8"/>
        <v>INSERT INTO ctb_filial_centro_custo (CENTRO_CUSTO,COD_FILIAL,PORCENTAGEM) VALUES ('3.1.5', '000082',100)</v>
      </c>
    </row>
    <row r="152" spans="1:5" x14ac:dyDescent="0.25">
      <c r="A152" s="4" t="s">
        <v>382</v>
      </c>
      <c r="B152" s="2">
        <v>1</v>
      </c>
      <c r="C152" t="str">
        <f t="shared" si="6"/>
        <v>3.1.5</v>
      </c>
      <c r="D152" t="str">
        <f t="shared" si="7"/>
        <v>000084</v>
      </c>
      <c r="E152" t="str">
        <f t="shared" si="8"/>
        <v>INSERT INTO ctb_filial_centro_custo (CENTRO_CUSTO,COD_FILIAL,PORCENTAGEM) VALUES ('3.1.5', '000084',100)</v>
      </c>
    </row>
    <row r="153" spans="1:5" x14ac:dyDescent="0.25">
      <c r="A153" s="4" t="s">
        <v>383</v>
      </c>
      <c r="B153" s="2">
        <v>1</v>
      </c>
      <c r="C153" t="str">
        <f t="shared" si="6"/>
        <v>4.1.2</v>
      </c>
      <c r="D153" t="str">
        <f t="shared" si="7"/>
        <v>000055</v>
      </c>
      <c r="E153" t="str">
        <f t="shared" si="8"/>
        <v>INSERT INTO ctb_filial_centro_custo (CENTRO_CUSTO,COD_FILIAL,PORCENTAGEM) VALUES ('4.1.2', '000055',100)</v>
      </c>
    </row>
    <row r="154" spans="1:5" x14ac:dyDescent="0.25">
      <c r="A154" s="4" t="s">
        <v>384</v>
      </c>
      <c r="B154" s="2">
        <v>2</v>
      </c>
      <c r="C154" t="str">
        <f t="shared" si="6"/>
        <v>5.5.3</v>
      </c>
      <c r="D154" t="str">
        <f t="shared" si="7"/>
        <v>000067</v>
      </c>
      <c r="E154" t="str">
        <f t="shared" si="8"/>
        <v>INSERT INTO ctb_filial_centro_custo (CENTRO_CUSTO,COD_FILIAL,PORCENTAGEM) VALUES ('5.5.3', '000067',100)</v>
      </c>
    </row>
    <row r="155" spans="1:5" x14ac:dyDescent="0.25">
      <c r="A155" s="4" t="s">
        <v>385</v>
      </c>
      <c r="B155" s="2">
        <v>1</v>
      </c>
      <c r="C155" t="str">
        <f t="shared" si="6"/>
        <v>6.1.1</v>
      </c>
      <c r="D155" t="str">
        <f t="shared" si="7"/>
        <v>000067</v>
      </c>
      <c r="E155" t="str">
        <f t="shared" si="8"/>
        <v>INSERT INTO ctb_filial_centro_custo (CENTRO_CUSTO,COD_FILIAL,PORCENTAGEM) VALUES ('6.1.1', '000067',100)</v>
      </c>
    </row>
    <row r="156" spans="1:5" x14ac:dyDescent="0.25">
      <c r="A156" s="4" t="s">
        <v>386</v>
      </c>
      <c r="B156" s="2">
        <v>1</v>
      </c>
      <c r="C156" t="str">
        <f t="shared" si="6"/>
        <v>6.1.1</v>
      </c>
      <c r="D156" t="str">
        <f t="shared" si="7"/>
        <v>000092</v>
      </c>
      <c r="E156" t="str">
        <f t="shared" si="8"/>
        <v>INSERT INTO ctb_filial_centro_custo (CENTRO_CUSTO,COD_FILIAL,PORCENTAGEM) VALUES ('6.1.1', '000092',100)</v>
      </c>
    </row>
    <row r="157" spans="1:5" x14ac:dyDescent="0.25">
      <c r="A157" s="4" t="s">
        <v>387</v>
      </c>
      <c r="B157" s="2">
        <v>209</v>
      </c>
      <c r="C157" t="e">
        <f t="shared" si="6"/>
        <v>#VALUE!</v>
      </c>
      <c r="D157" t="e">
        <f t="shared" si="7"/>
        <v>#VALUE!</v>
      </c>
      <c r="E157" t="e">
        <f t="shared" si="8"/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topLeftCell="A11" workbookViewId="0">
      <selection activeCell="D32" sqref="D32"/>
    </sheetView>
  </sheetViews>
  <sheetFormatPr defaultRowHeight="15" x14ac:dyDescent="0.25"/>
  <cols>
    <col min="1" max="1" width="22.85546875" style="1" bestFit="1" customWidth="1"/>
    <col min="2" max="2" width="13.7109375" style="1" bestFit="1" customWidth="1"/>
    <col min="3" max="3" width="9.140625" style="1"/>
  </cols>
  <sheetData>
    <row r="1" spans="1:4" x14ac:dyDescent="0.25">
      <c r="A1" s="1" t="s">
        <v>1</v>
      </c>
      <c r="B1" s="1" t="s">
        <v>2</v>
      </c>
      <c r="C1" s="1" t="s">
        <v>3</v>
      </c>
    </row>
    <row r="2" spans="1:4" x14ac:dyDescent="0.25">
      <c r="A2" s="1" t="s">
        <v>26</v>
      </c>
      <c r="B2" s="1" t="s">
        <v>41</v>
      </c>
      <c r="C2" s="1" t="s">
        <v>389</v>
      </c>
      <c r="D2" t="str">
        <f>"INSERT INTO ctb_filial_centro_custo (CENTRO_CUSTO,COD_FILIAL,PORCENTAGEM) VALUES ('"&amp;TRIM(A2)&amp;"', '"&amp;TRIM(B2)&amp;"',100)"</f>
        <v>INSERT INTO ctb_filial_centro_custo (CENTRO_CUSTO,COD_FILIAL,PORCENTAGEM) VALUES ('2.1.5', '000095',100)</v>
      </c>
    </row>
    <row r="3" spans="1:4" x14ac:dyDescent="0.25">
      <c r="A3" s="1" t="s">
        <v>5</v>
      </c>
      <c r="B3" s="1" t="s">
        <v>6</v>
      </c>
      <c r="C3" s="1" t="s">
        <v>390</v>
      </c>
      <c r="D3" t="str">
        <f t="shared" ref="D3:D39" si="0">"INSERT INTO ctb_filial_centro_custo (CENTRO_CUSTO,COD_FILIAL,PORCENTAGEM) VALUES ('"&amp;TRIM(A3)&amp;"', '"&amp;TRIM(B3)&amp;"',100)"</f>
        <v>INSERT INTO ctb_filial_centro_custo (CENTRO_CUSTO,COD_FILIAL,PORCENTAGEM) VALUES ('2.1.2', '000067',100)</v>
      </c>
    </row>
    <row r="4" spans="1:4" x14ac:dyDescent="0.25">
      <c r="A4" s="1" t="s">
        <v>55</v>
      </c>
      <c r="B4" s="1" t="s">
        <v>6</v>
      </c>
      <c r="C4" s="1" t="s">
        <v>391</v>
      </c>
      <c r="D4" t="str">
        <f t="shared" si="0"/>
        <v>INSERT INTO ctb_filial_centro_custo (CENTRO_CUSTO,COD_FILIAL,PORCENTAGEM) VALUES ('2.1.6', '000067',100)</v>
      </c>
    </row>
    <row r="5" spans="1:4" x14ac:dyDescent="0.25">
      <c r="A5" s="1" t="s">
        <v>26</v>
      </c>
      <c r="B5" s="1" t="s">
        <v>131</v>
      </c>
      <c r="C5" s="1" t="s">
        <v>390</v>
      </c>
      <c r="D5" t="str">
        <f t="shared" si="0"/>
        <v>INSERT INTO ctb_filial_centro_custo (CENTRO_CUSTO,COD_FILIAL,PORCENTAGEM) VALUES ('2.1.5', '000007',100)</v>
      </c>
    </row>
    <row r="6" spans="1:4" x14ac:dyDescent="0.25">
      <c r="A6" s="1" t="s">
        <v>27</v>
      </c>
      <c r="B6" s="1" t="s">
        <v>35</v>
      </c>
      <c r="C6" s="1" t="s">
        <v>392</v>
      </c>
      <c r="D6" t="str">
        <f t="shared" si="0"/>
        <v>INSERT INTO ctb_filial_centro_custo (CENTRO_CUSTO,COD_FILIAL,PORCENTAGEM) VALUES ('2.1.4', '000062',100)</v>
      </c>
    </row>
    <row r="7" spans="1:4" x14ac:dyDescent="0.25">
      <c r="A7" s="1" t="s">
        <v>26</v>
      </c>
      <c r="B7" s="1" t="s">
        <v>71</v>
      </c>
      <c r="C7" s="1" t="s">
        <v>390</v>
      </c>
      <c r="D7" t="str">
        <f t="shared" si="0"/>
        <v>INSERT INTO ctb_filial_centro_custo (CENTRO_CUSTO,COD_FILIAL,PORCENTAGEM) VALUES ('2.1.5', '000091',100)</v>
      </c>
    </row>
    <row r="8" spans="1:4" x14ac:dyDescent="0.25">
      <c r="A8" s="1" t="s">
        <v>27</v>
      </c>
      <c r="B8" s="1" t="s">
        <v>393</v>
      </c>
      <c r="C8" s="1" t="s">
        <v>390</v>
      </c>
      <c r="D8" t="str">
        <f t="shared" si="0"/>
        <v>INSERT INTO ctb_filial_centro_custo (CENTRO_CUSTO,COD_FILIAL,PORCENTAGEM) VALUES ('2.1.4', '000090',100)</v>
      </c>
    </row>
    <row r="9" spans="1:4" x14ac:dyDescent="0.25">
      <c r="A9" s="1" t="s">
        <v>55</v>
      </c>
      <c r="B9" s="1" t="s">
        <v>93</v>
      </c>
      <c r="C9" s="1" t="s">
        <v>394</v>
      </c>
      <c r="D9" t="str">
        <f t="shared" si="0"/>
        <v>INSERT INTO ctb_filial_centro_custo (CENTRO_CUSTO,COD_FILIAL,PORCENTAGEM) VALUES ('2.1.6', '000093',100)</v>
      </c>
    </row>
    <row r="10" spans="1:4" x14ac:dyDescent="0.25">
      <c r="A10" s="1" t="s">
        <v>33</v>
      </c>
      <c r="B10" s="1" t="s">
        <v>22</v>
      </c>
      <c r="C10" s="1" t="s">
        <v>395</v>
      </c>
      <c r="D10" t="str">
        <f t="shared" si="0"/>
        <v>INSERT INTO ctb_filial_centro_custo (CENTRO_CUSTO,COD_FILIAL,PORCENTAGEM) VALUES ('2.1.3', '000092',100)</v>
      </c>
    </row>
    <row r="11" spans="1:4" x14ac:dyDescent="0.25">
      <c r="A11" s="1" t="s">
        <v>55</v>
      </c>
      <c r="B11" s="1" t="s">
        <v>99</v>
      </c>
      <c r="C11" s="1" t="s">
        <v>390</v>
      </c>
      <c r="D11" t="str">
        <f t="shared" si="0"/>
        <v>INSERT INTO ctb_filial_centro_custo (CENTRO_CUSTO,COD_FILIAL,PORCENTAGEM) VALUES ('2.1.6', '000009',100)</v>
      </c>
    </row>
    <row r="12" spans="1:4" x14ac:dyDescent="0.25">
      <c r="A12" s="1" t="s">
        <v>27</v>
      </c>
      <c r="B12" s="1" t="s">
        <v>93</v>
      </c>
      <c r="C12" s="1" t="s">
        <v>390</v>
      </c>
      <c r="D12" t="str">
        <f t="shared" si="0"/>
        <v>INSERT INTO ctb_filial_centro_custo (CENTRO_CUSTO,COD_FILIAL,PORCENTAGEM) VALUES ('2.1.4', '000093',100)</v>
      </c>
    </row>
    <row r="13" spans="1:4" x14ac:dyDescent="0.25">
      <c r="A13" s="1" t="s">
        <v>33</v>
      </c>
      <c r="B13" s="1" t="s">
        <v>40</v>
      </c>
      <c r="C13" s="1" t="s">
        <v>390</v>
      </c>
      <c r="D13" t="str">
        <f t="shared" si="0"/>
        <v>INSERT INTO ctb_filial_centro_custo (CENTRO_CUSTO,COD_FILIAL,PORCENTAGEM) VALUES ('2.1.3', '000040',100)</v>
      </c>
    </row>
    <row r="14" spans="1:4" x14ac:dyDescent="0.25">
      <c r="A14" s="1" t="s">
        <v>27</v>
      </c>
      <c r="B14" s="1" t="s">
        <v>142</v>
      </c>
      <c r="C14" s="1" t="s">
        <v>390</v>
      </c>
      <c r="D14" t="str">
        <f t="shared" si="0"/>
        <v>INSERT INTO ctb_filial_centro_custo (CENTRO_CUSTO,COD_FILIAL,PORCENTAGEM) VALUES ('2.1.4', '000064',100)</v>
      </c>
    </row>
    <row r="15" spans="1:4" x14ac:dyDescent="0.25">
      <c r="A15" s="1" t="s">
        <v>396</v>
      </c>
      <c r="B15" s="1" t="s">
        <v>41</v>
      </c>
      <c r="C15" s="1" t="s">
        <v>390</v>
      </c>
      <c r="D15" t="str">
        <f t="shared" si="0"/>
        <v>INSERT INTO ctb_filial_centro_custo (CENTRO_CUSTO,COD_FILIAL,PORCENTAGEM) VALUES ('NULL', '000095',100)</v>
      </c>
    </row>
    <row r="16" spans="1:4" x14ac:dyDescent="0.25">
      <c r="A16" s="1" t="s">
        <v>26</v>
      </c>
      <c r="B16" s="1" t="s">
        <v>178</v>
      </c>
      <c r="C16" s="1" t="s">
        <v>397</v>
      </c>
      <c r="D16" t="str">
        <f t="shared" si="0"/>
        <v>INSERT INTO ctb_filial_centro_custo (CENTRO_CUSTO,COD_FILIAL,PORCENTAGEM) VALUES ('2.1.5', '000092',100)</v>
      </c>
    </row>
    <row r="17" spans="1:4" x14ac:dyDescent="0.25">
      <c r="A17" s="1" t="s">
        <v>84</v>
      </c>
      <c r="B17" s="1" t="s">
        <v>6</v>
      </c>
      <c r="C17" s="1" t="s">
        <v>398</v>
      </c>
      <c r="D17" t="str">
        <f t="shared" si="0"/>
        <v>INSERT INTO ctb_filial_centro_custo (CENTRO_CUSTO,COD_FILIAL,PORCENTAGEM) VALUES ('2.1.8', '000067',100)</v>
      </c>
    </row>
    <row r="18" spans="1:4" x14ac:dyDescent="0.25">
      <c r="A18" s="1" t="s">
        <v>396</v>
      </c>
      <c r="B18" s="1" t="s">
        <v>6</v>
      </c>
      <c r="C18" s="1" t="s">
        <v>399</v>
      </c>
      <c r="D18" t="str">
        <f t="shared" si="0"/>
        <v>INSERT INTO ctb_filial_centro_custo (CENTRO_CUSTO,COD_FILIAL,PORCENTAGEM) VALUES ('NULL', '000067',100)</v>
      </c>
    </row>
    <row r="19" spans="1:4" x14ac:dyDescent="0.25">
      <c r="A19" s="1" t="s">
        <v>55</v>
      </c>
      <c r="B19" s="1" t="s">
        <v>44</v>
      </c>
      <c r="C19" s="1" t="s">
        <v>390</v>
      </c>
      <c r="D19" t="str">
        <f t="shared" si="0"/>
        <v>INSERT INTO ctb_filial_centro_custo (CENTRO_CUSTO,COD_FILIAL,PORCENTAGEM) VALUES ('2.1.6', '000010',100)</v>
      </c>
    </row>
    <row r="20" spans="1:4" x14ac:dyDescent="0.25">
      <c r="A20" s="1" t="s">
        <v>27</v>
      </c>
      <c r="B20" s="1" t="s">
        <v>6</v>
      </c>
      <c r="C20" s="1" t="s">
        <v>400</v>
      </c>
      <c r="D20" t="str">
        <f t="shared" si="0"/>
        <v>INSERT INTO ctb_filial_centro_custo (CENTRO_CUSTO,COD_FILIAL,PORCENTAGEM) VALUES ('2.1.4', '000067',100)</v>
      </c>
    </row>
    <row r="21" spans="1:4" x14ac:dyDescent="0.25">
      <c r="A21" s="1" t="s">
        <v>55</v>
      </c>
      <c r="B21" s="1" t="s">
        <v>41</v>
      </c>
      <c r="C21" s="1" t="s">
        <v>401</v>
      </c>
      <c r="D21" t="str">
        <f t="shared" si="0"/>
        <v>INSERT INTO ctb_filial_centro_custo (CENTRO_CUSTO,COD_FILIAL,PORCENTAGEM) VALUES ('2.1.6', '000095',100)</v>
      </c>
    </row>
    <row r="22" spans="1:4" x14ac:dyDescent="0.25">
      <c r="A22" s="1" t="s">
        <v>402</v>
      </c>
      <c r="B22" s="1" t="s">
        <v>403</v>
      </c>
      <c r="C22" s="1" t="s">
        <v>390</v>
      </c>
      <c r="D22" t="str">
        <f t="shared" si="0"/>
        <v>INSERT INTO ctb_filial_centro_custo (CENTRO_CUSTO,COD_FILIAL,PORCENTAGEM) VALUES ('006', '000021',100)</v>
      </c>
    </row>
    <row r="23" spans="1:4" x14ac:dyDescent="0.25">
      <c r="A23" s="1" t="s">
        <v>108</v>
      </c>
      <c r="B23" s="1" t="s">
        <v>22</v>
      </c>
      <c r="C23" s="1" t="s">
        <v>404</v>
      </c>
      <c r="D23" t="str">
        <f t="shared" si="0"/>
        <v>INSERT INTO ctb_filial_centro_custo (CENTRO_CUSTO,COD_FILIAL,PORCENTAGEM) VALUES ('2.1.7', '000092',100)</v>
      </c>
    </row>
    <row r="24" spans="1:4" x14ac:dyDescent="0.25">
      <c r="A24" s="1" t="s">
        <v>27</v>
      </c>
      <c r="B24" s="1" t="s">
        <v>41</v>
      </c>
      <c r="C24" s="1" t="s">
        <v>405</v>
      </c>
      <c r="D24" t="str">
        <f t="shared" si="0"/>
        <v>INSERT INTO ctb_filial_centro_custo (CENTRO_CUSTO,COD_FILIAL,PORCENTAGEM) VALUES ('2.1.4', '000095',100)</v>
      </c>
    </row>
    <row r="25" spans="1:4" x14ac:dyDescent="0.25">
      <c r="A25" s="1" t="s">
        <v>396</v>
      </c>
      <c r="B25" s="1" t="s">
        <v>22</v>
      </c>
      <c r="C25" s="1" t="s">
        <v>390</v>
      </c>
      <c r="D25" t="str">
        <f t="shared" si="0"/>
        <v>INSERT INTO ctb_filial_centro_custo (CENTRO_CUSTO,COD_FILIAL,PORCENTAGEM) VALUES ('NULL', '000092',100)</v>
      </c>
    </row>
    <row r="26" spans="1:4" x14ac:dyDescent="0.25">
      <c r="A26" s="1" t="s">
        <v>55</v>
      </c>
      <c r="B26" s="1" t="s">
        <v>22</v>
      </c>
      <c r="C26" s="1" t="s">
        <v>406</v>
      </c>
      <c r="D26" t="str">
        <f t="shared" si="0"/>
        <v>INSERT INTO ctb_filial_centro_custo (CENTRO_CUSTO,COD_FILIAL,PORCENTAGEM) VALUES ('2.1.6', '000092',100)</v>
      </c>
    </row>
    <row r="27" spans="1:4" x14ac:dyDescent="0.25">
      <c r="A27" s="1" t="s">
        <v>26</v>
      </c>
      <c r="B27" s="1" t="s">
        <v>40</v>
      </c>
      <c r="C27" s="1" t="s">
        <v>407</v>
      </c>
      <c r="D27" t="str">
        <f t="shared" si="0"/>
        <v>INSERT INTO ctb_filial_centro_custo (CENTRO_CUSTO,COD_FILIAL,PORCENTAGEM) VALUES ('2.1.5', '000040',100)</v>
      </c>
    </row>
    <row r="28" spans="1:4" x14ac:dyDescent="0.25">
      <c r="A28" s="1" t="s">
        <v>33</v>
      </c>
      <c r="B28" s="1" t="s">
        <v>408</v>
      </c>
      <c r="C28" s="1" t="s">
        <v>399</v>
      </c>
      <c r="D28" t="str">
        <f t="shared" si="0"/>
        <v>INSERT INTO ctb_filial_centro_custo (CENTRO_CUSTO,COD_FILIAL,PORCENTAGEM) VALUES ('2.1.3', '000094',100)</v>
      </c>
    </row>
    <row r="29" spans="1:4" x14ac:dyDescent="0.25">
      <c r="A29" s="1" t="s">
        <v>84</v>
      </c>
      <c r="B29" s="1" t="s">
        <v>174</v>
      </c>
      <c r="C29" s="1" t="s">
        <v>390</v>
      </c>
      <c r="D29" t="str">
        <f t="shared" si="0"/>
        <v>INSERT INTO ctb_filial_centro_custo (CENTRO_CUSTO,COD_FILIAL,PORCENTAGEM) VALUES ('2.1.8', '000033',100)</v>
      </c>
    </row>
    <row r="30" spans="1:4" x14ac:dyDescent="0.25">
      <c r="A30" s="1" t="s">
        <v>84</v>
      </c>
      <c r="B30" s="1" t="s">
        <v>22</v>
      </c>
      <c r="C30" s="1" t="s">
        <v>409</v>
      </c>
      <c r="D30" t="str">
        <f t="shared" si="0"/>
        <v>INSERT INTO ctb_filial_centro_custo (CENTRO_CUSTO,COD_FILIAL,PORCENTAGEM) VALUES ('2.1.8', '000092',100)</v>
      </c>
    </row>
    <row r="31" spans="1:4" x14ac:dyDescent="0.25">
      <c r="A31" s="1" t="s">
        <v>33</v>
      </c>
      <c r="B31" s="1" t="s">
        <v>44</v>
      </c>
      <c r="C31" s="1" t="s">
        <v>390</v>
      </c>
      <c r="D31" t="str">
        <f t="shared" si="0"/>
        <v>INSERT INTO ctb_filial_centro_custo (CENTRO_CUSTO,COD_FILIAL,PORCENTAGEM) VALUES ('2.1.3', '000010',100)</v>
      </c>
    </row>
    <row r="32" spans="1:4" x14ac:dyDescent="0.25">
      <c r="A32" s="1" t="s">
        <v>64</v>
      </c>
      <c r="B32" s="1" t="s">
        <v>6</v>
      </c>
      <c r="C32" s="1" t="s">
        <v>410</v>
      </c>
      <c r="D32" t="str">
        <f>"INSERT INTO ctb_filial_centro_custo (CENTRO_CUSTO,COD_FILIAL,PORCENTAGEM) VALUES ('"&amp;TRIM(A32)&amp;"', '"&amp;TRIM(B32)&amp;"',100)"</f>
        <v>INSERT INTO ctb_filial_centro_custo (CENTRO_CUSTO,COD_FILIAL,PORCENTAGEM) VALUES ('2.1.9', '000067',100)</v>
      </c>
    </row>
    <row r="33" spans="1:4" x14ac:dyDescent="0.25">
      <c r="A33" s="1" t="s">
        <v>33</v>
      </c>
      <c r="B33" s="1" t="s">
        <v>41</v>
      </c>
      <c r="C33" s="1" t="s">
        <v>411</v>
      </c>
      <c r="D33" t="str">
        <f t="shared" si="0"/>
        <v>INSERT INTO ctb_filial_centro_custo (CENTRO_CUSTO,COD_FILIAL,PORCENTAGEM) VALUES ('2.1.3', '000095',100)</v>
      </c>
    </row>
    <row r="34" spans="1:4" x14ac:dyDescent="0.25">
      <c r="A34" s="1" t="s">
        <v>26</v>
      </c>
      <c r="B34" s="1" t="s">
        <v>6</v>
      </c>
      <c r="C34" s="1" t="s">
        <v>412</v>
      </c>
      <c r="D34" t="str">
        <f t="shared" si="0"/>
        <v>INSERT INTO ctb_filial_centro_custo (CENTRO_CUSTO,COD_FILIAL,PORCENTAGEM) VALUES ('2.1.5', '000067',100)</v>
      </c>
    </row>
    <row r="35" spans="1:4" x14ac:dyDescent="0.25">
      <c r="A35" s="1" t="s">
        <v>413</v>
      </c>
      <c r="B35" s="1" t="s">
        <v>408</v>
      </c>
      <c r="C35" s="1" t="s">
        <v>390</v>
      </c>
      <c r="D35" t="str">
        <f t="shared" si="0"/>
        <v>INSERT INTO ctb_filial_centro_custo (CENTRO_CUSTO,COD_FILIAL,PORCENTAGEM) VALUES ('1.1.1', '000094',100)</v>
      </c>
    </row>
    <row r="36" spans="1:4" x14ac:dyDescent="0.25">
      <c r="A36" s="1" t="s">
        <v>27</v>
      </c>
      <c r="B36" s="1" t="s">
        <v>178</v>
      </c>
      <c r="C36" s="1" t="s">
        <v>414</v>
      </c>
      <c r="D36" t="str">
        <f t="shared" si="0"/>
        <v>INSERT INTO ctb_filial_centro_custo (CENTRO_CUSTO,COD_FILIAL,PORCENTAGEM) VALUES ('2.1.4', '000092',100)</v>
      </c>
    </row>
    <row r="37" spans="1:4" x14ac:dyDescent="0.25">
      <c r="A37" s="1" t="s">
        <v>108</v>
      </c>
      <c r="B37" s="1" t="s">
        <v>6</v>
      </c>
      <c r="C37" s="1" t="s">
        <v>415</v>
      </c>
      <c r="D37" t="str">
        <f t="shared" si="0"/>
        <v>INSERT INTO ctb_filial_centro_custo (CENTRO_CUSTO,COD_FILIAL,PORCENTAGEM) VALUES ('2.1.7', '000067',100)</v>
      </c>
    </row>
    <row r="38" spans="1:4" x14ac:dyDescent="0.25">
      <c r="A38" s="1" t="s">
        <v>33</v>
      </c>
      <c r="B38" s="1" t="s">
        <v>6</v>
      </c>
      <c r="C38" s="1" t="s">
        <v>416</v>
      </c>
      <c r="D38" t="str">
        <f t="shared" si="0"/>
        <v>INSERT INTO ctb_filial_centro_custo (CENTRO_CUSTO,COD_FILIAL,PORCENTAGEM) VALUES ('2.1.3', '000067',100)</v>
      </c>
    </row>
    <row r="39" spans="1:4" x14ac:dyDescent="0.25">
      <c r="A39" s="1" t="s">
        <v>87</v>
      </c>
      <c r="B39" s="1" t="s">
        <v>6</v>
      </c>
      <c r="C39" s="1" t="s">
        <v>417</v>
      </c>
      <c r="D39" t="str">
        <f t="shared" si="0"/>
        <v>INSERT INTO ctb_filial_centro_custo (CENTRO_CUSTO,COD_FILIAL,PORCENTAGEM) VALUES ('5.5.3', '000067',100)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10"/>
  <sheetViews>
    <sheetView topLeftCell="B1" workbookViewId="0">
      <selection activeCell="G2" sqref="G2"/>
    </sheetView>
  </sheetViews>
  <sheetFormatPr defaultRowHeight="15" x14ac:dyDescent="0.25"/>
  <cols>
    <col min="1" max="1" width="26.140625" style="1" bestFit="1" customWidth="1"/>
    <col min="2" max="2" width="22.85546875" style="1" bestFit="1" customWidth="1"/>
    <col min="3" max="3" width="13.7109375" style="1" bestFit="1" customWidth="1"/>
    <col min="4" max="5" width="13.7109375" style="2" customWidth="1"/>
    <col min="6" max="6" width="6" bestFit="1" customWidth="1"/>
    <col min="7" max="7" width="101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231</v>
      </c>
      <c r="E1" s="2" t="s">
        <v>232</v>
      </c>
      <c r="F1" t="s">
        <v>3</v>
      </c>
      <c r="G1" s="1" t="s">
        <v>195</v>
      </c>
    </row>
    <row r="2" spans="1:7" x14ac:dyDescent="0.25">
      <c r="A2" s="1" t="s">
        <v>4</v>
      </c>
      <c r="B2" s="1" t="s">
        <v>5</v>
      </c>
      <c r="C2" s="1" t="s">
        <v>6</v>
      </c>
      <c r="D2" s="2" t="str">
        <f>CONCATENATE(TRIM(B2),"|",TRIM(C2))</f>
        <v>2.1.2|000067</v>
      </c>
      <c r="E2" s="2" t="e">
        <f>INDEX(Planilha2!$D:$D,MATCH(D2,Planilha2!$D:$D,0),1)</f>
        <v>#N/A</v>
      </c>
      <c r="F2">
        <v>1</v>
      </c>
      <c r="G2" t="str">
        <f>"INSERT INTO ctb_filial_centro_custo (CENTRO_CUSTO,COD_FILIAL,PORCENTAGEM) VALUES ('"&amp;TRIM(B2)&amp;"', '"&amp;TRIM(C2)&amp;"',100)"</f>
        <v>INSERT INTO ctb_filial_centro_custo (CENTRO_CUSTO,COD_FILIAL,PORCENTAGEM) VALUES ('2.1.2', '000067',100)</v>
      </c>
    </row>
    <row r="3" spans="1:7" x14ac:dyDescent="0.25">
      <c r="A3" s="1" t="s">
        <v>7</v>
      </c>
      <c r="B3" s="1" t="s">
        <v>8</v>
      </c>
      <c r="C3" s="1" t="s">
        <v>9</v>
      </c>
      <c r="D3" s="2" t="str">
        <f t="shared" ref="D3:D66" si="0">CONCATENATE(TRIM(B3),"|",TRIM(C3))</f>
        <v>003|000027</v>
      </c>
      <c r="E3" s="2" t="e">
        <f>INDEX(Planilha2!$D:$D,MATCH(D3,Planilha2!$D:$D,0),1)</f>
        <v>#N/A</v>
      </c>
      <c r="F3">
        <v>203</v>
      </c>
      <c r="G3" t="str">
        <f t="shared" ref="G3:G66" si="1">"INSERT INTO ctb_filial_centro_custo (CENTRO_CUSTO,COD_FILIAL,PORCENTAGEM) VALUES ('"&amp;TRIM(B3)&amp;"', '"&amp;TRIM(C3)&amp;"',100)"</f>
        <v>INSERT INTO ctb_filial_centro_custo (CENTRO_CUSTO,COD_FILIAL,PORCENTAGEM) VALUES ('003', '000027',100)</v>
      </c>
    </row>
    <row r="4" spans="1:7" x14ac:dyDescent="0.25">
      <c r="A4" s="1" t="s">
        <v>10</v>
      </c>
      <c r="B4" s="1" t="s">
        <v>8</v>
      </c>
      <c r="C4" s="1" t="s">
        <v>11</v>
      </c>
      <c r="D4" s="2" t="str">
        <f t="shared" si="0"/>
        <v>003|000084</v>
      </c>
      <c r="E4" s="2" t="e">
        <f>INDEX(Planilha2!$D:$D,MATCH(D4,Planilha2!$D:$D,0),1)</f>
        <v>#N/A</v>
      </c>
      <c r="F4">
        <v>136</v>
      </c>
      <c r="G4" t="str">
        <f t="shared" si="1"/>
        <v>INSERT INTO ctb_filial_centro_custo (CENTRO_CUSTO,COD_FILIAL,PORCENTAGEM) VALUES ('003', '000084',100)</v>
      </c>
    </row>
    <row r="5" spans="1:7" x14ac:dyDescent="0.25">
      <c r="A5" s="1" t="s">
        <v>12</v>
      </c>
      <c r="B5" s="1" t="s">
        <v>8</v>
      </c>
      <c r="C5" s="1" t="s">
        <v>13</v>
      </c>
      <c r="D5" s="2" t="str">
        <f t="shared" si="0"/>
        <v>003|000063</v>
      </c>
      <c r="E5" s="2" t="e">
        <f>INDEX(Planilha2!$D:$D,MATCH(D5,Planilha2!$D:$D,0),1)</f>
        <v>#N/A</v>
      </c>
      <c r="F5">
        <v>152</v>
      </c>
      <c r="G5" t="str">
        <f t="shared" si="1"/>
        <v>INSERT INTO ctb_filial_centro_custo (CENTRO_CUSTO,COD_FILIAL,PORCENTAGEM) VALUES ('003', '000063',100)</v>
      </c>
    </row>
    <row r="6" spans="1:7" x14ac:dyDescent="0.25">
      <c r="A6" s="1" t="s">
        <v>14</v>
      </c>
      <c r="B6" s="1" t="s">
        <v>15</v>
      </c>
      <c r="C6" s="1" t="s">
        <v>6</v>
      </c>
      <c r="D6" s="2" t="str">
        <f t="shared" si="0"/>
        <v>3.1.5|000067</v>
      </c>
      <c r="E6" s="2" t="e">
        <f>INDEX(Planilha2!$D:$D,MATCH(D6,Planilha2!$D:$D,0),1)</f>
        <v>#N/A</v>
      </c>
      <c r="F6">
        <v>2</v>
      </c>
      <c r="G6" t="str">
        <f t="shared" si="1"/>
        <v>INSERT INTO ctb_filial_centro_custo (CENTRO_CUSTO,COD_FILIAL,PORCENTAGEM) VALUES ('3.1.5', '000067',100)</v>
      </c>
    </row>
    <row r="7" spans="1:7" x14ac:dyDescent="0.25">
      <c r="A7" s="1" t="s">
        <v>16</v>
      </c>
      <c r="B7" s="1" t="s">
        <v>15</v>
      </c>
      <c r="C7" s="1" t="s">
        <v>17</v>
      </c>
      <c r="D7" s="2" t="str">
        <f t="shared" si="0"/>
        <v>3.1.5|000019</v>
      </c>
      <c r="E7" s="2" t="e">
        <f>INDEX(Planilha2!$D:$D,MATCH(D7,Planilha2!$D:$D,0),1)</f>
        <v>#N/A</v>
      </c>
      <c r="F7">
        <v>26873</v>
      </c>
      <c r="G7" t="str">
        <f t="shared" si="1"/>
        <v>INSERT INTO ctb_filial_centro_custo (CENTRO_CUSTO,COD_FILIAL,PORCENTAGEM) VALUES ('3.1.5', '000019',100)</v>
      </c>
    </row>
    <row r="8" spans="1:7" x14ac:dyDescent="0.25">
      <c r="A8" s="1" t="s">
        <v>18</v>
      </c>
      <c r="B8" s="1" t="s">
        <v>15</v>
      </c>
      <c r="C8" s="1" t="s">
        <v>19</v>
      </c>
      <c r="D8" s="2" t="str">
        <f t="shared" si="0"/>
        <v>3.1.5|000008</v>
      </c>
      <c r="E8" s="2" t="e">
        <f>INDEX(Planilha2!$D:$D,MATCH(D8,Planilha2!$D:$D,0),1)</f>
        <v>#N/A</v>
      </c>
      <c r="F8">
        <v>33746</v>
      </c>
      <c r="G8" t="str">
        <f t="shared" si="1"/>
        <v>INSERT INTO ctb_filial_centro_custo (CENTRO_CUSTO,COD_FILIAL,PORCENTAGEM) VALUES ('3.1.5', '000008',100)</v>
      </c>
    </row>
    <row r="9" spans="1:7" x14ac:dyDescent="0.25">
      <c r="A9" s="1" t="s">
        <v>20</v>
      </c>
      <c r="B9" s="1" t="s">
        <v>21</v>
      </c>
      <c r="C9" s="1" t="s">
        <v>22</v>
      </c>
      <c r="D9" s="2" t="str">
        <f t="shared" si="0"/>
        <v>6.1.1|000092</v>
      </c>
      <c r="E9" s="2" t="e">
        <f>INDEX(Planilha2!$D:$D,MATCH(D9,Planilha2!$D:$D,0),1)</f>
        <v>#N/A</v>
      </c>
      <c r="F9">
        <v>1</v>
      </c>
      <c r="G9" t="str">
        <f t="shared" si="1"/>
        <v>INSERT INTO ctb_filial_centro_custo (CENTRO_CUSTO,COD_FILIAL,PORCENTAGEM) VALUES ('6.1.1', '000092',100)</v>
      </c>
    </row>
    <row r="10" spans="1:7" x14ac:dyDescent="0.25">
      <c r="A10" s="1" t="s">
        <v>23</v>
      </c>
      <c r="B10" s="1" t="s">
        <v>15</v>
      </c>
      <c r="C10" s="1" t="s">
        <v>6</v>
      </c>
      <c r="D10" s="2" t="str">
        <f t="shared" si="0"/>
        <v>3.1.5|000067</v>
      </c>
      <c r="E10" s="2" t="e">
        <f>INDEX(Planilha2!$D:$D,MATCH(D10,Planilha2!$D:$D,0),1)</f>
        <v>#N/A</v>
      </c>
      <c r="F10">
        <v>24</v>
      </c>
      <c r="G10" t="str">
        <f t="shared" si="1"/>
        <v>INSERT INTO ctb_filial_centro_custo (CENTRO_CUSTO,COD_FILIAL,PORCENTAGEM) VALUES ('3.1.5', '000067',100)</v>
      </c>
    </row>
    <row r="11" spans="1:7" x14ac:dyDescent="0.25">
      <c r="A11" s="1" t="s">
        <v>24</v>
      </c>
      <c r="B11" s="1" t="s">
        <v>15</v>
      </c>
      <c r="C11" s="1" t="s">
        <v>6</v>
      </c>
      <c r="D11" s="2" t="str">
        <f t="shared" si="0"/>
        <v>3.1.5|000067</v>
      </c>
      <c r="E11" s="2" t="e">
        <f>INDEX(Planilha2!$D:$D,MATCH(D11,Planilha2!$D:$D,0),1)</f>
        <v>#N/A</v>
      </c>
      <c r="F11">
        <v>8</v>
      </c>
      <c r="G11" t="str">
        <f t="shared" si="1"/>
        <v>INSERT INTO ctb_filial_centro_custo (CENTRO_CUSTO,COD_FILIAL,PORCENTAGEM) VALUES ('3.1.5', '000067',100)</v>
      </c>
    </row>
    <row r="12" spans="1:7" x14ac:dyDescent="0.25">
      <c r="A12" s="1" t="s">
        <v>25</v>
      </c>
      <c r="B12" s="1" t="s">
        <v>26</v>
      </c>
      <c r="C12" s="1" t="s">
        <v>6</v>
      </c>
      <c r="D12" s="2" t="str">
        <f t="shared" si="0"/>
        <v>2.1.5|000067</v>
      </c>
      <c r="E12" s="2" t="e">
        <f>INDEX(Planilha2!$D:$D,MATCH(D12,Planilha2!$D:$D,0),1)</f>
        <v>#N/A</v>
      </c>
      <c r="F12">
        <v>6</v>
      </c>
      <c r="G12" t="str">
        <f t="shared" si="1"/>
        <v>INSERT INTO ctb_filial_centro_custo (CENTRO_CUSTO,COD_FILIAL,PORCENTAGEM) VALUES ('2.1.5', '000067',100)</v>
      </c>
    </row>
    <row r="13" spans="1:7" x14ac:dyDescent="0.25">
      <c r="A13" s="1" t="s">
        <v>20</v>
      </c>
      <c r="B13" s="1" t="s">
        <v>27</v>
      </c>
      <c r="C13" s="1" t="s">
        <v>22</v>
      </c>
      <c r="D13" s="2" t="str">
        <f t="shared" si="0"/>
        <v>2.1.4|000092</v>
      </c>
      <c r="E13" s="2" t="e">
        <f>INDEX(Planilha2!$D:$D,MATCH(D13,Planilha2!$D:$D,0),1)</f>
        <v>#N/A</v>
      </c>
      <c r="F13">
        <v>1341</v>
      </c>
      <c r="G13" t="str">
        <f t="shared" si="1"/>
        <v>INSERT INTO ctb_filial_centro_custo (CENTRO_CUSTO,COD_FILIAL,PORCENTAGEM) VALUES ('2.1.4', '000092',100)</v>
      </c>
    </row>
    <row r="14" spans="1:7" x14ac:dyDescent="0.25">
      <c r="A14" s="1" t="s">
        <v>28</v>
      </c>
      <c r="B14" s="1" t="s">
        <v>27</v>
      </c>
      <c r="C14" s="1" t="s">
        <v>6</v>
      </c>
      <c r="D14" s="2" t="str">
        <f t="shared" si="0"/>
        <v>2.1.4|000067</v>
      </c>
      <c r="E14" s="2" t="e">
        <f>INDEX(Planilha2!$D:$D,MATCH(D14,Planilha2!$D:$D,0),1)</f>
        <v>#N/A</v>
      </c>
      <c r="F14">
        <v>25</v>
      </c>
      <c r="G14" t="str">
        <f t="shared" si="1"/>
        <v>INSERT INTO ctb_filial_centro_custo (CENTRO_CUSTO,COD_FILIAL,PORCENTAGEM) VALUES ('2.1.4', '000067',100)</v>
      </c>
    </row>
    <row r="15" spans="1:7" x14ac:dyDescent="0.25">
      <c r="A15" s="1" t="s">
        <v>29</v>
      </c>
      <c r="B15" s="1" t="s">
        <v>15</v>
      </c>
      <c r="C15" s="1" t="s">
        <v>6</v>
      </c>
      <c r="D15" s="2" t="str">
        <f t="shared" si="0"/>
        <v>3.1.5|000067</v>
      </c>
      <c r="E15" s="2" t="e">
        <f>INDEX(Planilha2!$D:$D,MATCH(D15,Planilha2!$D:$D,0),1)</f>
        <v>#N/A</v>
      </c>
      <c r="F15">
        <v>14</v>
      </c>
      <c r="G15" t="str">
        <f t="shared" si="1"/>
        <v>INSERT INTO ctb_filial_centro_custo (CENTRO_CUSTO,COD_FILIAL,PORCENTAGEM) VALUES ('3.1.5', '000067',100)</v>
      </c>
    </row>
    <row r="16" spans="1:7" x14ac:dyDescent="0.25">
      <c r="A16" s="1" t="s">
        <v>30</v>
      </c>
      <c r="B16" s="1" t="s">
        <v>15</v>
      </c>
      <c r="C16" s="1" t="s">
        <v>6</v>
      </c>
      <c r="D16" s="2" t="str">
        <f t="shared" si="0"/>
        <v>3.1.5|000067</v>
      </c>
      <c r="E16" s="2" t="e">
        <f>INDEX(Planilha2!$D:$D,MATCH(D16,Planilha2!$D:$D,0),1)</f>
        <v>#N/A</v>
      </c>
      <c r="F16">
        <v>5</v>
      </c>
      <c r="G16" t="str">
        <f t="shared" si="1"/>
        <v>INSERT INTO ctb_filial_centro_custo (CENTRO_CUSTO,COD_FILIAL,PORCENTAGEM) VALUES ('3.1.5', '000067',100)</v>
      </c>
    </row>
    <row r="17" spans="1:7" x14ac:dyDescent="0.25">
      <c r="A17" s="1" t="s">
        <v>31</v>
      </c>
      <c r="B17" s="1" t="s">
        <v>8</v>
      </c>
      <c r="C17" s="1" t="s">
        <v>32</v>
      </c>
      <c r="D17" s="2" t="str">
        <f t="shared" si="0"/>
        <v>003|000057</v>
      </c>
      <c r="E17" s="2" t="e">
        <f>INDEX(Planilha2!$D:$D,MATCH(D17,Planilha2!$D:$D,0),1)</f>
        <v>#N/A</v>
      </c>
      <c r="F17">
        <v>254</v>
      </c>
      <c r="G17" t="str">
        <f t="shared" si="1"/>
        <v>INSERT INTO ctb_filial_centro_custo (CENTRO_CUSTO,COD_FILIAL,PORCENTAGEM) VALUES ('003', '000057',100)</v>
      </c>
    </row>
    <row r="18" spans="1:7" x14ac:dyDescent="0.25">
      <c r="A18" s="1" t="s">
        <v>20</v>
      </c>
      <c r="B18" s="1" t="s">
        <v>33</v>
      </c>
      <c r="C18" s="1" t="s">
        <v>6</v>
      </c>
      <c r="D18" s="2" t="str">
        <f t="shared" si="0"/>
        <v>2.1.3|000067</v>
      </c>
      <c r="E18" s="2" t="e">
        <f>INDEX(Planilha2!$D:$D,MATCH(D18,Planilha2!$D:$D,0),1)</f>
        <v>#N/A</v>
      </c>
      <c r="F18">
        <v>17</v>
      </c>
      <c r="G18" t="str">
        <f t="shared" si="1"/>
        <v>INSERT INTO ctb_filial_centro_custo (CENTRO_CUSTO,COD_FILIAL,PORCENTAGEM) VALUES ('2.1.3', '000067',100)</v>
      </c>
    </row>
    <row r="19" spans="1:7" x14ac:dyDescent="0.25">
      <c r="A19" s="1" t="s">
        <v>34</v>
      </c>
      <c r="B19" s="1" t="s">
        <v>15</v>
      </c>
      <c r="C19" s="1" t="s">
        <v>35</v>
      </c>
      <c r="D19" s="2" t="str">
        <f t="shared" si="0"/>
        <v>3.1.5|000062</v>
      </c>
      <c r="E19" s="2" t="e">
        <f>INDEX(Planilha2!$D:$D,MATCH(D19,Planilha2!$D:$D,0),1)</f>
        <v>#N/A</v>
      </c>
      <c r="F19">
        <v>21092</v>
      </c>
      <c r="G19" t="str">
        <f t="shared" si="1"/>
        <v>INSERT INTO ctb_filial_centro_custo (CENTRO_CUSTO,COD_FILIAL,PORCENTAGEM) VALUES ('3.1.5', '000062',100)</v>
      </c>
    </row>
    <row r="20" spans="1:7" x14ac:dyDescent="0.25">
      <c r="A20" s="1" t="s">
        <v>36</v>
      </c>
      <c r="B20" s="1" t="s">
        <v>37</v>
      </c>
      <c r="C20" s="1" t="s">
        <v>38</v>
      </c>
      <c r="D20" s="2" t="str">
        <f t="shared" si="0"/>
        <v>003|999999</v>
      </c>
      <c r="E20" s="2" t="e">
        <f>INDEX(Planilha2!$D:$D,MATCH(D20,Planilha2!$D:$D,0),1)</f>
        <v>#N/A</v>
      </c>
      <c r="F20">
        <v>3</v>
      </c>
      <c r="G20" t="str">
        <f t="shared" si="1"/>
        <v>INSERT INTO ctb_filial_centro_custo (CENTRO_CUSTO,COD_FILIAL,PORCENTAGEM) VALUES ('003', '999999',100)</v>
      </c>
    </row>
    <row r="21" spans="1:7" x14ac:dyDescent="0.25">
      <c r="A21" s="1" t="s">
        <v>39</v>
      </c>
      <c r="B21" s="1" t="s">
        <v>33</v>
      </c>
      <c r="C21" s="1" t="s">
        <v>40</v>
      </c>
      <c r="D21" s="2" t="str">
        <f t="shared" si="0"/>
        <v>2.1.3|000040</v>
      </c>
      <c r="E21" s="2" t="e">
        <f>INDEX(Planilha2!$D:$D,MATCH(D21,Planilha2!$D:$D,0),1)</f>
        <v>#N/A</v>
      </c>
      <c r="F21">
        <v>29</v>
      </c>
      <c r="G21" t="str">
        <f t="shared" si="1"/>
        <v>INSERT INTO ctb_filial_centro_custo (CENTRO_CUSTO,COD_FILIAL,PORCENTAGEM) VALUES ('2.1.3', '000040',100)</v>
      </c>
    </row>
    <row r="22" spans="1:7" x14ac:dyDescent="0.25">
      <c r="A22" s="1" t="s">
        <v>20</v>
      </c>
      <c r="B22" s="1" t="s">
        <v>26</v>
      </c>
      <c r="C22" s="1" t="s">
        <v>41</v>
      </c>
      <c r="D22" s="2" t="str">
        <f t="shared" si="0"/>
        <v>2.1.5|000095</v>
      </c>
      <c r="E22" s="2" t="e">
        <f>INDEX(Planilha2!$D:$D,MATCH(D22,Planilha2!$D:$D,0),1)</f>
        <v>#N/A</v>
      </c>
      <c r="F22">
        <v>6</v>
      </c>
      <c r="G22" t="str">
        <f t="shared" si="1"/>
        <v>INSERT INTO ctb_filial_centro_custo (CENTRO_CUSTO,COD_FILIAL,PORCENTAGEM) VALUES ('2.1.5', '000095',100)</v>
      </c>
    </row>
    <row r="23" spans="1:7" x14ac:dyDescent="0.25">
      <c r="A23" s="1" t="s">
        <v>20</v>
      </c>
      <c r="B23" s="1" t="s">
        <v>27</v>
      </c>
      <c r="C23" s="1" t="s">
        <v>35</v>
      </c>
      <c r="D23" s="2" t="str">
        <f t="shared" si="0"/>
        <v>2.1.4|000062</v>
      </c>
      <c r="E23" s="2" t="e">
        <f>INDEX(Planilha2!$D:$D,MATCH(D23,Planilha2!$D:$D,0),1)</f>
        <v>#N/A</v>
      </c>
      <c r="F23">
        <v>2</v>
      </c>
      <c r="G23" t="str">
        <f t="shared" si="1"/>
        <v>INSERT INTO ctb_filial_centro_custo (CENTRO_CUSTO,COD_FILIAL,PORCENTAGEM) VALUES ('2.1.4', '000062',100)</v>
      </c>
    </row>
    <row r="24" spans="1:7" x14ac:dyDescent="0.25">
      <c r="A24" s="1" t="s">
        <v>42</v>
      </c>
      <c r="B24" s="1" t="s">
        <v>15</v>
      </c>
      <c r="C24" s="1" t="s">
        <v>43</v>
      </c>
      <c r="D24" s="2" t="str">
        <f t="shared" si="0"/>
        <v>3.1.5|000080</v>
      </c>
      <c r="E24" s="2" t="e">
        <f>INDEX(Planilha2!$D:$D,MATCH(D24,Planilha2!$D:$D,0),1)</f>
        <v>#N/A</v>
      </c>
      <c r="F24">
        <v>17076</v>
      </c>
      <c r="G24" t="str">
        <f t="shared" si="1"/>
        <v>INSERT INTO ctb_filial_centro_custo (CENTRO_CUSTO,COD_FILIAL,PORCENTAGEM) VALUES ('3.1.5', '000080',100)</v>
      </c>
    </row>
    <row r="25" spans="1:7" x14ac:dyDescent="0.25">
      <c r="A25" s="1" t="s">
        <v>30</v>
      </c>
      <c r="B25" s="1" t="s">
        <v>15</v>
      </c>
      <c r="C25" s="1" t="s">
        <v>44</v>
      </c>
      <c r="D25" s="2" t="str">
        <f t="shared" si="0"/>
        <v>3.1.5|000010</v>
      </c>
      <c r="E25" s="2" t="e">
        <f>INDEX(Planilha2!$D:$D,MATCH(D25,Planilha2!$D:$D,0),1)</f>
        <v>#N/A</v>
      </c>
      <c r="F25">
        <v>37101</v>
      </c>
      <c r="G25" t="str">
        <f t="shared" si="1"/>
        <v>INSERT INTO ctb_filial_centro_custo (CENTRO_CUSTO,COD_FILIAL,PORCENTAGEM) VALUES ('3.1.5', '000010',100)</v>
      </c>
    </row>
    <row r="26" spans="1:7" x14ac:dyDescent="0.25">
      <c r="A26" s="1" t="s">
        <v>45</v>
      </c>
      <c r="B26" s="1" t="s">
        <v>37</v>
      </c>
      <c r="C26" s="1" t="s">
        <v>46</v>
      </c>
      <c r="D26" s="2" t="str">
        <f t="shared" si="0"/>
        <v>003|000090</v>
      </c>
      <c r="E26" s="2" t="e">
        <f>INDEX(Planilha2!$D:$D,MATCH(D26,Planilha2!$D:$D,0),1)</f>
        <v>#N/A</v>
      </c>
      <c r="F26">
        <v>30</v>
      </c>
      <c r="G26" t="str">
        <f t="shared" si="1"/>
        <v>INSERT INTO ctb_filial_centro_custo (CENTRO_CUSTO,COD_FILIAL,PORCENTAGEM) VALUES ('003', '000090',100)</v>
      </c>
    </row>
    <row r="27" spans="1:7" x14ac:dyDescent="0.25">
      <c r="A27" s="1" t="s">
        <v>47</v>
      </c>
      <c r="B27" s="1" t="s">
        <v>15</v>
      </c>
      <c r="C27" s="1" t="s">
        <v>48</v>
      </c>
      <c r="D27" s="2" t="str">
        <f t="shared" si="0"/>
        <v>3.1.5|000056</v>
      </c>
      <c r="E27" s="2" t="e">
        <f>INDEX(Planilha2!$D:$D,MATCH(D27,Planilha2!$D:$D,0),1)</f>
        <v>#N/A</v>
      </c>
      <c r="F27">
        <v>22307</v>
      </c>
      <c r="G27" t="str">
        <f t="shared" si="1"/>
        <v>INSERT INTO ctb_filial_centro_custo (CENTRO_CUSTO,COD_FILIAL,PORCENTAGEM) VALUES ('3.1.5', '000056',100)</v>
      </c>
    </row>
    <row r="28" spans="1:7" x14ac:dyDescent="0.25">
      <c r="A28" s="1" t="s">
        <v>4</v>
      </c>
      <c r="B28" s="1" t="s">
        <v>27</v>
      </c>
      <c r="C28" s="1" t="s">
        <v>22</v>
      </c>
      <c r="D28" s="2" t="str">
        <f t="shared" si="0"/>
        <v>2.1.4|000092</v>
      </c>
      <c r="E28" s="2" t="e">
        <f>INDEX(Planilha2!$D:$D,MATCH(D28,Planilha2!$D:$D,0),1)</f>
        <v>#N/A</v>
      </c>
      <c r="F28">
        <v>20</v>
      </c>
      <c r="G28" t="str">
        <f t="shared" si="1"/>
        <v>INSERT INTO ctb_filial_centro_custo (CENTRO_CUSTO,COD_FILIAL,PORCENTAGEM) VALUES ('2.1.4', '000092',100)</v>
      </c>
    </row>
    <row r="29" spans="1:7" x14ac:dyDescent="0.25">
      <c r="A29" s="1" t="s">
        <v>39</v>
      </c>
      <c r="B29" s="1" t="s">
        <v>27</v>
      </c>
      <c r="C29" s="1" t="s">
        <v>6</v>
      </c>
      <c r="D29" s="2" t="str">
        <f t="shared" si="0"/>
        <v>2.1.4|000067</v>
      </c>
      <c r="E29" s="2" t="e">
        <f>INDEX(Planilha2!$D:$D,MATCH(D29,Planilha2!$D:$D,0),1)</f>
        <v>#N/A</v>
      </c>
      <c r="F29">
        <v>3</v>
      </c>
      <c r="G29" t="str">
        <f t="shared" si="1"/>
        <v>INSERT INTO ctb_filial_centro_custo (CENTRO_CUSTO,COD_FILIAL,PORCENTAGEM) VALUES ('2.1.4', '000067',100)</v>
      </c>
    </row>
    <row r="30" spans="1:7" x14ac:dyDescent="0.25">
      <c r="A30" s="1" t="s">
        <v>49</v>
      </c>
      <c r="B30" s="1" t="s">
        <v>15</v>
      </c>
      <c r="C30" s="1" t="s">
        <v>50</v>
      </c>
      <c r="D30" s="2" t="str">
        <f t="shared" si="0"/>
        <v>3.1.5|000046</v>
      </c>
      <c r="E30" s="2" t="e">
        <f>INDEX(Planilha2!$D:$D,MATCH(D30,Planilha2!$D:$D,0),1)</f>
        <v>#N/A</v>
      </c>
      <c r="F30">
        <v>20352</v>
      </c>
      <c r="G30" t="str">
        <f t="shared" si="1"/>
        <v>INSERT INTO ctb_filial_centro_custo (CENTRO_CUSTO,COD_FILIAL,PORCENTAGEM) VALUES ('3.1.5', '000046',100)</v>
      </c>
    </row>
    <row r="31" spans="1:7" x14ac:dyDescent="0.25">
      <c r="A31" s="1" t="s">
        <v>24</v>
      </c>
      <c r="B31" s="1" t="s">
        <v>15</v>
      </c>
      <c r="C31" s="1" t="s">
        <v>51</v>
      </c>
      <c r="D31" s="2" t="str">
        <f t="shared" si="0"/>
        <v>3.1.5|000036</v>
      </c>
      <c r="E31" s="2" t="e">
        <f>INDEX(Planilha2!$D:$D,MATCH(D31,Planilha2!$D:$D,0),1)</f>
        <v>#N/A</v>
      </c>
      <c r="F31">
        <v>21635</v>
      </c>
      <c r="G31" t="str">
        <f t="shared" si="1"/>
        <v>INSERT INTO ctb_filial_centro_custo (CENTRO_CUSTO,COD_FILIAL,PORCENTAGEM) VALUES ('3.1.5', '000036',100)</v>
      </c>
    </row>
    <row r="32" spans="1:7" x14ac:dyDescent="0.25">
      <c r="A32" s="1" t="s">
        <v>52</v>
      </c>
      <c r="B32" s="1" t="s">
        <v>15</v>
      </c>
      <c r="C32" s="1" t="s">
        <v>6</v>
      </c>
      <c r="D32" s="2" t="str">
        <f t="shared" si="0"/>
        <v>3.1.5|000067</v>
      </c>
      <c r="E32" s="2" t="e">
        <f>INDEX(Planilha2!$D:$D,MATCH(D32,Planilha2!$D:$D,0),1)</f>
        <v>#N/A</v>
      </c>
      <c r="F32">
        <v>12</v>
      </c>
      <c r="G32" t="str">
        <f t="shared" si="1"/>
        <v>INSERT INTO ctb_filial_centro_custo (CENTRO_CUSTO,COD_FILIAL,PORCENTAGEM) VALUES ('3.1.5', '000067',100)</v>
      </c>
    </row>
    <row r="33" spans="1:7" x14ac:dyDescent="0.25">
      <c r="A33" s="1" t="s">
        <v>53</v>
      </c>
      <c r="B33" s="1" t="s">
        <v>8</v>
      </c>
      <c r="C33" s="1" t="s">
        <v>54</v>
      </c>
      <c r="D33" s="2" t="str">
        <f t="shared" si="0"/>
        <v>003|000075</v>
      </c>
      <c r="E33" s="2" t="e">
        <f>INDEX(Planilha2!$D:$D,MATCH(D33,Planilha2!$D:$D,0),1)</f>
        <v>#N/A</v>
      </c>
      <c r="F33">
        <v>272</v>
      </c>
      <c r="G33" t="str">
        <f t="shared" si="1"/>
        <v>INSERT INTO ctb_filial_centro_custo (CENTRO_CUSTO,COD_FILIAL,PORCENTAGEM) VALUES ('003', '000075',100)</v>
      </c>
    </row>
    <row r="34" spans="1:7" x14ac:dyDescent="0.25">
      <c r="A34" s="1" t="s">
        <v>20</v>
      </c>
      <c r="B34" s="1" t="s">
        <v>55</v>
      </c>
      <c r="C34" s="1" t="s">
        <v>6</v>
      </c>
      <c r="D34" s="2" t="str">
        <f t="shared" si="0"/>
        <v>2.1.6|000067</v>
      </c>
      <c r="E34" s="2" t="e">
        <f>INDEX(Planilha2!$D:$D,MATCH(D34,Planilha2!$D:$D,0),1)</f>
        <v>#N/A</v>
      </c>
      <c r="F34">
        <v>27</v>
      </c>
      <c r="G34" t="str">
        <f t="shared" si="1"/>
        <v>INSERT INTO ctb_filial_centro_custo (CENTRO_CUSTO,COD_FILIAL,PORCENTAGEM) VALUES ('2.1.6', '000067',100)</v>
      </c>
    </row>
    <row r="35" spans="1:7" x14ac:dyDescent="0.25">
      <c r="A35" s="1" t="s">
        <v>56</v>
      </c>
      <c r="B35" s="1" t="s">
        <v>15</v>
      </c>
      <c r="C35" s="1" t="s">
        <v>57</v>
      </c>
      <c r="D35" s="2" t="str">
        <f t="shared" si="0"/>
        <v>3.1.5|000003</v>
      </c>
      <c r="E35" s="2" t="e">
        <f>INDEX(Planilha2!$D:$D,MATCH(D35,Planilha2!$D:$D,0),1)</f>
        <v>#N/A</v>
      </c>
      <c r="F35">
        <v>33034</v>
      </c>
      <c r="G35" t="str">
        <f t="shared" si="1"/>
        <v>INSERT INTO ctb_filial_centro_custo (CENTRO_CUSTO,COD_FILIAL,PORCENTAGEM) VALUES ('3.1.5', '000003',100)</v>
      </c>
    </row>
    <row r="36" spans="1:7" x14ac:dyDescent="0.25">
      <c r="A36" s="1" t="s">
        <v>25</v>
      </c>
      <c r="B36" s="1" t="s">
        <v>27</v>
      </c>
      <c r="C36" s="1" t="s">
        <v>58</v>
      </c>
      <c r="D36" s="2" t="str">
        <f t="shared" si="0"/>
        <v>2.1.4|000045</v>
      </c>
      <c r="E36" s="2" t="e">
        <f>INDEX(Planilha2!$D:$D,MATCH(D36,Planilha2!$D:$D,0),1)</f>
        <v>#N/A</v>
      </c>
      <c r="F36">
        <v>591</v>
      </c>
      <c r="G36" t="str">
        <f t="shared" si="1"/>
        <v>INSERT INTO ctb_filial_centro_custo (CENTRO_CUSTO,COD_FILIAL,PORCENTAGEM) VALUES ('2.1.4', '000045',100)</v>
      </c>
    </row>
    <row r="37" spans="1:7" x14ac:dyDescent="0.25">
      <c r="A37" s="1" t="s">
        <v>16</v>
      </c>
      <c r="B37" s="1" t="s">
        <v>8</v>
      </c>
      <c r="C37" s="1" t="s">
        <v>59</v>
      </c>
      <c r="D37" s="2" t="str">
        <f t="shared" si="0"/>
        <v>003|000019</v>
      </c>
      <c r="E37" s="2" t="e">
        <f>INDEX(Planilha2!$D:$D,MATCH(D37,Planilha2!$D:$D,0),1)</f>
        <v>#N/A</v>
      </c>
      <c r="F37">
        <v>249</v>
      </c>
      <c r="G37" t="str">
        <f t="shared" si="1"/>
        <v>INSERT INTO ctb_filial_centro_custo (CENTRO_CUSTO,COD_FILIAL,PORCENTAGEM) VALUES ('003', '000019',100)</v>
      </c>
    </row>
    <row r="38" spans="1:7" x14ac:dyDescent="0.25">
      <c r="A38" s="1" t="s">
        <v>60</v>
      </c>
      <c r="B38" s="1" t="s">
        <v>8</v>
      </c>
      <c r="C38" s="1" t="s">
        <v>61</v>
      </c>
      <c r="D38" s="2" t="str">
        <f t="shared" si="0"/>
        <v>003|000058</v>
      </c>
      <c r="E38" s="2" t="e">
        <f>INDEX(Planilha2!$D:$D,MATCH(D38,Planilha2!$D:$D,0),1)</f>
        <v>#N/A</v>
      </c>
      <c r="F38">
        <v>239</v>
      </c>
      <c r="G38" t="str">
        <f t="shared" si="1"/>
        <v>INSERT INTO ctb_filial_centro_custo (CENTRO_CUSTO,COD_FILIAL,PORCENTAGEM) VALUES ('003', '000058',100)</v>
      </c>
    </row>
    <row r="39" spans="1:7" x14ac:dyDescent="0.25">
      <c r="A39" s="1" t="s">
        <v>62</v>
      </c>
      <c r="B39" s="1" t="s">
        <v>15</v>
      </c>
      <c r="C39" s="1" t="s">
        <v>63</v>
      </c>
      <c r="D39" s="2" t="str">
        <f t="shared" si="0"/>
        <v>3.1.5|000029</v>
      </c>
      <c r="E39" s="2" t="e">
        <f>INDEX(Planilha2!$D:$D,MATCH(D39,Planilha2!$D:$D,0),1)</f>
        <v>#N/A</v>
      </c>
      <c r="F39">
        <v>16750</v>
      </c>
      <c r="G39" t="str">
        <f t="shared" si="1"/>
        <v>INSERT INTO ctb_filial_centro_custo (CENTRO_CUSTO,COD_FILIAL,PORCENTAGEM) VALUES ('3.1.5', '000029',100)</v>
      </c>
    </row>
    <row r="40" spans="1:7" x14ac:dyDescent="0.25">
      <c r="A40" s="1" t="s">
        <v>4</v>
      </c>
      <c r="B40" s="1" t="s">
        <v>64</v>
      </c>
      <c r="C40" s="1" t="s">
        <v>6</v>
      </c>
      <c r="D40" s="2" t="str">
        <f t="shared" si="0"/>
        <v>2.1.9|000067</v>
      </c>
      <c r="E40" s="2" t="e">
        <f>INDEX(Planilha2!$D:$D,MATCH(D40,Planilha2!$D:$D,0),1)</f>
        <v>#N/A</v>
      </c>
      <c r="F40">
        <v>66</v>
      </c>
      <c r="G40" t="str">
        <f t="shared" si="1"/>
        <v>INSERT INTO ctb_filial_centro_custo (CENTRO_CUSTO,COD_FILIAL,PORCENTAGEM) VALUES ('2.1.9', '000067',100)</v>
      </c>
    </row>
    <row r="41" spans="1:7" x14ac:dyDescent="0.25">
      <c r="A41" s="1" t="s">
        <v>65</v>
      </c>
      <c r="B41" s="1" t="s">
        <v>8</v>
      </c>
      <c r="C41" s="1" t="s">
        <v>66</v>
      </c>
      <c r="D41" s="2" t="str">
        <f t="shared" si="0"/>
        <v>003|000015</v>
      </c>
      <c r="E41" s="2" t="e">
        <f>INDEX(Planilha2!$D:$D,MATCH(D41,Planilha2!$D:$D,0),1)</f>
        <v>#N/A</v>
      </c>
      <c r="F41">
        <v>294</v>
      </c>
      <c r="G41" t="str">
        <f t="shared" si="1"/>
        <v>INSERT INTO ctb_filial_centro_custo (CENTRO_CUSTO,COD_FILIAL,PORCENTAGEM) VALUES ('003', '000015',100)</v>
      </c>
    </row>
    <row r="42" spans="1:7" x14ac:dyDescent="0.25">
      <c r="A42" s="1" t="s">
        <v>67</v>
      </c>
      <c r="B42" s="1" t="s">
        <v>68</v>
      </c>
      <c r="C42" s="1" t="s">
        <v>69</v>
      </c>
      <c r="D42" s="2" t="str">
        <f t="shared" si="0"/>
        <v>3.1.2|000079</v>
      </c>
      <c r="E42" s="2" t="e">
        <f>INDEX(Planilha2!$D:$D,MATCH(D42,Planilha2!$D:$D,0),1)</f>
        <v>#N/A</v>
      </c>
      <c r="F42">
        <v>1</v>
      </c>
      <c r="G42" t="str">
        <f t="shared" si="1"/>
        <v>INSERT INTO ctb_filial_centro_custo (CENTRO_CUSTO,COD_FILIAL,PORCENTAGEM) VALUES ('3.1.2', '000079',100)</v>
      </c>
    </row>
    <row r="43" spans="1:7" x14ac:dyDescent="0.25">
      <c r="A43" s="1" t="s">
        <v>70</v>
      </c>
      <c r="B43" s="1" t="s">
        <v>27</v>
      </c>
      <c r="C43" s="1" t="s">
        <v>71</v>
      </c>
      <c r="D43" s="2" t="str">
        <f t="shared" si="0"/>
        <v>2.1.4|000091</v>
      </c>
      <c r="E43" s="2" t="e">
        <f>INDEX(Planilha2!$D:$D,MATCH(D43,Planilha2!$D:$D,0),1)</f>
        <v>#N/A</v>
      </c>
      <c r="F43">
        <v>1</v>
      </c>
      <c r="G43" t="str">
        <f t="shared" si="1"/>
        <v>INSERT INTO ctb_filial_centro_custo (CENTRO_CUSTO,COD_FILIAL,PORCENTAGEM) VALUES ('2.1.4', '000091',100)</v>
      </c>
    </row>
    <row r="44" spans="1:7" x14ac:dyDescent="0.25">
      <c r="A44" s="1" t="s">
        <v>20</v>
      </c>
      <c r="B44" s="1" t="s">
        <v>26</v>
      </c>
      <c r="C44" s="1" t="s">
        <v>40</v>
      </c>
      <c r="D44" s="2" t="str">
        <f t="shared" si="0"/>
        <v>2.1.5|000040</v>
      </c>
      <c r="E44" s="2" t="e">
        <f>INDEX(Planilha2!$D:$D,MATCH(D44,Planilha2!$D:$D,0),1)</f>
        <v>#N/A</v>
      </c>
      <c r="F44">
        <v>20</v>
      </c>
      <c r="G44" t="str">
        <f t="shared" si="1"/>
        <v>INSERT INTO ctb_filial_centro_custo (CENTRO_CUSTO,COD_FILIAL,PORCENTAGEM) VALUES ('2.1.5', '000040',100)</v>
      </c>
    </row>
    <row r="45" spans="1:7" x14ac:dyDescent="0.25">
      <c r="A45" s="1" t="s">
        <v>65</v>
      </c>
      <c r="B45" s="1" t="s">
        <v>15</v>
      </c>
      <c r="C45" s="1" t="s">
        <v>72</v>
      </c>
      <c r="D45" s="2" t="str">
        <f t="shared" si="0"/>
        <v>3.1.5|000015</v>
      </c>
      <c r="E45" s="2" t="e">
        <f>INDEX(Planilha2!$D:$D,MATCH(D45,Planilha2!$D:$D,0),1)</f>
        <v>#N/A</v>
      </c>
      <c r="F45">
        <v>53113</v>
      </c>
      <c r="G45" t="str">
        <f t="shared" si="1"/>
        <v>INSERT INTO ctb_filial_centro_custo (CENTRO_CUSTO,COD_FILIAL,PORCENTAGEM) VALUES ('3.1.5', '000015',100)</v>
      </c>
    </row>
    <row r="46" spans="1:7" x14ac:dyDescent="0.25">
      <c r="A46" s="1" t="s">
        <v>4</v>
      </c>
      <c r="B46" s="1" t="s">
        <v>33</v>
      </c>
      <c r="C46" s="1" t="s">
        <v>22</v>
      </c>
      <c r="D46" s="2" t="str">
        <f t="shared" si="0"/>
        <v>2.1.3|000092</v>
      </c>
      <c r="E46" s="2" t="e">
        <f>INDEX(Planilha2!$D:$D,MATCH(D46,Planilha2!$D:$D,0),1)</f>
        <v>#N/A</v>
      </c>
      <c r="F46">
        <v>19</v>
      </c>
      <c r="G46" t="str">
        <f t="shared" si="1"/>
        <v>INSERT INTO ctb_filial_centro_custo (CENTRO_CUSTO,COD_FILIAL,PORCENTAGEM) VALUES ('2.1.3', '000092',100)</v>
      </c>
    </row>
    <row r="47" spans="1:7" x14ac:dyDescent="0.25">
      <c r="A47" s="1" t="s">
        <v>39</v>
      </c>
      <c r="B47" s="1" t="s">
        <v>27</v>
      </c>
      <c r="C47" s="1" t="s">
        <v>40</v>
      </c>
      <c r="D47" s="2" t="str">
        <f t="shared" si="0"/>
        <v>2.1.4|000040</v>
      </c>
      <c r="E47" s="2" t="e">
        <f>INDEX(Planilha2!$D:$D,MATCH(D47,Planilha2!$D:$D,0),1)</f>
        <v>#N/A</v>
      </c>
      <c r="F47">
        <v>7</v>
      </c>
      <c r="G47" t="str">
        <f t="shared" si="1"/>
        <v>INSERT INTO ctb_filial_centro_custo (CENTRO_CUSTO,COD_FILIAL,PORCENTAGEM) VALUES ('2.1.4', '000040',100)</v>
      </c>
    </row>
    <row r="48" spans="1:7" x14ac:dyDescent="0.25">
      <c r="A48" s="1" t="s">
        <v>25</v>
      </c>
      <c r="B48" s="1" t="s">
        <v>33</v>
      </c>
      <c r="C48" s="1" t="s">
        <v>6</v>
      </c>
      <c r="D48" s="2" t="str">
        <f t="shared" si="0"/>
        <v>2.1.3|000067</v>
      </c>
      <c r="E48" s="2" t="e">
        <f>INDEX(Planilha2!$D:$D,MATCH(D48,Planilha2!$D:$D,0),1)</f>
        <v>#N/A</v>
      </c>
      <c r="F48">
        <v>8</v>
      </c>
      <c r="G48" t="str">
        <f t="shared" si="1"/>
        <v>INSERT INTO ctb_filial_centro_custo (CENTRO_CUSTO,COD_FILIAL,PORCENTAGEM) VALUES ('2.1.3', '000067',100)</v>
      </c>
    </row>
    <row r="49" spans="1:7" x14ac:dyDescent="0.25">
      <c r="A49" s="1" t="s">
        <v>73</v>
      </c>
      <c r="B49" s="1" t="s">
        <v>15</v>
      </c>
      <c r="C49" s="1" t="s">
        <v>6</v>
      </c>
      <c r="D49" s="2" t="str">
        <f t="shared" si="0"/>
        <v>3.1.5|000067</v>
      </c>
      <c r="E49" s="2" t="e">
        <f>INDEX(Planilha2!$D:$D,MATCH(D49,Planilha2!$D:$D,0),1)</f>
        <v>#N/A</v>
      </c>
      <c r="F49">
        <v>1</v>
      </c>
      <c r="G49" t="str">
        <f t="shared" si="1"/>
        <v>INSERT INTO ctb_filial_centro_custo (CENTRO_CUSTO,COD_FILIAL,PORCENTAGEM) VALUES ('3.1.5', '000067',100)</v>
      </c>
    </row>
    <row r="50" spans="1:7" x14ac:dyDescent="0.25">
      <c r="A50" s="1" t="s">
        <v>74</v>
      </c>
      <c r="B50" s="1" t="s">
        <v>15</v>
      </c>
      <c r="C50" s="1" t="s">
        <v>6</v>
      </c>
      <c r="D50" s="2" t="str">
        <f t="shared" si="0"/>
        <v>3.1.5|000067</v>
      </c>
      <c r="E50" s="2" t="e">
        <f>INDEX(Planilha2!$D:$D,MATCH(D50,Planilha2!$D:$D,0),1)</f>
        <v>#N/A</v>
      </c>
      <c r="F50">
        <v>7</v>
      </c>
      <c r="G50" t="str">
        <f t="shared" si="1"/>
        <v>INSERT INTO ctb_filial_centro_custo (CENTRO_CUSTO,COD_FILIAL,PORCENTAGEM) VALUES ('3.1.5', '000067',100)</v>
      </c>
    </row>
    <row r="51" spans="1:7" x14ac:dyDescent="0.25">
      <c r="A51" s="1" t="s">
        <v>75</v>
      </c>
      <c r="B51" s="1" t="s">
        <v>37</v>
      </c>
      <c r="C51" s="1" t="s">
        <v>76</v>
      </c>
      <c r="D51" s="2" t="str">
        <f t="shared" si="0"/>
        <v>003|000093</v>
      </c>
      <c r="E51" s="2" t="e">
        <f>INDEX(Planilha2!$D:$D,MATCH(D51,Planilha2!$D:$D,0),1)</f>
        <v>#N/A</v>
      </c>
      <c r="F51">
        <v>62</v>
      </c>
      <c r="G51" t="str">
        <f t="shared" si="1"/>
        <v>INSERT INTO ctb_filial_centro_custo (CENTRO_CUSTO,COD_FILIAL,PORCENTAGEM) VALUES ('003', '000093',100)</v>
      </c>
    </row>
    <row r="52" spans="1:7" x14ac:dyDescent="0.25">
      <c r="A52" s="1" t="s">
        <v>77</v>
      </c>
      <c r="B52" s="1" t="s">
        <v>37</v>
      </c>
      <c r="C52" s="1" t="s">
        <v>78</v>
      </c>
      <c r="D52" s="2" t="str">
        <f t="shared" si="0"/>
        <v>003|000018</v>
      </c>
      <c r="E52" s="2" t="e">
        <f>INDEX(Planilha2!$D:$D,MATCH(D52,Planilha2!$D:$D,0),1)</f>
        <v>#N/A</v>
      </c>
      <c r="F52">
        <v>309</v>
      </c>
      <c r="G52" t="str">
        <f t="shared" si="1"/>
        <v>INSERT INTO ctb_filial_centro_custo (CENTRO_CUSTO,COD_FILIAL,PORCENTAGEM) VALUES ('003', '000018',100)</v>
      </c>
    </row>
    <row r="53" spans="1:7" x14ac:dyDescent="0.25">
      <c r="A53" s="1" t="s">
        <v>62</v>
      </c>
      <c r="B53" s="1" t="s">
        <v>8</v>
      </c>
      <c r="C53" s="1" t="s">
        <v>79</v>
      </c>
      <c r="D53" s="2" t="str">
        <f t="shared" si="0"/>
        <v>003|000029</v>
      </c>
      <c r="E53" s="2" t="e">
        <f>INDEX(Planilha2!$D:$D,MATCH(D53,Planilha2!$D:$D,0),1)</f>
        <v>#N/A</v>
      </c>
      <c r="F53">
        <v>238</v>
      </c>
      <c r="G53" t="str">
        <f t="shared" si="1"/>
        <v>INSERT INTO ctb_filial_centro_custo (CENTRO_CUSTO,COD_FILIAL,PORCENTAGEM) VALUES ('003', '000029',100)</v>
      </c>
    </row>
    <row r="54" spans="1:7" x14ac:dyDescent="0.25">
      <c r="A54" s="1" t="s">
        <v>53</v>
      </c>
      <c r="B54" s="1" t="s">
        <v>15</v>
      </c>
      <c r="C54" s="1" t="s">
        <v>80</v>
      </c>
      <c r="D54" s="2" t="str">
        <f t="shared" si="0"/>
        <v>3.1.5|000075</v>
      </c>
      <c r="E54" s="2" t="e">
        <f>INDEX(Planilha2!$D:$D,MATCH(D54,Planilha2!$D:$D,0),1)</f>
        <v>#N/A</v>
      </c>
      <c r="F54">
        <v>19243</v>
      </c>
      <c r="G54" t="str">
        <f t="shared" si="1"/>
        <v>INSERT INTO ctb_filial_centro_custo (CENTRO_CUSTO,COD_FILIAL,PORCENTAGEM) VALUES ('3.1.5', '000075',100)</v>
      </c>
    </row>
    <row r="55" spans="1:7" x14ac:dyDescent="0.25">
      <c r="A55" s="1" t="s">
        <v>81</v>
      </c>
      <c r="B55" s="1" t="s">
        <v>15</v>
      </c>
      <c r="C55" s="1" t="s">
        <v>82</v>
      </c>
      <c r="D55" s="2" t="str">
        <f t="shared" si="0"/>
        <v>3.1.5|000082</v>
      </c>
      <c r="E55" s="2" t="e">
        <f>INDEX(Planilha2!$D:$D,MATCH(D55,Planilha2!$D:$D,0),1)</f>
        <v>#N/A</v>
      </c>
      <c r="F55">
        <v>15285</v>
      </c>
      <c r="G55" t="str">
        <f t="shared" si="1"/>
        <v>INSERT INTO ctb_filial_centro_custo (CENTRO_CUSTO,COD_FILIAL,PORCENTAGEM) VALUES ('3.1.5', '000082',100)</v>
      </c>
    </row>
    <row r="56" spans="1:7" x14ac:dyDescent="0.25">
      <c r="A56" s="1" t="s">
        <v>83</v>
      </c>
      <c r="B56" s="1" t="s">
        <v>15</v>
      </c>
      <c r="C56" s="1" t="s">
        <v>6</v>
      </c>
      <c r="D56" s="2" t="str">
        <f t="shared" si="0"/>
        <v>3.1.5|000067</v>
      </c>
      <c r="E56" s="2" t="e">
        <f>INDEX(Planilha2!$D:$D,MATCH(D56,Planilha2!$D:$D,0),1)</f>
        <v>#N/A</v>
      </c>
      <c r="F56">
        <v>6</v>
      </c>
      <c r="G56" t="str">
        <f t="shared" si="1"/>
        <v>INSERT INTO ctb_filial_centro_custo (CENTRO_CUSTO,COD_FILIAL,PORCENTAGEM) VALUES ('3.1.5', '000067',100)</v>
      </c>
    </row>
    <row r="57" spans="1:7" x14ac:dyDescent="0.25">
      <c r="A57" s="1" t="s">
        <v>4</v>
      </c>
      <c r="B57" s="1" t="s">
        <v>84</v>
      </c>
      <c r="C57" s="1" t="s">
        <v>6</v>
      </c>
      <c r="D57" s="2" t="str">
        <f t="shared" si="0"/>
        <v>2.1.8|000067</v>
      </c>
      <c r="E57" s="2" t="e">
        <f>INDEX(Planilha2!$D:$D,MATCH(D57,Planilha2!$D:$D,0),1)</f>
        <v>#N/A</v>
      </c>
      <c r="F57">
        <v>1079</v>
      </c>
      <c r="G57" t="str">
        <f t="shared" si="1"/>
        <v>INSERT INTO ctb_filial_centro_custo (CENTRO_CUSTO,COD_FILIAL,PORCENTAGEM) VALUES ('2.1.8', '000067',100)</v>
      </c>
    </row>
    <row r="58" spans="1:7" x14ac:dyDescent="0.25">
      <c r="A58" s="1" t="s">
        <v>4</v>
      </c>
      <c r="B58" s="1" t="s">
        <v>21</v>
      </c>
      <c r="C58" s="1" t="s">
        <v>6</v>
      </c>
      <c r="D58" s="2" t="str">
        <f t="shared" si="0"/>
        <v>6.1.1|000067</v>
      </c>
      <c r="E58" s="2" t="e">
        <f>INDEX(Planilha2!$D:$D,MATCH(D58,Planilha2!$D:$D,0),1)</f>
        <v>#N/A</v>
      </c>
      <c r="F58">
        <v>1</v>
      </c>
      <c r="G58" t="str">
        <f t="shared" si="1"/>
        <v>INSERT INTO ctb_filial_centro_custo (CENTRO_CUSTO,COD_FILIAL,PORCENTAGEM) VALUES ('6.1.1', '000067',100)</v>
      </c>
    </row>
    <row r="59" spans="1:7" x14ac:dyDescent="0.25">
      <c r="A59" s="1" t="s">
        <v>67</v>
      </c>
      <c r="B59" s="1" t="s">
        <v>15</v>
      </c>
      <c r="C59" s="1" t="s">
        <v>85</v>
      </c>
      <c r="D59" s="2" t="str">
        <f t="shared" si="0"/>
        <v>3.1.5|000079</v>
      </c>
      <c r="E59" s="2" t="e">
        <f>INDEX(Planilha2!$D:$D,MATCH(D59,Planilha2!$D:$D,0),1)</f>
        <v>#N/A</v>
      </c>
      <c r="F59">
        <v>15433</v>
      </c>
      <c r="G59" t="str">
        <f t="shared" si="1"/>
        <v>INSERT INTO ctb_filial_centro_custo (CENTRO_CUSTO,COD_FILIAL,PORCENTAGEM) VALUES ('3.1.5', '000079',100)</v>
      </c>
    </row>
    <row r="60" spans="1:7" x14ac:dyDescent="0.25">
      <c r="A60" s="1" t="s">
        <v>36</v>
      </c>
      <c r="B60" s="1" t="s">
        <v>55</v>
      </c>
      <c r="C60" s="1" t="s">
        <v>6</v>
      </c>
      <c r="D60" s="2" t="str">
        <f t="shared" si="0"/>
        <v>2.1.6|000067</v>
      </c>
      <c r="E60" s="2" t="e">
        <f>INDEX(Planilha2!$D:$D,MATCH(D60,Planilha2!$D:$D,0),1)</f>
        <v>#N/A</v>
      </c>
      <c r="F60">
        <v>62</v>
      </c>
      <c r="G60" t="str">
        <f t="shared" si="1"/>
        <v>INSERT INTO ctb_filial_centro_custo (CENTRO_CUSTO,COD_FILIAL,PORCENTAGEM) VALUES ('2.1.6', '000067',100)</v>
      </c>
    </row>
    <row r="61" spans="1:7" x14ac:dyDescent="0.25">
      <c r="A61" s="1" t="s">
        <v>25</v>
      </c>
      <c r="B61" s="1" t="s">
        <v>26</v>
      </c>
      <c r="C61" s="1" t="s">
        <v>58</v>
      </c>
      <c r="D61" s="2" t="str">
        <f t="shared" si="0"/>
        <v>2.1.5|000045</v>
      </c>
      <c r="E61" s="2" t="e">
        <f>INDEX(Planilha2!$D:$D,MATCH(D61,Planilha2!$D:$D,0),1)</f>
        <v>#N/A</v>
      </c>
      <c r="F61">
        <v>1171</v>
      </c>
      <c r="G61" t="str">
        <f t="shared" si="1"/>
        <v>INSERT INTO ctb_filial_centro_custo (CENTRO_CUSTO,COD_FILIAL,PORCENTAGEM) VALUES ('2.1.5', '000045',100)</v>
      </c>
    </row>
    <row r="62" spans="1:7" x14ac:dyDescent="0.25">
      <c r="A62" s="1" t="s">
        <v>86</v>
      </c>
      <c r="B62" s="1" t="s">
        <v>33</v>
      </c>
      <c r="C62" s="1" t="s">
        <v>6</v>
      </c>
      <c r="D62" s="2" t="str">
        <f t="shared" si="0"/>
        <v>2.1.3|000067</v>
      </c>
      <c r="E62" s="2" t="e">
        <f>INDEX(Planilha2!$D:$D,MATCH(D62,Planilha2!$D:$D,0),1)</f>
        <v>#N/A</v>
      </c>
      <c r="F62">
        <v>3</v>
      </c>
      <c r="G62" t="str">
        <f t="shared" si="1"/>
        <v>INSERT INTO ctb_filial_centro_custo (CENTRO_CUSTO,COD_FILIAL,PORCENTAGEM) VALUES ('2.1.3', '000067',100)</v>
      </c>
    </row>
    <row r="63" spans="1:7" x14ac:dyDescent="0.25">
      <c r="A63" s="1" t="s">
        <v>4</v>
      </c>
      <c r="B63" s="1" t="s">
        <v>87</v>
      </c>
      <c r="C63" s="1" t="s">
        <v>6</v>
      </c>
      <c r="D63" s="2" t="str">
        <f t="shared" si="0"/>
        <v>5.5.3|000067</v>
      </c>
      <c r="E63" s="2" t="e">
        <f>INDEX(Planilha2!$D:$D,MATCH(D63,Planilha2!$D:$D,0),1)</f>
        <v>#N/A</v>
      </c>
      <c r="F63">
        <v>40</v>
      </c>
      <c r="G63" t="str">
        <f t="shared" si="1"/>
        <v>INSERT INTO ctb_filial_centro_custo (CENTRO_CUSTO,COD_FILIAL,PORCENTAGEM) VALUES ('5.5.3', '000067',100)</v>
      </c>
    </row>
    <row r="64" spans="1:7" x14ac:dyDescent="0.25">
      <c r="A64" s="1" t="s">
        <v>81</v>
      </c>
      <c r="B64" s="1" t="s">
        <v>8</v>
      </c>
      <c r="C64" s="1" t="s">
        <v>88</v>
      </c>
      <c r="D64" s="2" t="str">
        <f t="shared" si="0"/>
        <v>003|000082</v>
      </c>
      <c r="E64" s="2" t="e">
        <f>INDEX(Planilha2!$D:$D,MATCH(D64,Planilha2!$D:$D,0),1)</f>
        <v>#N/A</v>
      </c>
      <c r="F64">
        <v>248</v>
      </c>
      <c r="G64" t="str">
        <f t="shared" si="1"/>
        <v>INSERT INTO ctb_filial_centro_custo (CENTRO_CUSTO,COD_FILIAL,PORCENTAGEM) VALUES ('003', '000082',100)</v>
      </c>
    </row>
    <row r="65" spans="1:7" x14ac:dyDescent="0.25">
      <c r="A65" s="1" t="s">
        <v>4</v>
      </c>
      <c r="B65" s="1" t="s">
        <v>55</v>
      </c>
      <c r="C65" s="1" t="s">
        <v>22</v>
      </c>
      <c r="D65" s="2" t="str">
        <f t="shared" si="0"/>
        <v>2.1.6|000092</v>
      </c>
      <c r="E65" s="2" t="e">
        <f>INDEX(Planilha2!$D:$D,MATCH(D65,Planilha2!$D:$D,0),1)</f>
        <v>#N/A</v>
      </c>
      <c r="F65">
        <v>15</v>
      </c>
      <c r="G65" t="str">
        <f t="shared" si="1"/>
        <v>INSERT INTO ctb_filial_centro_custo (CENTRO_CUSTO,COD_FILIAL,PORCENTAGEM) VALUES ('2.1.6', '000092',100)</v>
      </c>
    </row>
    <row r="66" spans="1:7" x14ac:dyDescent="0.25">
      <c r="A66" s="1" t="s">
        <v>89</v>
      </c>
      <c r="B66" s="1" t="s">
        <v>15</v>
      </c>
      <c r="C66" s="1" t="s">
        <v>90</v>
      </c>
      <c r="D66" s="2" t="str">
        <f t="shared" si="0"/>
        <v>3.1.5|000060</v>
      </c>
      <c r="E66" s="2" t="e">
        <f>INDEX(Planilha2!$D:$D,MATCH(D66,Planilha2!$D:$D,0),1)</f>
        <v>#N/A</v>
      </c>
      <c r="F66">
        <v>16726</v>
      </c>
      <c r="G66" t="str">
        <f t="shared" si="1"/>
        <v>INSERT INTO ctb_filial_centro_custo (CENTRO_CUSTO,COD_FILIAL,PORCENTAGEM) VALUES ('3.1.5', '000060',100)</v>
      </c>
    </row>
    <row r="67" spans="1:7" x14ac:dyDescent="0.25">
      <c r="A67" s="1" t="s">
        <v>25</v>
      </c>
      <c r="B67" s="1" t="s">
        <v>55</v>
      </c>
      <c r="C67" s="1" t="s">
        <v>6</v>
      </c>
      <c r="D67" s="2" t="str">
        <f t="shared" ref="D67:D130" si="2">CONCATENATE(TRIM(B67),"|",TRIM(C67))</f>
        <v>2.1.6|000067</v>
      </c>
      <c r="E67" s="2" t="e">
        <f>INDEX(Planilha2!$D:$D,MATCH(D67,Planilha2!$D:$D,0),1)</f>
        <v>#N/A</v>
      </c>
      <c r="F67">
        <v>3</v>
      </c>
      <c r="G67" t="str">
        <f t="shared" ref="G67:G130" si="3">"INSERT INTO ctb_filial_centro_custo (CENTRO_CUSTO,COD_FILIAL,PORCENTAGEM) VALUES ('"&amp;TRIM(B67)&amp;"', '"&amp;TRIM(C67)&amp;"',100)"</f>
        <v>INSERT INTO ctb_filial_centro_custo (CENTRO_CUSTO,COD_FILIAL,PORCENTAGEM) VALUES ('2.1.6', '000067',100)</v>
      </c>
    </row>
    <row r="68" spans="1:7" x14ac:dyDescent="0.25">
      <c r="A68" s="1" t="s">
        <v>52</v>
      </c>
      <c r="B68" s="1" t="s">
        <v>15</v>
      </c>
      <c r="C68" s="1" t="s">
        <v>91</v>
      </c>
      <c r="D68" s="2" t="str">
        <f t="shared" si="2"/>
        <v>3.1.5|000025</v>
      </c>
      <c r="E68" s="2" t="e">
        <f>INDEX(Planilha2!$D:$D,MATCH(D68,Planilha2!$D:$D,0),1)</f>
        <v>#N/A</v>
      </c>
      <c r="F68">
        <v>17875</v>
      </c>
      <c r="G68" t="str">
        <f t="shared" si="3"/>
        <v>INSERT INTO ctb_filial_centro_custo (CENTRO_CUSTO,COD_FILIAL,PORCENTAGEM) VALUES ('3.1.5', '000025',100)</v>
      </c>
    </row>
    <row r="69" spans="1:7" x14ac:dyDescent="0.25">
      <c r="A69" s="1" t="s">
        <v>86</v>
      </c>
      <c r="B69" s="1" t="s">
        <v>37</v>
      </c>
      <c r="C69" s="1" t="s">
        <v>92</v>
      </c>
      <c r="D69" s="2" t="str">
        <f t="shared" si="2"/>
        <v>003|000095</v>
      </c>
      <c r="E69" s="2" t="e">
        <f>INDEX(Planilha2!$D:$D,MATCH(D69,Planilha2!$D:$D,0),1)</f>
        <v>#N/A</v>
      </c>
      <c r="F69">
        <v>23</v>
      </c>
      <c r="G69" t="str">
        <f t="shared" si="3"/>
        <v>INSERT INTO ctb_filial_centro_custo (CENTRO_CUSTO,COD_FILIAL,PORCENTAGEM) VALUES ('003', '000095',100)</v>
      </c>
    </row>
    <row r="70" spans="1:7" x14ac:dyDescent="0.25">
      <c r="A70" s="1" t="s">
        <v>20</v>
      </c>
      <c r="B70" s="1" t="s">
        <v>55</v>
      </c>
      <c r="C70" s="1" t="s">
        <v>93</v>
      </c>
      <c r="D70" s="2" t="str">
        <f t="shared" si="2"/>
        <v>2.1.6|000093</v>
      </c>
      <c r="E70" s="2" t="e">
        <f>INDEX(Planilha2!$D:$D,MATCH(D70,Planilha2!$D:$D,0),1)</f>
        <v>#N/A</v>
      </c>
      <c r="F70">
        <v>1</v>
      </c>
      <c r="G70" t="str">
        <f t="shared" si="3"/>
        <v>INSERT INTO ctb_filial_centro_custo (CENTRO_CUSTO,COD_FILIAL,PORCENTAGEM) VALUES ('2.1.6', '000093',100)</v>
      </c>
    </row>
    <row r="71" spans="1:7" x14ac:dyDescent="0.25">
      <c r="A71" s="1" t="s">
        <v>94</v>
      </c>
      <c r="B71" s="1" t="s">
        <v>8</v>
      </c>
      <c r="C71" s="1" t="s">
        <v>95</v>
      </c>
      <c r="D71" s="2" t="str">
        <f t="shared" si="2"/>
        <v>003|000006</v>
      </c>
      <c r="E71" s="2" t="e">
        <f>INDEX(Planilha2!$D:$D,MATCH(D71,Planilha2!$D:$D,0),1)</f>
        <v>#N/A</v>
      </c>
      <c r="F71">
        <v>234</v>
      </c>
      <c r="G71" t="str">
        <f t="shared" si="3"/>
        <v>INSERT INTO ctb_filial_centro_custo (CENTRO_CUSTO,COD_FILIAL,PORCENTAGEM) VALUES ('003', '000006',100)</v>
      </c>
    </row>
    <row r="72" spans="1:7" x14ac:dyDescent="0.25">
      <c r="A72" s="1" t="s">
        <v>96</v>
      </c>
      <c r="B72" s="1" t="s">
        <v>15</v>
      </c>
      <c r="C72" s="1" t="s">
        <v>97</v>
      </c>
      <c r="D72" s="2" t="str">
        <f t="shared" si="2"/>
        <v>3.1.5|000076</v>
      </c>
      <c r="E72" s="2" t="e">
        <f>INDEX(Planilha2!$D:$D,MATCH(D72,Planilha2!$D:$D,0),1)</f>
        <v>#N/A</v>
      </c>
      <c r="F72">
        <v>21820</v>
      </c>
      <c r="G72" t="str">
        <f t="shared" si="3"/>
        <v>INSERT INTO ctb_filial_centro_custo (CENTRO_CUSTO,COD_FILIAL,PORCENTAGEM) VALUES ('3.1.5', '000076',100)</v>
      </c>
    </row>
    <row r="73" spans="1:7" x14ac:dyDescent="0.25">
      <c r="A73" s="1" t="s">
        <v>20</v>
      </c>
      <c r="B73" s="1" t="s">
        <v>26</v>
      </c>
      <c r="C73" s="1" t="s">
        <v>6</v>
      </c>
      <c r="D73" s="2" t="str">
        <f t="shared" si="2"/>
        <v>2.1.5|000067</v>
      </c>
      <c r="E73" s="2" t="e">
        <f>INDEX(Planilha2!$D:$D,MATCH(D73,Planilha2!$D:$D,0),1)</f>
        <v>#N/A</v>
      </c>
      <c r="F73">
        <v>34</v>
      </c>
      <c r="G73" t="str">
        <f t="shared" si="3"/>
        <v>INSERT INTO ctb_filial_centro_custo (CENTRO_CUSTO,COD_FILIAL,PORCENTAGEM) VALUES ('2.1.5', '000067',100)</v>
      </c>
    </row>
    <row r="74" spans="1:7" x14ac:dyDescent="0.25">
      <c r="A74" s="1" t="s">
        <v>98</v>
      </c>
      <c r="B74" s="1" t="s">
        <v>15</v>
      </c>
      <c r="C74" s="1" t="s">
        <v>99</v>
      </c>
      <c r="D74" s="2" t="str">
        <f t="shared" si="2"/>
        <v>3.1.5|000009</v>
      </c>
      <c r="E74" s="2" t="e">
        <f>INDEX(Planilha2!$D:$D,MATCH(D74,Planilha2!$D:$D,0),1)</f>
        <v>#N/A</v>
      </c>
      <c r="F74">
        <v>24678</v>
      </c>
      <c r="G74" t="str">
        <f t="shared" si="3"/>
        <v>INSERT INTO ctb_filial_centro_custo (CENTRO_CUSTO,COD_FILIAL,PORCENTAGEM) VALUES ('3.1.5', '000009',100)</v>
      </c>
    </row>
    <row r="75" spans="1:7" x14ac:dyDescent="0.25">
      <c r="A75" s="1" t="s">
        <v>53</v>
      </c>
      <c r="B75" s="1" t="s">
        <v>15</v>
      </c>
      <c r="C75" s="1" t="s">
        <v>6</v>
      </c>
      <c r="D75" s="2" t="str">
        <f t="shared" si="2"/>
        <v>3.1.5|000067</v>
      </c>
      <c r="E75" s="2" t="e">
        <f>INDEX(Planilha2!$D:$D,MATCH(D75,Planilha2!$D:$D,0),1)</f>
        <v>#N/A</v>
      </c>
      <c r="F75">
        <v>14</v>
      </c>
      <c r="G75" t="str">
        <f t="shared" si="3"/>
        <v>INSERT INTO ctb_filial_centro_custo (CENTRO_CUSTO,COD_FILIAL,PORCENTAGEM) VALUES ('3.1.5', '000067',100)</v>
      </c>
    </row>
    <row r="76" spans="1:7" x14ac:dyDescent="0.25">
      <c r="A76" s="1" t="s">
        <v>100</v>
      </c>
      <c r="B76" s="1" t="s">
        <v>8</v>
      </c>
      <c r="C76" s="1" t="s">
        <v>101</v>
      </c>
      <c r="D76" s="2" t="str">
        <f t="shared" si="2"/>
        <v>003|000035</v>
      </c>
      <c r="E76" s="2" t="e">
        <f>INDEX(Planilha2!$D:$D,MATCH(D76,Planilha2!$D:$D,0),1)</f>
        <v>#N/A</v>
      </c>
      <c r="F76">
        <v>252</v>
      </c>
      <c r="G76" t="str">
        <f t="shared" si="3"/>
        <v>INSERT INTO ctb_filial_centro_custo (CENTRO_CUSTO,COD_FILIAL,PORCENTAGEM) VALUES ('003', '000035',100)</v>
      </c>
    </row>
    <row r="77" spans="1:7" x14ac:dyDescent="0.25">
      <c r="A77" s="1" t="s">
        <v>100</v>
      </c>
      <c r="B77" s="1" t="s">
        <v>15</v>
      </c>
      <c r="C77" s="1" t="s">
        <v>6</v>
      </c>
      <c r="D77" s="2" t="str">
        <f t="shared" si="2"/>
        <v>3.1.5|000067</v>
      </c>
      <c r="E77" s="2" t="e">
        <f>INDEX(Planilha2!$D:$D,MATCH(D77,Planilha2!$D:$D,0),1)</f>
        <v>#N/A</v>
      </c>
      <c r="F77">
        <v>14</v>
      </c>
      <c r="G77" t="str">
        <f t="shared" si="3"/>
        <v>INSERT INTO ctb_filial_centro_custo (CENTRO_CUSTO,COD_FILIAL,PORCENTAGEM) VALUES ('3.1.5', '000067',100)</v>
      </c>
    </row>
    <row r="78" spans="1:7" x14ac:dyDescent="0.25">
      <c r="A78" s="1" t="s">
        <v>102</v>
      </c>
      <c r="B78" s="1" t="s">
        <v>103</v>
      </c>
      <c r="C78" s="1" t="s">
        <v>6</v>
      </c>
      <c r="D78" s="2" t="str">
        <f t="shared" si="2"/>
        <v>3.1.4|000067</v>
      </c>
      <c r="E78" s="2" t="e">
        <f>INDEX(Planilha2!$D:$D,MATCH(D78,Planilha2!$D:$D,0),1)</f>
        <v>#N/A</v>
      </c>
      <c r="F78">
        <v>1</v>
      </c>
      <c r="G78" t="str">
        <f t="shared" si="3"/>
        <v>INSERT INTO ctb_filial_centro_custo (CENTRO_CUSTO,COD_FILIAL,PORCENTAGEM) VALUES ('3.1.4', '000067',100)</v>
      </c>
    </row>
    <row r="79" spans="1:7" x14ac:dyDescent="0.25">
      <c r="A79" s="1" t="s">
        <v>94</v>
      </c>
      <c r="B79" s="1" t="s">
        <v>15</v>
      </c>
      <c r="C79" s="1" t="s">
        <v>104</v>
      </c>
      <c r="D79" s="2" t="str">
        <f t="shared" si="2"/>
        <v>3.1.5|000006</v>
      </c>
      <c r="E79" s="2" t="e">
        <f>INDEX(Planilha2!$D:$D,MATCH(D79,Planilha2!$D:$D,0),1)</f>
        <v>#N/A</v>
      </c>
      <c r="F79">
        <v>29065</v>
      </c>
      <c r="G79" t="str">
        <f t="shared" si="3"/>
        <v>INSERT INTO ctb_filial_centro_custo (CENTRO_CUSTO,COD_FILIAL,PORCENTAGEM) VALUES ('3.1.5', '000006',100)</v>
      </c>
    </row>
    <row r="80" spans="1:7" x14ac:dyDescent="0.25">
      <c r="A80" s="1" t="s">
        <v>89</v>
      </c>
      <c r="B80" s="1" t="s">
        <v>15</v>
      </c>
      <c r="C80" s="1" t="s">
        <v>6</v>
      </c>
      <c r="D80" s="2" t="str">
        <f t="shared" si="2"/>
        <v>3.1.5|000067</v>
      </c>
      <c r="E80" s="2" t="e">
        <f>INDEX(Planilha2!$D:$D,MATCH(D80,Planilha2!$D:$D,0),1)</f>
        <v>#N/A</v>
      </c>
      <c r="F80">
        <v>1</v>
      </c>
      <c r="G80" t="str">
        <f t="shared" si="3"/>
        <v>INSERT INTO ctb_filial_centro_custo (CENTRO_CUSTO,COD_FILIAL,PORCENTAGEM) VALUES ('3.1.5', '000067',100)</v>
      </c>
    </row>
    <row r="81" spans="1:7" x14ac:dyDescent="0.25">
      <c r="A81" s="1" t="s">
        <v>100</v>
      </c>
      <c r="B81" s="1" t="s">
        <v>15</v>
      </c>
      <c r="C81" s="1" t="s">
        <v>105</v>
      </c>
      <c r="D81" s="2" t="str">
        <f t="shared" si="2"/>
        <v>3.1.5|000035</v>
      </c>
      <c r="E81" s="2" t="e">
        <f>INDEX(Planilha2!$D:$D,MATCH(D81,Planilha2!$D:$D,0),1)</f>
        <v>#N/A</v>
      </c>
      <c r="F81">
        <v>23880</v>
      </c>
      <c r="G81" t="str">
        <f t="shared" si="3"/>
        <v>INSERT INTO ctb_filial_centro_custo (CENTRO_CUSTO,COD_FILIAL,PORCENTAGEM) VALUES ('3.1.5', '000035',100)</v>
      </c>
    </row>
    <row r="82" spans="1:7" x14ac:dyDescent="0.25">
      <c r="A82" s="1" t="s">
        <v>106</v>
      </c>
      <c r="B82" s="1" t="s">
        <v>15</v>
      </c>
      <c r="C82" s="1" t="s">
        <v>6</v>
      </c>
      <c r="D82" s="2" t="str">
        <f t="shared" si="2"/>
        <v>3.1.5|000067</v>
      </c>
      <c r="E82" s="2" t="e">
        <f>INDEX(Planilha2!$D:$D,MATCH(D82,Planilha2!$D:$D,0),1)</f>
        <v>#N/A</v>
      </c>
      <c r="F82">
        <v>3</v>
      </c>
      <c r="G82" t="str">
        <f t="shared" si="3"/>
        <v>INSERT INTO ctb_filial_centro_custo (CENTRO_CUSTO,COD_FILIAL,PORCENTAGEM) VALUES ('3.1.5', '000067',100)</v>
      </c>
    </row>
    <row r="83" spans="1:7" x14ac:dyDescent="0.25">
      <c r="A83" s="1" t="s">
        <v>74</v>
      </c>
      <c r="B83" s="1" t="s">
        <v>8</v>
      </c>
      <c r="C83" s="1" t="s">
        <v>107</v>
      </c>
      <c r="D83" s="2" t="str">
        <f t="shared" si="2"/>
        <v>003|000068</v>
      </c>
      <c r="E83" s="2" t="e">
        <f>INDEX(Planilha2!$D:$D,MATCH(D83,Planilha2!$D:$D,0),1)</f>
        <v>#N/A</v>
      </c>
      <c r="F83">
        <v>223</v>
      </c>
      <c r="G83" t="str">
        <f t="shared" si="3"/>
        <v>INSERT INTO ctb_filial_centro_custo (CENTRO_CUSTO,COD_FILIAL,PORCENTAGEM) VALUES ('003', '000068',100)</v>
      </c>
    </row>
    <row r="84" spans="1:7" x14ac:dyDescent="0.25">
      <c r="A84" s="1" t="s">
        <v>20</v>
      </c>
      <c r="B84" s="1" t="s">
        <v>108</v>
      </c>
      <c r="C84" s="1" t="s">
        <v>22</v>
      </c>
      <c r="D84" s="2" t="str">
        <f t="shared" si="2"/>
        <v>2.1.7|000092</v>
      </c>
      <c r="E84" s="2" t="e">
        <f>INDEX(Planilha2!$D:$D,MATCH(D84,Planilha2!$D:$D,0),1)</f>
        <v>#N/A</v>
      </c>
      <c r="F84">
        <v>28</v>
      </c>
      <c r="G84" t="str">
        <f t="shared" si="3"/>
        <v>INSERT INTO ctb_filial_centro_custo (CENTRO_CUSTO,COD_FILIAL,PORCENTAGEM) VALUES ('2.1.7', '000092',100)</v>
      </c>
    </row>
    <row r="85" spans="1:7" x14ac:dyDescent="0.25">
      <c r="A85" s="1" t="s">
        <v>73</v>
      </c>
      <c r="B85" s="1" t="s">
        <v>8</v>
      </c>
      <c r="C85" s="1" t="s">
        <v>109</v>
      </c>
      <c r="D85" s="2" t="str">
        <f t="shared" si="2"/>
        <v>003|000005</v>
      </c>
      <c r="E85" s="2" t="e">
        <f>INDEX(Planilha2!$D:$D,MATCH(D85,Planilha2!$D:$D,0),1)</f>
        <v>#N/A</v>
      </c>
      <c r="F85">
        <v>241</v>
      </c>
      <c r="G85" t="str">
        <f t="shared" si="3"/>
        <v>INSERT INTO ctb_filial_centro_custo (CENTRO_CUSTO,COD_FILIAL,PORCENTAGEM) VALUES ('003', '000005',100)</v>
      </c>
    </row>
    <row r="86" spans="1:7" x14ac:dyDescent="0.25">
      <c r="A86" s="1" t="s">
        <v>4</v>
      </c>
      <c r="B86" s="1" t="s">
        <v>26</v>
      </c>
      <c r="C86" s="1" t="s">
        <v>6</v>
      </c>
      <c r="D86" s="2" t="str">
        <f t="shared" si="2"/>
        <v>2.1.5|000067</v>
      </c>
      <c r="E86" s="2" t="e">
        <f>INDEX(Planilha2!$D:$D,MATCH(D86,Planilha2!$D:$D,0),1)</f>
        <v>#N/A</v>
      </c>
      <c r="F86">
        <v>1218</v>
      </c>
      <c r="G86" t="str">
        <f t="shared" si="3"/>
        <v>INSERT INTO ctb_filial_centro_custo (CENTRO_CUSTO,COD_FILIAL,PORCENTAGEM) VALUES ('2.1.5', '000067',100)</v>
      </c>
    </row>
    <row r="87" spans="1:7" x14ac:dyDescent="0.25">
      <c r="A87" s="1" t="s">
        <v>110</v>
      </c>
      <c r="B87" s="1" t="s">
        <v>15</v>
      </c>
      <c r="C87" s="1" t="s">
        <v>111</v>
      </c>
      <c r="D87" s="2" t="str">
        <f t="shared" si="2"/>
        <v>3.1.5|000071</v>
      </c>
      <c r="E87" s="2" t="e">
        <f>INDEX(Planilha2!$D:$D,MATCH(D87,Planilha2!$D:$D,0),1)</f>
        <v>#N/A</v>
      </c>
      <c r="F87">
        <v>12739</v>
      </c>
      <c r="G87" t="str">
        <f t="shared" si="3"/>
        <v>INSERT INTO ctb_filial_centro_custo (CENTRO_CUSTO,COD_FILIAL,PORCENTAGEM) VALUES ('3.1.5', '000071',100)</v>
      </c>
    </row>
    <row r="88" spans="1:7" x14ac:dyDescent="0.25">
      <c r="A88" s="1" t="s">
        <v>12</v>
      </c>
      <c r="B88" s="1" t="s">
        <v>15</v>
      </c>
      <c r="C88" s="1" t="s">
        <v>112</v>
      </c>
      <c r="D88" s="2" t="str">
        <f t="shared" si="2"/>
        <v>3.1.5|000063</v>
      </c>
      <c r="E88" s="2" t="e">
        <f>INDEX(Planilha2!$D:$D,MATCH(D88,Planilha2!$D:$D,0),1)</f>
        <v>#N/A</v>
      </c>
      <c r="F88">
        <v>12308</v>
      </c>
      <c r="G88" t="str">
        <f t="shared" si="3"/>
        <v>INSERT INTO ctb_filial_centro_custo (CENTRO_CUSTO,COD_FILIAL,PORCENTAGEM) VALUES ('3.1.5', '000063',100)</v>
      </c>
    </row>
    <row r="89" spans="1:7" x14ac:dyDescent="0.25">
      <c r="A89" s="1" t="s">
        <v>98</v>
      </c>
      <c r="B89" s="1" t="s">
        <v>8</v>
      </c>
      <c r="C89" s="1" t="s">
        <v>113</v>
      </c>
      <c r="D89" s="2" t="str">
        <f t="shared" si="2"/>
        <v>003|000009</v>
      </c>
      <c r="E89" s="2" t="e">
        <f>INDEX(Planilha2!$D:$D,MATCH(D89,Planilha2!$D:$D,0),1)</f>
        <v>#N/A</v>
      </c>
      <c r="F89">
        <v>234</v>
      </c>
      <c r="G89" t="str">
        <f t="shared" si="3"/>
        <v>INSERT INTO ctb_filial_centro_custo (CENTRO_CUSTO,COD_FILIAL,PORCENTAGEM) VALUES ('003', '000009',100)</v>
      </c>
    </row>
    <row r="90" spans="1:7" x14ac:dyDescent="0.25">
      <c r="A90" s="1" t="s">
        <v>14</v>
      </c>
      <c r="B90" s="1" t="s">
        <v>8</v>
      </c>
      <c r="C90" s="1" t="s">
        <v>114</v>
      </c>
      <c r="D90" s="2" t="str">
        <f t="shared" si="2"/>
        <v>003|000012</v>
      </c>
      <c r="E90" s="2" t="e">
        <f>INDEX(Planilha2!$D:$D,MATCH(D90,Planilha2!$D:$D,0),1)</f>
        <v>#N/A</v>
      </c>
      <c r="F90">
        <v>272</v>
      </c>
      <c r="G90" t="str">
        <f t="shared" si="3"/>
        <v>INSERT INTO ctb_filial_centro_custo (CENTRO_CUSTO,COD_FILIAL,PORCENTAGEM) VALUES ('003', '000012',100)</v>
      </c>
    </row>
    <row r="91" spans="1:7" x14ac:dyDescent="0.25">
      <c r="A91" s="1" t="s">
        <v>25</v>
      </c>
      <c r="B91" s="1" t="s">
        <v>84</v>
      </c>
      <c r="C91" s="1" t="s">
        <v>58</v>
      </c>
      <c r="D91" s="2" t="str">
        <f t="shared" si="2"/>
        <v>2.1.8|000045</v>
      </c>
      <c r="E91" s="2" t="e">
        <f>INDEX(Planilha2!$D:$D,MATCH(D91,Planilha2!$D:$D,0),1)</f>
        <v>#N/A</v>
      </c>
      <c r="F91">
        <v>219</v>
      </c>
      <c r="G91" t="str">
        <f t="shared" si="3"/>
        <v>INSERT INTO ctb_filial_centro_custo (CENTRO_CUSTO,COD_FILIAL,PORCENTAGEM) VALUES ('2.1.8', '000045',100)</v>
      </c>
    </row>
    <row r="92" spans="1:7" x14ac:dyDescent="0.25">
      <c r="A92" s="1" t="s">
        <v>86</v>
      </c>
      <c r="B92" s="1" t="s">
        <v>55</v>
      </c>
      <c r="C92" s="1" t="s">
        <v>6</v>
      </c>
      <c r="D92" s="2" t="str">
        <f t="shared" si="2"/>
        <v>2.1.6|000067</v>
      </c>
      <c r="E92" s="2" t="e">
        <f>INDEX(Planilha2!$D:$D,MATCH(D92,Planilha2!$D:$D,0),1)</f>
        <v>#N/A</v>
      </c>
      <c r="F92">
        <v>1</v>
      </c>
      <c r="G92" t="str">
        <f t="shared" si="3"/>
        <v>INSERT INTO ctb_filial_centro_custo (CENTRO_CUSTO,COD_FILIAL,PORCENTAGEM) VALUES ('2.1.6', '000067',100)</v>
      </c>
    </row>
    <row r="93" spans="1:7" x14ac:dyDescent="0.25">
      <c r="A93" s="1" t="s">
        <v>115</v>
      </c>
      <c r="B93" s="1" t="s">
        <v>8</v>
      </c>
      <c r="C93" s="1" t="s">
        <v>116</v>
      </c>
      <c r="D93" s="2" t="str">
        <f t="shared" si="2"/>
        <v>003|000074</v>
      </c>
      <c r="E93" s="2" t="e">
        <f>INDEX(Planilha2!$D:$D,MATCH(D93,Planilha2!$D:$D,0),1)</f>
        <v>#N/A</v>
      </c>
      <c r="F93">
        <v>272</v>
      </c>
      <c r="G93" t="str">
        <f t="shared" si="3"/>
        <v>INSERT INTO ctb_filial_centro_custo (CENTRO_CUSTO,COD_FILIAL,PORCENTAGEM) VALUES ('003', '000074',100)</v>
      </c>
    </row>
    <row r="94" spans="1:7" x14ac:dyDescent="0.25">
      <c r="A94" s="1" t="s">
        <v>49</v>
      </c>
      <c r="B94" s="1" t="s">
        <v>8</v>
      </c>
      <c r="C94" s="1" t="s">
        <v>117</v>
      </c>
      <c r="D94" s="2" t="str">
        <f t="shared" si="2"/>
        <v>003|000046</v>
      </c>
      <c r="E94" s="2" t="e">
        <f>INDEX(Planilha2!$D:$D,MATCH(D94,Planilha2!$D:$D,0),1)</f>
        <v>#N/A</v>
      </c>
      <c r="F94">
        <v>253</v>
      </c>
      <c r="G94" t="str">
        <f t="shared" si="3"/>
        <v>INSERT INTO ctb_filial_centro_custo (CENTRO_CUSTO,COD_FILIAL,PORCENTAGEM) VALUES ('003', '000046',100)</v>
      </c>
    </row>
    <row r="95" spans="1:7" x14ac:dyDescent="0.25">
      <c r="A95" s="1" t="s">
        <v>49</v>
      </c>
      <c r="B95" s="1" t="s">
        <v>15</v>
      </c>
      <c r="C95" s="1" t="s">
        <v>6</v>
      </c>
      <c r="D95" s="2" t="str">
        <f t="shared" si="2"/>
        <v>3.1.5|000067</v>
      </c>
      <c r="E95" s="2" t="e">
        <f>INDEX(Planilha2!$D:$D,MATCH(D95,Planilha2!$D:$D,0),1)</f>
        <v>#N/A</v>
      </c>
      <c r="F95">
        <v>3</v>
      </c>
      <c r="G95" t="str">
        <f t="shared" si="3"/>
        <v>INSERT INTO ctb_filial_centro_custo (CENTRO_CUSTO,COD_FILIAL,PORCENTAGEM) VALUES ('3.1.5', '000067',100)</v>
      </c>
    </row>
    <row r="96" spans="1:7" x14ac:dyDescent="0.25">
      <c r="A96" s="1" t="s">
        <v>24</v>
      </c>
      <c r="B96" s="1" t="s">
        <v>8</v>
      </c>
      <c r="C96" s="1" t="s">
        <v>118</v>
      </c>
      <c r="D96" s="2" t="str">
        <f t="shared" si="2"/>
        <v>003|000036</v>
      </c>
      <c r="E96" s="2" t="e">
        <f>INDEX(Planilha2!$D:$D,MATCH(D96,Planilha2!$D:$D,0),1)</f>
        <v>#N/A</v>
      </c>
      <c r="F96">
        <v>226</v>
      </c>
      <c r="G96" t="str">
        <f t="shared" si="3"/>
        <v>INSERT INTO ctb_filial_centro_custo (CENTRO_CUSTO,COD_FILIAL,PORCENTAGEM) VALUES ('003', '000036',100)</v>
      </c>
    </row>
    <row r="97" spans="1:7" x14ac:dyDescent="0.25">
      <c r="A97" s="1" t="s">
        <v>119</v>
      </c>
      <c r="B97" s="1" t="s">
        <v>8</v>
      </c>
      <c r="C97" s="1" t="s">
        <v>120</v>
      </c>
      <c r="D97" s="2" t="str">
        <f t="shared" si="2"/>
        <v>003|000081</v>
      </c>
      <c r="E97" s="2" t="e">
        <f>INDEX(Planilha2!$D:$D,MATCH(D97,Planilha2!$D:$D,0),1)</f>
        <v>#N/A</v>
      </c>
      <c r="F97">
        <v>253</v>
      </c>
      <c r="G97" t="str">
        <f t="shared" si="3"/>
        <v>INSERT INTO ctb_filial_centro_custo (CENTRO_CUSTO,COD_FILIAL,PORCENTAGEM) VALUES ('003', '000081',100)</v>
      </c>
    </row>
    <row r="98" spans="1:7" x14ac:dyDescent="0.25">
      <c r="A98" s="1" t="s">
        <v>102</v>
      </c>
      <c r="B98" s="1" t="s">
        <v>8</v>
      </c>
      <c r="C98" s="1" t="s">
        <v>121</v>
      </c>
      <c r="D98" s="2" t="str">
        <f t="shared" si="2"/>
        <v>003|000055</v>
      </c>
      <c r="E98" s="2" t="e">
        <f>INDEX(Planilha2!$D:$D,MATCH(D98,Planilha2!$D:$D,0),1)</f>
        <v>#N/A</v>
      </c>
      <c r="F98">
        <v>242</v>
      </c>
      <c r="G98" t="str">
        <f t="shared" si="3"/>
        <v>INSERT INTO ctb_filial_centro_custo (CENTRO_CUSTO,COD_FILIAL,PORCENTAGEM) VALUES ('003', '000055',100)</v>
      </c>
    </row>
    <row r="99" spans="1:7" x14ac:dyDescent="0.25">
      <c r="A99" s="1" t="s">
        <v>28</v>
      </c>
      <c r="B99" s="1" t="s">
        <v>55</v>
      </c>
      <c r="C99" s="1" t="s">
        <v>6</v>
      </c>
      <c r="D99" s="2" t="str">
        <f t="shared" si="2"/>
        <v>2.1.6|000067</v>
      </c>
      <c r="E99" s="2" t="e">
        <f>INDEX(Planilha2!$D:$D,MATCH(D99,Planilha2!$D:$D,0),1)</f>
        <v>#N/A</v>
      </c>
      <c r="F99">
        <v>3</v>
      </c>
      <c r="G99" t="str">
        <f t="shared" si="3"/>
        <v>INSERT INTO ctb_filial_centro_custo (CENTRO_CUSTO,COD_FILIAL,PORCENTAGEM) VALUES ('2.1.6', '000067',100)</v>
      </c>
    </row>
    <row r="100" spans="1:7" x14ac:dyDescent="0.25">
      <c r="A100" s="1" t="s">
        <v>4</v>
      </c>
      <c r="B100" s="1" t="s">
        <v>55</v>
      </c>
      <c r="C100" s="1" t="s">
        <v>44</v>
      </c>
      <c r="D100" s="2" t="str">
        <f t="shared" si="2"/>
        <v>2.1.6|000010</v>
      </c>
      <c r="E100" s="2" t="e">
        <f>INDEX(Planilha2!$D:$D,MATCH(D100,Planilha2!$D:$D,0),1)</f>
        <v>#N/A</v>
      </c>
      <c r="F100">
        <v>1</v>
      </c>
      <c r="G100" t="str">
        <f t="shared" si="3"/>
        <v>INSERT INTO ctb_filial_centro_custo (CENTRO_CUSTO,COD_FILIAL,PORCENTAGEM) VALUES ('2.1.6', '000010',100)</v>
      </c>
    </row>
    <row r="101" spans="1:7" x14ac:dyDescent="0.25">
      <c r="A101" s="1" t="s">
        <v>122</v>
      </c>
      <c r="B101" s="1" t="s">
        <v>8</v>
      </c>
      <c r="C101" s="1" t="s">
        <v>123</v>
      </c>
      <c r="D101" s="2" t="str">
        <f t="shared" si="2"/>
        <v>003|000011</v>
      </c>
      <c r="E101" s="2" t="e">
        <f>INDEX(Planilha2!$D:$D,MATCH(D101,Planilha2!$D:$D,0),1)</f>
        <v>#N/A</v>
      </c>
      <c r="F101">
        <v>230</v>
      </c>
      <c r="G101" t="str">
        <f t="shared" si="3"/>
        <v>INSERT INTO ctb_filial_centro_custo (CENTRO_CUSTO,COD_FILIAL,PORCENTAGEM) VALUES ('003', '000011',100)</v>
      </c>
    </row>
    <row r="102" spans="1:7" x14ac:dyDescent="0.25">
      <c r="A102" s="1" t="s">
        <v>23</v>
      </c>
      <c r="B102" s="1" t="s">
        <v>8</v>
      </c>
      <c r="C102" s="1" t="s">
        <v>124</v>
      </c>
      <c r="D102" s="2" t="str">
        <f t="shared" si="2"/>
        <v>003|000004</v>
      </c>
      <c r="E102" s="2" t="e">
        <f>INDEX(Planilha2!$D:$D,MATCH(D102,Planilha2!$D:$D,0),1)</f>
        <v>#N/A</v>
      </c>
      <c r="F102">
        <v>232</v>
      </c>
      <c r="G102" t="str">
        <f t="shared" si="3"/>
        <v>INSERT INTO ctb_filial_centro_custo (CENTRO_CUSTO,COD_FILIAL,PORCENTAGEM) VALUES ('003', '000004',100)</v>
      </c>
    </row>
    <row r="103" spans="1:7" x14ac:dyDescent="0.25">
      <c r="A103" s="1" t="s">
        <v>10</v>
      </c>
      <c r="B103" s="1" t="s">
        <v>15</v>
      </c>
      <c r="C103" s="1" t="s">
        <v>125</v>
      </c>
      <c r="D103" s="2" t="str">
        <f t="shared" si="2"/>
        <v>3.1.5|000084</v>
      </c>
      <c r="E103" s="2" t="e">
        <f>INDEX(Planilha2!$D:$D,MATCH(D103,Planilha2!$D:$D,0),1)</f>
        <v>#N/A</v>
      </c>
      <c r="F103">
        <v>10365</v>
      </c>
      <c r="G103" t="str">
        <f t="shared" si="3"/>
        <v>INSERT INTO ctb_filial_centro_custo (CENTRO_CUSTO,COD_FILIAL,PORCENTAGEM) VALUES ('3.1.5', '000084',100)</v>
      </c>
    </row>
    <row r="104" spans="1:7" x14ac:dyDescent="0.25">
      <c r="A104" s="1" t="s">
        <v>20</v>
      </c>
      <c r="B104" s="1" t="s">
        <v>33</v>
      </c>
      <c r="C104" s="1" t="s">
        <v>40</v>
      </c>
      <c r="D104" s="2" t="str">
        <f t="shared" si="2"/>
        <v>2.1.3|000040</v>
      </c>
      <c r="E104" s="2" t="e">
        <f>INDEX(Planilha2!$D:$D,MATCH(D104,Planilha2!$D:$D,0),1)</f>
        <v>#N/A</v>
      </c>
      <c r="F104">
        <v>11</v>
      </c>
      <c r="G104" t="str">
        <f t="shared" si="3"/>
        <v>INSERT INTO ctb_filial_centro_custo (CENTRO_CUSTO,COD_FILIAL,PORCENTAGEM) VALUES ('2.1.3', '000040',100)</v>
      </c>
    </row>
    <row r="105" spans="1:7" x14ac:dyDescent="0.25">
      <c r="A105" s="1" t="s">
        <v>4</v>
      </c>
      <c r="B105" s="1" t="s">
        <v>55</v>
      </c>
      <c r="C105" s="1" t="s">
        <v>6</v>
      </c>
      <c r="D105" s="2" t="str">
        <f t="shared" si="2"/>
        <v>2.1.6|000067</v>
      </c>
      <c r="E105" s="2" t="e">
        <f>INDEX(Planilha2!$D:$D,MATCH(D105,Planilha2!$D:$D,0),1)</f>
        <v>#N/A</v>
      </c>
      <c r="F105">
        <v>2497</v>
      </c>
      <c r="G105" t="str">
        <f t="shared" si="3"/>
        <v>INSERT INTO ctb_filial_centro_custo (CENTRO_CUSTO,COD_FILIAL,PORCENTAGEM) VALUES ('2.1.6', '000067',100)</v>
      </c>
    </row>
    <row r="106" spans="1:7" x14ac:dyDescent="0.25">
      <c r="A106" s="1" t="s">
        <v>20</v>
      </c>
      <c r="B106" s="1" t="s">
        <v>26</v>
      </c>
      <c r="C106" s="1" t="s">
        <v>22</v>
      </c>
      <c r="D106" s="2" t="str">
        <f t="shared" si="2"/>
        <v>2.1.5|000092</v>
      </c>
      <c r="E106" s="2" t="e">
        <f>INDEX(Planilha2!$D:$D,MATCH(D106,Planilha2!$D:$D,0),1)</f>
        <v>#N/A</v>
      </c>
      <c r="F106">
        <v>3630</v>
      </c>
      <c r="G106" t="str">
        <f t="shared" si="3"/>
        <v>INSERT INTO ctb_filial_centro_custo (CENTRO_CUSTO,COD_FILIAL,PORCENTAGEM) VALUES ('2.1.5', '000092',100)</v>
      </c>
    </row>
    <row r="107" spans="1:7" x14ac:dyDescent="0.25">
      <c r="A107" s="1" t="s">
        <v>20</v>
      </c>
      <c r="B107" s="1" t="s">
        <v>108</v>
      </c>
      <c r="C107" s="1" t="s">
        <v>6</v>
      </c>
      <c r="D107" s="2" t="str">
        <f t="shared" si="2"/>
        <v>2.1.7|000067</v>
      </c>
      <c r="E107" s="2" t="e">
        <f>INDEX(Planilha2!$D:$D,MATCH(D107,Planilha2!$D:$D,0),1)</f>
        <v>#N/A</v>
      </c>
      <c r="F107">
        <v>1</v>
      </c>
      <c r="G107" t="str">
        <f t="shared" si="3"/>
        <v>INSERT INTO ctb_filial_centro_custo (CENTRO_CUSTO,COD_FILIAL,PORCENTAGEM) VALUES ('2.1.7', '000067',100)</v>
      </c>
    </row>
    <row r="108" spans="1:7" x14ac:dyDescent="0.25">
      <c r="A108" s="1" t="s">
        <v>126</v>
      </c>
      <c r="B108" s="1" t="s">
        <v>15</v>
      </c>
      <c r="C108" s="1" t="s">
        <v>6</v>
      </c>
      <c r="D108" s="2" t="str">
        <f t="shared" si="2"/>
        <v>3.1.5|000067</v>
      </c>
      <c r="E108" s="2" t="e">
        <f>INDEX(Planilha2!$D:$D,MATCH(D108,Planilha2!$D:$D,0),1)</f>
        <v>#N/A</v>
      </c>
      <c r="F108">
        <v>54</v>
      </c>
      <c r="G108" t="str">
        <f t="shared" si="3"/>
        <v>INSERT INTO ctb_filial_centro_custo (CENTRO_CUSTO,COD_FILIAL,PORCENTAGEM) VALUES ('3.1.5', '000067',100)</v>
      </c>
    </row>
    <row r="109" spans="1:7" x14ac:dyDescent="0.25">
      <c r="A109" s="1" t="s">
        <v>25</v>
      </c>
      <c r="B109" s="1" t="s">
        <v>87</v>
      </c>
      <c r="C109" s="1" t="s">
        <v>6</v>
      </c>
      <c r="D109" s="2" t="str">
        <f t="shared" si="2"/>
        <v>5.5.3|000067</v>
      </c>
      <c r="E109" s="2" t="e">
        <f>INDEX(Planilha2!$D:$D,MATCH(D109,Planilha2!$D:$D,0),1)</f>
        <v>#N/A</v>
      </c>
      <c r="F109">
        <v>1</v>
      </c>
      <c r="G109" t="str">
        <f t="shared" si="3"/>
        <v>INSERT INTO ctb_filial_centro_custo (CENTRO_CUSTO,COD_FILIAL,PORCENTAGEM) VALUES ('5.5.3', '000067',100)</v>
      </c>
    </row>
    <row r="110" spans="1:7" x14ac:dyDescent="0.25">
      <c r="A110" s="1" t="s">
        <v>67</v>
      </c>
      <c r="B110" s="1" t="s">
        <v>15</v>
      </c>
      <c r="C110" s="1" t="s">
        <v>6</v>
      </c>
      <c r="D110" s="2" t="str">
        <f t="shared" si="2"/>
        <v>3.1.5|000067</v>
      </c>
      <c r="E110" s="2" t="e">
        <f>INDEX(Planilha2!$D:$D,MATCH(D110,Planilha2!$D:$D,0),1)</f>
        <v>#N/A</v>
      </c>
      <c r="F110">
        <v>1</v>
      </c>
      <c r="G110" t="str">
        <f t="shared" si="3"/>
        <v>INSERT INTO ctb_filial_centro_custo (CENTRO_CUSTO,COD_FILIAL,PORCENTAGEM) VALUES ('3.1.5', '000067',100)</v>
      </c>
    </row>
    <row r="111" spans="1:7" x14ac:dyDescent="0.25">
      <c r="A111" s="1" t="s">
        <v>70</v>
      </c>
      <c r="B111" s="1" t="s">
        <v>68</v>
      </c>
      <c r="C111" s="1" t="s">
        <v>127</v>
      </c>
      <c r="D111" s="2" t="str">
        <f t="shared" si="2"/>
        <v>3.1.2|000091</v>
      </c>
      <c r="E111" s="2" t="e">
        <f>INDEX(Planilha2!$D:$D,MATCH(D111,Planilha2!$D:$D,0),1)</f>
        <v>#N/A</v>
      </c>
      <c r="F111">
        <v>1</v>
      </c>
      <c r="G111" t="str">
        <f t="shared" si="3"/>
        <v>INSERT INTO ctb_filial_centro_custo (CENTRO_CUSTO,COD_FILIAL,PORCENTAGEM) VALUES ('3.1.2', '000091',100)</v>
      </c>
    </row>
    <row r="112" spans="1:7" hidden="1" x14ac:dyDescent="0.25">
      <c r="A112" s="1" t="s">
        <v>25</v>
      </c>
      <c r="B112" s="1" t="s">
        <v>33</v>
      </c>
      <c r="C112" s="1" t="s">
        <v>58</v>
      </c>
      <c r="D112" s="2" t="str">
        <f t="shared" si="2"/>
        <v>2.1.3|000045</v>
      </c>
      <c r="E112" s="2" t="str">
        <f>INDEX(Planilha2!$D:$D,MATCH(D112,Planilha2!$D:$D,0),1)</f>
        <v>2.1.3|000045</v>
      </c>
      <c r="F112">
        <v>1415</v>
      </c>
      <c r="G112" t="str">
        <f t="shared" si="3"/>
        <v>INSERT INTO ctb_filial_centro_custo (CENTRO_CUSTO,COD_FILIAL,PORCENTAGEM) VALUES ('2.1.3', '000045',100)</v>
      </c>
    </row>
    <row r="113" spans="1:7" x14ac:dyDescent="0.25">
      <c r="A113" s="1" t="s">
        <v>20</v>
      </c>
      <c r="B113" s="1" t="s">
        <v>84</v>
      </c>
      <c r="C113" s="1" t="s">
        <v>22</v>
      </c>
      <c r="D113" s="2" t="str">
        <f t="shared" si="2"/>
        <v>2.1.8|000092</v>
      </c>
      <c r="E113" s="2" t="e">
        <f>INDEX(Planilha2!$D:$D,MATCH(D113,Planilha2!$D:$D,0),1)</f>
        <v>#N/A</v>
      </c>
      <c r="F113">
        <v>150</v>
      </c>
      <c r="G113" t="str">
        <f t="shared" si="3"/>
        <v>INSERT INTO ctb_filial_centro_custo (CENTRO_CUSTO,COD_FILIAL,PORCENTAGEM) VALUES ('2.1.8', '000092',100)</v>
      </c>
    </row>
    <row r="114" spans="1:7" x14ac:dyDescent="0.25">
      <c r="A114" s="1" t="s">
        <v>128</v>
      </c>
      <c r="B114" s="1" t="s">
        <v>15</v>
      </c>
      <c r="C114" s="1" t="s">
        <v>129</v>
      </c>
      <c r="D114" s="2" t="str">
        <f t="shared" si="2"/>
        <v>3.1.5|000028</v>
      </c>
      <c r="E114" s="2" t="e">
        <f>INDEX(Planilha2!$D:$D,MATCH(D114,Planilha2!$D:$D,0),1)</f>
        <v>#N/A</v>
      </c>
      <c r="F114">
        <v>27625</v>
      </c>
      <c r="G114" t="str">
        <f t="shared" si="3"/>
        <v>INSERT INTO ctb_filial_centro_custo (CENTRO_CUSTO,COD_FILIAL,PORCENTAGEM) VALUES ('3.1.5', '000028',100)</v>
      </c>
    </row>
    <row r="115" spans="1:7" x14ac:dyDescent="0.25">
      <c r="A115" s="1" t="s">
        <v>47</v>
      </c>
      <c r="B115" s="1" t="s">
        <v>8</v>
      </c>
      <c r="C115" s="1" t="s">
        <v>130</v>
      </c>
      <c r="D115" s="2" t="str">
        <f t="shared" si="2"/>
        <v>003|000056</v>
      </c>
      <c r="E115" s="2" t="e">
        <f>INDEX(Planilha2!$D:$D,MATCH(D115,Planilha2!$D:$D,0),1)</f>
        <v>#N/A</v>
      </c>
      <c r="F115">
        <v>263</v>
      </c>
      <c r="G115" t="str">
        <f t="shared" si="3"/>
        <v>INSERT INTO ctb_filial_centro_custo (CENTRO_CUSTO,COD_FILIAL,PORCENTAGEM) VALUES ('003', '000056',100)</v>
      </c>
    </row>
    <row r="116" spans="1:7" x14ac:dyDescent="0.25">
      <c r="A116" s="1" t="s">
        <v>83</v>
      </c>
      <c r="B116" s="1" t="s">
        <v>15</v>
      </c>
      <c r="C116" s="1" t="s">
        <v>131</v>
      </c>
      <c r="D116" s="2" t="str">
        <f t="shared" si="2"/>
        <v>3.1.5|000007</v>
      </c>
      <c r="E116" s="2" t="e">
        <f>INDEX(Planilha2!$D:$D,MATCH(D116,Planilha2!$D:$D,0),1)</f>
        <v>#N/A</v>
      </c>
      <c r="F116">
        <v>26835</v>
      </c>
      <c r="G116" t="str">
        <f t="shared" si="3"/>
        <v>INSERT INTO ctb_filial_centro_custo (CENTRO_CUSTO,COD_FILIAL,PORCENTAGEM) VALUES ('3.1.5', '000007',100)</v>
      </c>
    </row>
    <row r="117" spans="1:7" x14ac:dyDescent="0.25">
      <c r="A117" s="1" t="s">
        <v>106</v>
      </c>
      <c r="B117" s="1" t="s">
        <v>15</v>
      </c>
      <c r="C117" s="1" t="s">
        <v>132</v>
      </c>
      <c r="D117" s="2" t="str">
        <f t="shared" si="2"/>
        <v>3.1.5|000065</v>
      </c>
      <c r="E117" s="2" t="e">
        <f>INDEX(Planilha2!$D:$D,MATCH(D117,Planilha2!$D:$D,0),1)</f>
        <v>#N/A</v>
      </c>
      <c r="F117">
        <v>16487</v>
      </c>
      <c r="G117" t="str">
        <f t="shared" si="3"/>
        <v>INSERT INTO ctb_filial_centro_custo (CENTRO_CUSTO,COD_FILIAL,PORCENTAGEM) VALUES ('3.1.5', '000065',100)</v>
      </c>
    </row>
    <row r="118" spans="1:7" x14ac:dyDescent="0.25">
      <c r="A118" s="1" t="s">
        <v>133</v>
      </c>
      <c r="B118" s="1" t="s">
        <v>8</v>
      </c>
      <c r="C118" s="1" t="s">
        <v>134</v>
      </c>
      <c r="D118" s="2" t="str">
        <f t="shared" si="2"/>
        <v>003|000059</v>
      </c>
      <c r="E118" s="2" t="e">
        <f>INDEX(Planilha2!$D:$D,MATCH(D118,Planilha2!$D:$D,0),1)</f>
        <v>#N/A</v>
      </c>
      <c r="F118">
        <v>237</v>
      </c>
      <c r="G118" t="str">
        <f t="shared" si="3"/>
        <v>INSERT INTO ctb_filial_centro_custo (CENTRO_CUSTO,COD_FILIAL,PORCENTAGEM) VALUES ('003', '000059',100)</v>
      </c>
    </row>
    <row r="119" spans="1:7" x14ac:dyDescent="0.25">
      <c r="A119" s="1" t="s">
        <v>42</v>
      </c>
      <c r="B119" s="1" t="s">
        <v>8</v>
      </c>
      <c r="C119" s="1" t="s">
        <v>135</v>
      </c>
      <c r="D119" s="2" t="str">
        <f t="shared" si="2"/>
        <v>003|000080</v>
      </c>
      <c r="E119" s="2" t="e">
        <f>INDEX(Planilha2!$D:$D,MATCH(D119,Planilha2!$D:$D,0),1)</f>
        <v>#N/A</v>
      </c>
      <c r="F119">
        <v>263</v>
      </c>
      <c r="G119" t="str">
        <f t="shared" si="3"/>
        <v>INSERT INTO ctb_filial_centro_custo (CENTRO_CUSTO,COD_FILIAL,PORCENTAGEM) VALUES ('003', '000080',100)</v>
      </c>
    </row>
    <row r="120" spans="1:7" x14ac:dyDescent="0.25">
      <c r="A120" s="1" t="s">
        <v>136</v>
      </c>
      <c r="B120" s="1" t="s">
        <v>8</v>
      </c>
      <c r="C120" s="1" t="s">
        <v>137</v>
      </c>
      <c r="D120" s="2" t="str">
        <f t="shared" si="2"/>
        <v>003|000061</v>
      </c>
      <c r="E120" s="2" t="e">
        <f>INDEX(Planilha2!$D:$D,MATCH(D120,Planilha2!$D:$D,0),1)</f>
        <v>#N/A</v>
      </c>
      <c r="F120">
        <v>276</v>
      </c>
      <c r="G120" t="str">
        <f t="shared" si="3"/>
        <v>INSERT INTO ctb_filial_centro_custo (CENTRO_CUSTO,COD_FILIAL,PORCENTAGEM) VALUES ('003', '000061',100)</v>
      </c>
    </row>
    <row r="121" spans="1:7" x14ac:dyDescent="0.25">
      <c r="A121" s="1" t="s">
        <v>138</v>
      </c>
      <c r="B121" s="1" t="s">
        <v>8</v>
      </c>
      <c r="C121" s="1" t="s">
        <v>139</v>
      </c>
      <c r="D121" s="2" t="str">
        <f t="shared" si="2"/>
        <v>003|000072</v>
      </c>
      <c r="E121" s="2" t="e">
        <f>INDEX(Planilha2!$D:$D,MATCH(D121,Planilha2!$D:$D,0),1)</f>
        <v>#N/A</v>
      </c>
      <c r="F121">
        <v>68</v>
      </c>
      <c r="G121" t="str">
        <f t="shared" si="3"/>
        <v>INSERT INTO ctb_filial_centro_custo (CENTRO_CUSTO,COD_FILIAL,PORCENTAGEM) VALUES ('003', '000072',100)</v>
      </c>
    </row>
    <row r="122" spans="1:7" x14ac:dyDescent="0.25">
      <c r="A122" s="1" t="s">
        <v>140</v>
      </c>
      <c r="B122" s="1" t="s">
        <v>15</v>
      </c>
      <c r="C122" s="1" t="s">
        <v>6</v>
      </c>
      <c r="D122" s="2" t="str">
        <f t="shared" si="2"/>
        <v>3.1.5|000067</v>
      </c>
      <c r="E122" s="2" t="e">
        <f>INDEX(Planilha2!$D:$D,MATCH(D122,Planilha2!$D:$D,0),1)</f>
        <v>#N/A</v>
      </c>
      <c r="F122">
        <v>3</v>
      </c>
      <c r="G122" t="str">
        <f t="shared" si="3"/>
        <v>INSERT INTO ctb_filial_centro_custo (CENTRO_CUSTO,COD_FILIAL,PORCENTAGEM) VALUES ('3.1.5', '000067',100)</v>
      </c>
    </row>
    <row r="123" spans="1:7" x14ac:dyDescent="0.25">
      <c r="A123" s="1" t="s">
        <v>4</v>
      </c>
      <c r="B123" s="1" t="s">
        <v>68</v>
      </c>
      <c r="C123" s="1" t="s">
        <v>141</v>
      </c>
      <c r="D123" s="2" t="str">
        <f t="shared" si="2"/>
        <v>3.1.2|000067</v>
      </c>
      <c r="E123" s="2" t="e">
        <f>INDEX(Planilha2!$D:$D,MATCH(D123,Planilha2!$D:$D,0),1)</f>
        <v>#N/A</v>
      </c>
      <c r="F123">
        <v>45</v>
      </c>
      <c r="G123" t="str">
        <f t="shared" si="3"/>
        <v>INSERT INTO ctb_filial_centro_custo (CENTRO_CUSTO,COD_FILIAL,PORCENTAGEM) VALUES ('3.1.2', '000067',100)</v>
      </c>
    </row>
    <row r="124" spans="1:7" x14ac:dyDescent="0.25">
      <c r="A124" s="1" t="s">
        <v>140</v>
      </c>
      <c r="B124" s="1" t="s">
        <v>15</v>
      </c>
      <c r="C124" s="1" t="s">
        <v>142</v>
      </c>
      <c r="D124" s="2" t="str">
        <f t="shared" si="2"/>
        <v>3.1.5|000064</v>
      </c>
      <c r="E124" s="2" t="e">
        <f>INDEX(Planilha2!$D:$D,MATCH(D124,Planilha2!$D:$D,0),1)</f>
        <v>#N/A</v>
      </c>
      <c r="F124">
        <v>10212</v>
      </c>
      <c r="G124" t="str">
        <f t="shared" si="3"/>
        <v>INSERT INTO ctb_filial_centro_custo (CENTRO_CUSTO,COD_FILIAL,PORCENTAGEM) VALUES ('3.1.5', '000064',100)</v>
      </c>
    </row>
    <row r="125" spans="1:7" x14ac:dyDescent="0.25">
      <c r="A125" s="1" t="s">
        <v>122</v>
      </c>
      <c r="B125" s="1" t="s">
        <v>15</v>
      </c>
      <c r="C125" s="1" t="s">
        <v>143</v>
      </c>
      <c r="D125" s="2" t="str">
        <f t="shared" si="2"/>
        <v>3.1.5|000011</v>
      </c>
      <c r="E125" s="2" t="e">
        <f>INDEX(Planilha2!$D:$D,MATCH(D125,Planilha2!$D:$D,0),1)</f>
        <v>#N/A</v>
      </c>
      <c r="F125">
        <v>17798</v>
      </c>
      <c r="G125" t="str">
        <f t="shared" si="3"/>
        <v>INSERT INTO ctb_filial_centro_custo (CENTRO_CUSTO,COD_FILIAL,PORCENTAGEM) VALUES ('3.1.5', '000011',100)</v>
      </c>
    </row>
    <row r="126" spans="1:7" x14ac:dyDescent="0.25">
      <c r="A126" s="1" t="s">
        <v>4</v>
      </c>
      <c r="B126" s="1" t="s">
        <v>33</v>
      </c>
      <c r="C126" s="1" t="s">
        <v>6</v>
      </c>
      <c r="D126" s="2" t="str">
        <f t="shared" si="2"/>
        <v>2.1.3|000067</v>
      </c>
      <c r="E126" s="2" t="e">
        <f>INDEX(Planilha2!$D:$D,MATCH(D126,Planilha2!$D:$D,0),1)</f>
        <v>#N/A</v>
      </c>
      <c r="F126">
        <v>3390</v>
      </c>
      <c r="G126" t="str">
        <f t="shared" si="3"/>
        <v>INSERT INTO ctb_filial_centro_custo (CENTRO_CUSTO,COD_FILIAL,PORCENTAGEM) VALUES ('2.1.3', '000067',100)</v>
      </c>
    </row>
    <row r="127" spans="1:7" x14ac:dyDescent="0.25">
      <c r="A127" s="1" t="s">
        <v>25</v>
      </c>
      <c r="B127" s="1" t="s">
        <v>84</v>
      </c>
      <c r="C127" s="1" t="s">
        <v>6</v>
      </c>
      <c r="D127" s="2" t="str">
        <f t="shared" si="2"/>
        <v>2.1.8|000067</v>
      </c>
      <c r="E127" s="2" t="e">
        <f>INDEX(Planilha2!$D:$D,MATCH(D127,Planilha2!$D:$D,0),1)</f>
        <v>#N/A</v>
      </c>
      <c r="F127">
        <v>2</v>
      </c>
      <c r="G127" t="str">
        <f t="shared" si="3"/>
        <v>INSERT INTO ctb_filial_centro_custo (CENTRO_CUSTO,COD_FILIAL,PORCENTAGEM) VALUES ('2.1.8', '000067',100)</v>
      </c>
    </row>
    <row r="128" spans="1:7" x14ac:dyDescent="0.25">
      <c r="A128" s="1" t="s">
        <v>89</v>
      </c>
      <c r="B128" s="1" t="s">
        <v>8</v>
      </c>
      <c r="C128" s="1" t="s">
        <v>144</v>
      </c>
      <c r="D128" s="2" t="str">
        <f t="shared" si="2"/>
        <v>003|000060</v>
      </c>
      <c r="E128" s="2" t="e">
        <f>INDEX(Planilha2!$D:$D,MATCH(D128,Planilha2!$D:$D,0),1)</f>
        <v>#N/A</v>
      </c>
      <c r="F128">
        <v>216</v>
      </c>
      <c r="G128" t="str">
        <f t="shared" si="3"/>
        <v>INSERT INTO ctb_filial_centro_custo (CENTRO_CUSTO,COD_FILIAL,PORCENTAGEM) VALUES ('003', '000060',100)</v>
      </c>
    </row>
    <row r="129" spans="1:7" x14ac:dyDescent="0.25">
      <c r="A129" s="1" t="s">
        <v>70</v>
      </c>
      <c r="B129" s="1" t="s">
        <v>37</v>
      </c>
      <c r="C129" s="1" t="s">
        <v>127</v>
      </c>
      <c r="D129" s="2" t="str">
        <f t="shared" si="2"/>
        <v>003|000091</v>
      </c>
      <c r="E129" s="2" t="e">
        <f>INDEX(Planilha2!$D:$D,MATCH(D129,Planilha2!$D:$D,0),1)</f>
        <v>#N/A</v>
      </c>
      <c r="F129">
        <v>193</v>
      </c>
      <c r="G129" t="str">
        <f t="shared" si="3"/>
        <v>INSERT INTO ctb_filial_centro_custo (CENTRO_CUSTO,COD_FILIAL,PORCENTAGEM) VALUES ('003', '000091',100)</v>
      </c>
    </row>
    <row r="130" spans="1:7" x14ac:dyDescent="0.25">
      <c r="A130" s="1" t="s">
        <v>145</v>
      </c>
      <c r="B130" s="1" t="s">
        <v>68</v>
      </c>
      <c r="C130" s="1" t="s">
        <v>146</v>
      </c>
      <c r="D130" s="2" t="str">
        <f t="shared" si="2"/>
        <v>3.1.2|000020</v>
      </c>
      <c r="E130" s="2" t="e">
        <f>INDEX(Planilha2!$D:$D,MATCH(D130,Planilha2!$D:$D,0),1)</f>
        <v>#N/A</v>
      </c>
      <c r="F130">
        <v>5</v>
      </c>
      <c r="G130" t="str">
        <f t="shared" si="3"/>
        <v>INSERT INTO ctb_filial_centro_custo (CENTRO_CUSTO,COD_FILIAL,PORCENTAGEM) VALUES ('3.1.2', '000020',100)</v>
      </c>
    </row>
    <row r="131" spans="1:7" x14ac:dyDescent="0.25">
      <c r="A131" s="1" t="s">
        <v>42</v>
      </c>
      <c r="B131" s="1" t="s">
        <v>15</v>
      </c>
      <c r="C131" s="1" t="s">
        <v>6</v>
      </c>
      <c r="D131" s="2" t="str">
        <f t="shared" ref="D131:D194" si="4">CONCATENATE(TRIM(B131),"|",TRIM(C131))</f>
        <v>3.1.5|000067</v>
      </c>
      <c r="E131" s="2" t="e">
        <f>INDEX(Planilha2!$D:$D,MATCH(D131,Planilha2!$D:$D,0),1)</f>
        <v>#N/A</v>
      </c>
      <c r="F131">
        <v>5</v>
      </c>
      <c r="G131" t="str">
        <f t="shared" ref="G131:G194" si="5">"INSERT INTO ctb_filial_centro_custo (CENTRO_CUSTO,COD_FILIAL,PORCENTAGEM) VALUES ('"&amp;TRIM(B131)&amp;"', '"&amp;TRIM(C131)&amp;"',100)"</f>
        <v>INSERT INTO ctb_filial_centro_custo (CENTRO_CUSTO,COD_FILIAL,PORCENTAGEM) VALUES ('3.1.5', '000067',100)</v>
      </c>
    </row>
    <row r="132" spans="1:7" x14ac:dyDescent="0.25">
      <c r="A132" s="1" t="s">
        <v>20</v>
      </c>
      <c r="B132" s="1" t="s">
        <v>55</v>
      </c>
      <c r="C132" s="1" t="s">
        <v>40</v>
      </c>
      <c r="D132" s="2" t="str">
        <f t="shared" si="4"/>
        <v>2.1.6|000040</v>
      </c>
      <c r="E132" s="2" t="e">
        <f>INDEX(Planilha2!$D:$D,MATCH(D132,Planilha2!$D:$D,0),1)</f>
        <v>#N/A</v>
      </c>
      <c r="F132">
        <v>9</v>
      </c>
      <c r="G132" t="str">
        <f t="shared" si="5"/>
        <v>INSERT INTO ctb_filial_centro_custo (CENTRO_CUSTO,COD_FILIAL,PORCENTAGEM) VALUES ('2.1.6', '000040',100)</v>
      </c>
    </row>
    <row r="133" spans="1:7" x14ac:dyDescent="0.25">
      <c r="A133" s="1" t="s">
        <v>28</v>
      </c>
      <c r="B133" s="1" t="s">
        <v>33</v>
      </c>
      <c r="C133" s="1" t="s">
        <v>6</v>
      </c>
      <c r="D133" s="2" t="str">
        <f t="shared" si="4"/>
        <v>2.1.3|000067</v>
      </c>
      <c r="E133" s="2" t="e">
        <f>INDEX(Planilha2!$D:$D,MATCH(D133,Planilha2!$D:$D,0),1)</f>
        <v>#N/A</v>
      </c>
      <c r="F133">
        <v>45</v>
      </c>
      <c r="G133" t="str">
        <f t="shared" si="5"/>
        <v>INSERT INTO ctb_filial_centro_custo (CENTRO_CUSTO,COD_FILIAL,PORCENTAGEM) VALUES ('2.1.3', '000067',100)</v>
      </c>
    </row>
    <row r="134" spans="1:7" x14ac:dyDescent="0.25">
      <c r="A134" s="1" t="s">
        <v>20</v>
      </c>
      <c r="B134" s="1" t="s">
        <v>27</v>
      </c>
      <c r="C134" s="1" t="s">
        <v>6</v>
      </c>
      <c r="D134" s="2" t="str">
        <f t="shared" si="4"/>
        <v>2.1.4|000067</v>
      </c>
      <c r="E134" s="2" t="e">
        <f>INDEX(Planilha2!$D:$D,MATCH(D134,Planilha2!$D:$D,0),1)</f>
        <v>#N/A</v>
      </c>
      <c r="F134">
        <v>25</v>
      </c>
      <c r="G134" t="str">
        <f t="shared" si="5"/>
        <v>INSERT INTO ctb_filial_centro_custo (CENTRO_CUSTO,COD_FILIAL,PORCENTAGEM) VALUES ('2.1.4', '000067',100)</v>
      </c>
    </row>
    <row r="135" spans="1:7" x14ac:dyDescent="0.25">
      <c r="A135" s="1" t="s">
        <v>136</v>
      </c>
      <c r="B135" s="1" t="s">
        <v>15</v>
      </c>
      <c r="C135" s="1" t="s">
        <v>147</v>
      </c>
      <c r="D135" s="2" t="str">
        <f t="shared" si="4"/>
        <v>3.1.5|000061</v>
      </c>
      <c r="E135" s="2" t="e">
        <f>INDEX(Planilha2!$D:$D,MATCH(D135,Planilha2!$D:$D,0),1)</f>
        <v>#N/A</v>
      </c>
      <c r="F135">
        <v>17894</v>
      </c>
      <c r="G135" t="str">
        <f t="shared" si="5"/>
        <v>INSERT INTO ctb_filial_centro_custo (CENTRO_CUSTO,COD_FILIAL,PORCENTAGEM) VALUES ('3.1.5', '000061',100)</v>
      </c>
    </row>
    <row r="136" spans="1:7" x14ac:dyDescent="0.25">
      <c r="A136" s="1" t="s">
        <v>96</v>
      </c>
      <c r="B136" s="1" t="s">
        <v>15</v>
      </c>
      <c r="C136" s="1" t="s">
        <v>6</v>
      </c>
      <c r="D136" s="2" t="str">
        <f t="shared" si="4"/>
        <v>3.1.5|000067</v>
      </c>
      <c r="E136" s="2" t="e">
        <f>INDEX(Planilha2!$D:$D,MATCH(D136,Planilha2!$D:$D,0),1)</f>
        <v>#N/A</v>
      </c>
      <c r="F136">
        <v>5</v>
      </c>
      <c r="G136" t="str">
        <f t="shared" si="5"/>
        <v>INSERT INTO ctb_filial_centro_custo (CENTRO_CUSTO,COD_FILIAL,PORCENTAGEM) VALUES ('3.1.5', '000067',100)</v>
      </c>
    </row>
    <row r="137" spans="1:7" x14ac:dyDescent="0.25">
      <c r="A137" s="1" t="s">
        <v>133</v>
      </c>
      <c r="B137" s="1" t="s">
        <v>15</v>
      </c>
      <c r="C137" s="1" t="s">
        <v>148</v>
      </c>
      <c r="D137" s="2" t="str">
        <f t="shared" si="4"/>
        <v>3.1.5|000059</v>
      </c>
      <c r="E137" s="2" t="e">
        <f>INDEX(Planilha2!$D:$D,MATCH(D137,Planilha2!$D:$D,0),1)</f>
        <v>#N/A</v>
      </c>
      <c r="F137">
        <v>31335</v>
      </c>
      <c r="G137" t="str">
        <f t="shared" si="5"/>
        <v>INSERT INTO ctb_filial_centro_custo (CENTRO_CUSTO,COD_FILIAL,PORCENTAGEM) VALUES ('3.1.5', '000059',100)</v>
      </c>
    </row>
    <row r="138" spans="1:7" x14ac:dyDescent="0.25">
      <c r="A138" s="1" t="s">
        <v>83</v>
      </c>
      <c r="B138" s="1" t="s">
        <v>8</v>
      </c>
      <c r="C138" s="1" t="s">
        <v>149</v>
      </c>
      <c r="D138" s="2" t="str">
        <f t="shared" si="4"/>
        <v>003|000007</v>
      </c>
      <c r="E138" s="2" t="e">
        <f>INDEX(Planilha2!$D:$D,MATCH(D138,Planilha2!$D:$D,0),1)</f>
        <v>#N/A</v>
      </c>
      <c r="F138">
        <v>225</v>
      </c>
      <c r="G138" t="str">
        <f t="shared" si="5"/>
        <v>INSERT INTO ctb_filial_centro_custo (CENTRO_CUSTO,COD_FILIAL,PORCENTAGEM) VALUES ('003', '000007',100)</v>
      </c>
    </row>
    <row r="139" spans="1:7" x14ac:dyDescent="0.25">
      <c r="A139" s="1" t="s">
        <v>4</v>
      </c>
      <c r="B139" s="1" t="s">
        <v>33</v>
      </c>
      <c r="C139" s="1" t="s">
        <v>44</v>
      </c>
      <c r="D139" s="2" t="str">
        <f t="shared" si="4"/>
        <v>2.1.3|000010</v>
      </c>
      <c r="E139" s="2" t="e">
        <f>INDEX(Planilha2!$D:$D,MATCH(D139,Planilha2!$D:$D,0),1)</f>
        <v>#N/A</v>
      </c>
      <c r="F139">
        <v>1</v>
      </c>
      <c r="G139" t="str">
        <f t="shared" si="5"/>
        <v>INSERT INTO ctb_filial_centro_custo (CENTRO_CUSTO,COD_FILIAL,PORCENTAGEM) VALUES ('2.1.3', '000010',100)</v>
      </c>
    </row>
    <row r="140" spans="1:7" x14ac:dyDescent="0.25">
      <c r="A140" s="1" t="s">
        <v>65</v>
      </c>
      <c r="B140" s="1" t="s">
        <v>15</v>
      </c>
      <c r="C140" s="1" t="s">
        <v>6</v>
      </c>
      <c r="D140" s="2" t="str">
        <f t="shared" si="4"/>
        <v>3.1.5|000067</v>
      </c>
      <c r="E140" s="2" t="e">
        <f>INDEX(Planilha2!$D:$D,MATCH(D140,Planilha2!$D:$D,0),1)</f>
        <v>#N/A</v>
      </c>
      <c r="F140">
        <v>33</v>
      </c>
      <c r="G140" t="str">
        <f t="shared" si="5"/>
        <v>INSERT INTO ctb_filial_centro_custo (CENTRO_CUSTO,COD_FILIAL,PORCENTAGEM) VALUES ('3.1.5', '000067',100)</v>
      </c>
    </row>
    <row r="141" spans="1:7" x14ac:dyDescent="0.25">
      <c r="A141" s="1" t="s">
        <v>34</v>
      </c>
      <c r="B141" s="1" t="s">
        <v>8</v>
      </c>
      <c r="C141" s="1" t="s">
        <v>150</v>
      </c>
      <c r="D141" s="2" t="str">
        <f t="shared" si="4"/>
        <v>003|000062</v>
      </c>
      <c r="E141" s="2" t="e">
        <f>INDEX(Planilha2!$D:$D,MATCH(D141,Planilha2!$D:$D,0),1)</f>
        <v>#N/A</v>
      </c>
      <c r="F141">
        <v>298</v>
      </c>
      <c r="G141" t="str">
        <f t="shared" si="5"/>
        <v>INSERT INTO ctb_filial_centro_custo (CENTRO_CUSTO,COD_FILIAL,PORCENTAGEM) VALUES ('003', '000062',100)</v>
      </c>
    </row>
    <row r="142" spans="1:7" x14ac:dyDescent="0.25">
      <c r="A142" s="1" t="s">
        <v>7</v>
      </c>
      <c r="B142" s="1" t="s">
        <v>15</v>
      </c>
      <c r="C142" s="1" t="s">
        <v>151</v>
      </c>
      <c r="D142" s="2" t="str">
        <f t="shared" si="4"/>
        <v>3.1.5|000027</v>
      </c>
      <c r="E142" s="2" t="e">
        <f>INDEX(Planilha2!$D:$D,MATCH(D142,Planilha2!$D:$D,0),1)</f>
        <v>#N/A</v>
      </c>
      <c r="F142">
        <v>23480</v>
      </c>
      <c r="G142" t="str">
        <f t="shared" si="5"/>
        <v>INSERT INTO ctb_filial_centro_custo (CENTRO_CUSTO,COD_FILIAL,PORCENTAGEM) VALUES ('3.1.5', '000027',100)</v>
      </c>
    </row>
    <row r="143" spans="1:7" x14ac:dyDescent="0.25">
      <c r="A143" s="1" t="s">
        <v>145</v>
      </c>
      <c r="B143" s="1" t="s">
        <v>37</v>
      </c>
      <c r="C143" s="1" t="s">
        <v>146</v>
      </c>
      <c r="D143" s="2" t="str">
        <f t="shared" si="4"/>
        <v>003|000020</v>
      </c>
      <c r="E143" s="2" t="e">
        <f>INDEX(Planilha2!$D:$D,MATCH(D143,Planilha2!$D:$D,0),1)</f>
        <v>#N/A</v>
      </c>
      <c r="F143">
        <v>275</v>
      </c>
      <c r="G143" t="str">
        <f t="shared" si="5"/>
        <v>INSERT INTO ctb_filial_centro_custo (CENTRO_CUSTO,COD_FILIAL,PORCENTAGEM) VALUES ('003', '000020',100)</v>
      </c>
    </row>
    <row r="144" spans="1:7" x14ac:dyDescent="0.25">
      <c r="A144" s="1" t="s">
        <v>152</v>
      </c>
      <c r="B144" s="1" t="s">
        <v>8</v>
      </c>
      <c r="C144" s="1" t="s">
        <v>153</v>
      </c>
      <c r="D144" s="2" t="str">
        <f t="shared" si="4"/>
        <v>003|000030</v>
      </c>
      <c r="E144" s="2" t="e">
        <f>INDEX(Planilha2!$D:$D,MATCH(D144,Planilha2!$D:$D,0),1)</f>
        <v>#N/A</v>
      </c>
      <c r="F144">
        <v>235</v>
      </c>
      <c r="G144" t="str">
        <f t="shared" si="5"/>
        <v>INSERT INTO ctb_filial_centro_custo (CENTRO_CUSTO,COD_FILIAL,PORCENTAGEM) VALUES ('003', '000030',100)</v>
      </c>
    </row>
    <row r="145" spans="1:7" x14ac:dyDescent="0.25">
      <c r="A145" s="1" t="s">
        <v>154</v>
      </c>
      <c r="B145" s="1" t="s">
        <v>37</v>
      </c>
      <c r="C145" s="1" t="s">
        <v>155</v>
      </c>
      <c r="D145" s="2" t="str">
        <f t="shared" si="4"/>
        <v>003|000094</v>
      </c>
      <c r="E145" s="2" t="e">
        <f>INDEX(Planilha2!$D:$D,MATCH(D145,Planilha2!$D:$D,0),1)</f>
        <v>#N/A</v>
      </c>
      <c r="F145">
        <v>3</v>
      </c>
      <c r="G145" t="str">
        <f t="shared" si="5"/>
        <v>INSERT INTO ctb_filial_centro_custo (CENTRO_CUSTO,COD_FILIAL,PORCENTAGEM) VALUES ('003', '000094',100)</v>
      </c>
    </row>
    <row r="146" spans="1:7" x14ac:dyDescent="0.25">
      <c r="A146" s="1" t="s">
        <v>23</v>
      </c>
      <c r="B146" s="1" t="s">
        <v>15</v>
      </c>
      <c r="C146" s="1" t="s">
        <v>156</v>
      </c>
      <c r="D146" s="2" t="str">
        <f t="shared" si="4"/>
        <v>3.1.5|000004</v>
      </c>
      <c r="E146" s="2" t="e">
        <f>INDEX(Planilha2!$D:$D,MATCH(D146,Planilha2!$D:$D,0),1)</f>
        <v>#N/A</v>
      </c>
      <c r="F146">
        <v>35066</v>
      </c>
      <c r="G146" t="str">
        <f t="shared" si="5"/>
        <v>INSERT INTO ctb_filial_centro_custo (CENTRO_CUSTO,COD_FILIAL,PORCENTAGEM) VALUES ('3.1.5', '000004',100)</v>
      </c>
    </row>
    <row r="147" spans="1:7" x14ac:dyDescent="0.25">
      <c r="A147" s="1" t="s">
        <v>4</v>
      </c>
      <c r="B147" s="1" t="s">
        <v>55</v>
      </c>
      <c r="C147" s="1" t="s">
        <v>99</v>
      </c>
      <c r="D147" s="2" t="str">
        <f t="shared" si="4"/>
        <v>2.1.6|000009</v>
      </c>
      <c r="E147" s="2" t="e">
        <f>INDEX(Planilha2!$D:$D,MATCH(D147,Planilha2!$D:$D,0),1)</f>
        <v>#N/A</v>
      </c>
      <c r="F147">
        <v>1</v>
      </c>
      <c r="G147" t="str">
        <f t="shared" si="5"/>
        <v>INSERT INTO ctb_filial_centro_custo (CENTRO_CUSTO,COD_FILIAL,PORCENTAGEM) VALUES ('2.1.6', '000009',100)</v>
      </c>
    </row>
    <row r="148" spans="1:7" x14ac:dyDescent="0.25">
      <c r="A148" s="1" t="s">
        <v>4</v>
      </c>
      <c r="B148" s="1" t="s">
        <v>27</v>
      </c>
      <c r="C148" s="1" t="s">
        <v>93</v>
      </c>
      <c r="D148" s="2" t="str">
        <f t="shared" si="4"/>
        <v>2.1.4|000093</v>
      </c>
      <c r="E148" s="2" t="e">
        <f>INDEX(Planilha2!$D:$D,MATCH(D148,Planilha2!$D:$D,0),1)</f>
        <v>#N/A</v>
      </c>
      <c r="F148">
        <v>1</v>
      </c>
      <c r="G148" t="str">
        <f t="shared" si="5"/>
        <v>INSERT INTO ctb_filial_centro_custo (CENTRO_CUSTO,COD_FILIAL,PORCENTAGEM) VALUES ('2.1.4', '000093',100)</v>
      </c>
    </row>
    <row r="149" spans="1:7" x14ac:dyDescent="0.25">
      <c r="A149" s="1" t="s">
        <v>133</v>
      </c>
      <c r="B149" s="1" t="s">
        <v>15</v>
      </c>
      <c r="C149" s="1" t="s">
        <v>6</v>
      </c>
      <c r="D149" s="2" t="str">
        <f t="shared" si="4"/>
        <v>3.1.5|000067</v>
      </c>
      <c r="E149" s="2" t="e">
        <f>INDEX(Planilha2!$D:$D,MATCH(D149,Planilha2!$D:$D,0),1)</f>
        <v>#N/A</v>
      </c>
      <c r="F149">
        <v>9</v>
      </c>
      <c r="G149" t="str">
        <f t="shared" si="5"/>
        <v>INSERT INTO ctb_filial_centro_custo (CENTRO_CUSTO,COD_FILIAL,PORCENTAGEM) VALUES ('3.1.5', '000067',100)</v>
      </c>
    </row>
    <row r="150" spans="1:7" x14ac:dyDescent="0.25">
      <c r="A150" s="1" t="s">
        <v>157</v>
      </c>
      <c r="B150" s="1" t="s">
        <v>15</v>
      </c>
      <c r="C150" s="1" t="s">
        <v>158</v>
      </c>
      <c r="D150" s="2" t="str">
        <f t="shared" si="4"/>
        <v>3.1.5|000042</v>
      </c>
      <c r="E150" s="2" t="e">
        <f>INDEX(Planilha2!$D:$D,MATCH(D150,Planilha2!$D:$D,0),1)</f>
        <v>#N/A</v>
      </c>
      <c r="F150">
        <v>27730</v>
      </c>
      <c r="G150" t="str">
        <f t="shared" si="5"/>
        <v>INSERT INTO ctb_filial_centro_custo (CENTRO_CUSTO,COD_FILIAL,PORCENTAGEM) VALUES ('3.1.5', '000042',100)</v>
      </c>
    </row>
    <row r="151" spans="1:7" x14ac:dyDescent="0.25">
      <c r="A151" s="1" t="s">
        <v>20</v>
      </c>
      <c r="B151" s="1" t="s">
        <v>159</v>
      </c>
      <c r="C151" s="1" t="s">
        <v>6</v>
      </c>
      <c r="D151" s="2" t="str">
        <f t="shared" si="4"/>
        <v>2.1.1|000067</v>
      </c>
      <c r="E151" s="2" t="e">
        <f>INDEX(Planilha2!$D:$D,MATCH(D151,Planilha2!$D:$D,0),1)</f>
        <v>#N/A</v>
      </c>
      <c r="F151">
        <v>1</v>
      </c>
      <c r="G151" t="str">
        <f t="shared" si="5"/>
        <v>INSERT INTO ctb_filial_centro_custo (CENTRO_CUSTO,COD_FILIAL,PORCENTAGEM) VALUES ('2.1.1', '000067',100)</v>
      </c>
    </row>
    <row r="152" spans="1:7" x14ac:dyDescent="0.25">
      <c r="A152" s="1" t="s">
        <v>67</v>
      </c>
      <c r="B152" s="1" t="s">
        <v>8</v>
      </c>
      <c r="C152" s="1" t="s">
        <v>69</v>
      </c>
      <c r="D152" s="2" t="str">
        <f t="shared" si="4"/>
        <v>003|000079</v>
      </c>
      <c r="E152" s="2" t="e">
        <f>INDEX(Planilha2!$D:$D,MATCH(D152,Planilha2!$D:$D,0),1)</f>
        <v>#N/A</v>
      </c>
      <c r="F152">
        <v>262</v>
      </c>
      <c r="G152" t="str">
        <f t="shared" si="5"/>
        <v>INSERT INTO ctb_filial_centro_custo (CENTRO_CUSTO,COD_FILIAL,PORCENTAGEM) VALUES ('003', '000079',100)</v>
      </c>
    </row>
    <row r="153" spans="1:7" x14ac:dyDescent="0.25">
      <c r="A153" s="1" t="s">
        <v>145</v>
      </c>
      <c r="B153" s="1" t="s">
        <v>15</v>
      </c>
      <c r="C153" s="1" t="s">
        <v>160</v>
      </c>
      <c r="D153" s="2" t="str">
        <f t="shared" si="4"/>
        <v>3.1.5|000020</v>
      </c>
      <c r="E153" s="2" t="e">
        <f>INDEX(Planilha2!$D:$D,MATCH(D153,Planilha2!$D:$D,0),1)</f>
        <v>#N/A</v>
      </c>
      <c r="F153">
        <v>23323</v>
      </c>
      <c r="G153" t="str">
        <f t="shared" si="5"/>
        <v>INSERT INTO ctb_filial_centro_custo (CENTRO_CUSTO,COD_FILIAL,PORCENTAGEM) VALUES ('3.1.5', '000020',100)</v>
      </c>
    </row>
    <row r="154" spans="1:7" x14ac:dyDescent="0.25">
      <c r="A154" s="1" t="s">
        <v>126</v>
      </c>
      <c r="B154" s="1" t="s">
        <v>8</v>
      </c>
      <c r="C154" s="1" t="s">
        <v>161</v>
      </c>
      <c r="D154" s="2" t="str">
        <f t="shared" si="4"/>
        <v>003|000026</v>
      </c>
      <c r="E154" s="2" t="e">
        <f>INDEX(Planilha2!$D:$D,MATCH(D154,Planilha2!$D:$D,0),1)</f>
        <v>#N/A</v>
      </c>
      <c r="F154">
        <v>220</v>
      </c>
      <c r="G154" t="str">
        <f t="shared" si="5"/>
        <v>INSERT INTO ctb_filial_centro_custo (CENTRO_CUSTO,COD_FILIAL,PORCENTAGEM) VALUES ('003', '000026',100)</v>
      </c>
    </row>
    <row r="155" spans="1:7" x14ac:dyDescent="0.25">
      <c r="A155" s="1" t="s">
        <v>18</v>
      </c>
      <c r="B155" s="1" t="s">
        <v>15</v>
      </c>
      <c r="C155" s="1" t="s">
        <v>6</v>
      </c>
      <c r="D155" s="2" t="str">
        <f t="shared" si="4"/>
        <v>3.1.5|000067</v>
      </c>
      <c r="E155" s="2" t="e">
        <f>INDEX(Planilha2!$D:$D,MATCH(D155,Planilha2!$D:$D,0),1)</f>
        <v>#N/A</v>
      </c>
      <c r="F155">
        <v>10</v>
      </c>
      <c r="G155" t="str">
        <f t="shared" si="5"/>
        <v>INSERT INTO ctb_filial_centro_custo (CENTRO_CUSTO,COD_FILIAL,PORCENTAGEM) VALUES ('3.1.5', '000067',100)</v>
      </c>
    </row>
    <row r="156" spans="1:7" x14ac:dyDescent="0.25">
      <c r="A156" s="1" t="s">
        <v>4</v>
      </c>
      <c r="B156" s="1" t="s">
        <v>37</v>
      </c>
      <c r="C156" s="1" t="s">
        <v>141</v>
      </c>
      <c r="D156" s="2" t="str">
        <f t="shared" si="4"/>
        <v>003|000067</v>
      </c>
      <c r="E156" s="2" t="e">
        <f>INDEX(Planilha2!$D:$D,MATCH(D156,Planilha2!$D:$D,0),1)</f>
        <v>#N/A</v>
      </c>
      <c r="F156">
        <v>4973</v>
      </c>
      <c r="G156" t="str">
        <f t="shared" si="5"/>
        <v>INSERT INTO ctb_filial_centro_custo (CENTRO_CUSTO,COD_FILIAL,PORCENTAGEM) VALUES ('003', '000067',100)</v>
      </c>
    </row>
    <row r="157" spans="1:7" x14ac:dyDescent="0.25">
      <c r="A157" s="1" t="s">
        <v>110</v>
      </c>
      <c r="B157" s="1" t="s">
        <v>37</v>
      </c>
      <c r="C157" s="1" t="s">
        <v>162</v>
      </c>
      <c r="D157" s="2" t="str">
        <f t="shared" si="4"/>
        <v>003|000071</v>
      </c>
      <c r="E157" s="2" t="e">
        <f>INDEX(Planilha2!$D:$D,MATCH(D157,Planilha2!$D:$D,0),1)</f>
        <v>#N/A</v>
      </c>
      <c r="F157">
        <v>250</v>
      </c>
      <c r="G157" t="str">
        <f t="shared" si="5"/>
        <v>INSERT INTO ctb_filial_centro_custo (CENTRO_CUSTO,COD_FILIAL,PORCENTAGEM) VALUES ('003', '000071',100)</v>
      </c>
    </row>
    <row r="158" spans="1:7" x14ac:dyDescent="0.25">
      <c r="A158" s="1" t="s">
        <v>20</v>
      </c>
      <c r="B158" s="1" t="s">
        <v>27</v>
      </c>
      <c r="C158" s="1" t="s">
        <v>41</v>
      </c>
      <c r="D158" s="2" t="str">
        <f t="shared" si="4"/>
        <v>2.1.4|000095</v>
      </c>
      <c r="E158" s="2" t="e">
        <f>INDEX(Planilha2!$D:$D,MATCH(D158,Planilha2!$D:$D,0),1)</f>
        <v>#N/A</v>
      </c>
      <c r="F158">
        <v>1</v>
      </c>
      <c r="G158" t="str">
        <f t="shared" si="5"/>
        <v>INSERT INTO ctb_filial_centro_custo (CENTRO_CUSTO,COD_FILIAL,PORCENTAGEM) VALUES ('2.1.4', '000095',100)</v>
      </c>
    </row>
    <row r="159" spans="1:7" x14ac:dyDescent="0.25">
      <c r="A159" s="1" t="s">
        <v>20</v>
      </c>
      <c r="B159" s="1" t="s">
        <v>84</v>
      </c>
      <c r="C159" s="1" t="s">
        <v>6</v>
      </c>
      <c r="D159" s="2" t="str">
        <f t="shared" si="4"/>
        <v>2.1.8|000067</v>
      </c>
      <c r="E159" s="2" t="e">
        <f>INDEX(Planilha2!$D:$D,MATCH(D159,Planilha2!$D:$D,0),1)</f>
        <v>#N/A</v>
      </c>
      <c r="F159">
        <v>1</v>
      </c>
      <c r="G159" t="str">
        <f t="shared" si="5"/>
        <v>INSERT INTO ctb_filial_centro_custo (CENTRO_CUSTO,COD_FILIAL,PORCENTAGEM) VALUES ('2.1.8', '000067',100)</v>
      </c>
    </row>
    <row r="160" spans="1:7" x14ac:dyDescent="0.25">
      <c r="A160" s="1" t="s">
        <v>25</v>
      </c>
      <c r="B160" s="1" t="s">
        <v>55</v>
      </c>
      <c r="C160" s="1" t="s">
        <v>58</v>
      </c>
      <c r="D160" s="2" t="str">
        <f t="shared" si="4"/>
        <v>2.1.6|000045</v>
      </c>
      <c r="E160" s="2" t="e">
        <f>INDEX(Planilha2!$D:$D,MATCH(D160,Planilha2!$D:$D,0),1)</f>
        <v>#N/A</v>
      </c>
      <c r="F160">
        <v>370</v>
      </c>
      <c r="G160" t="str">
        <f t="shared" si="5"/>
        <v>INSERT INTO ctb_filial_centro_custo (CENTRO_CUSTO,COD_FILIAL,PORCENTAGEM) VALUES ('2.1.6', '000045',100)</v>
      </c>
    </row>
    <row r="161" spans="1:7" x14ac:dyDescent="0.25">
      <c r="A161" s="1" t="s">
        <v>4</v>
      </c>
      <c r="B161" s="1" t="s">
        <v>27</v>
      </c>
      <c r="C161" s="1" t="s">
        <v>6</v>
      </c>
      <c r="D161" s="2" t="str">
        <f t="shared" si="4"/>
        <v>2.1.4|000067</v>
      </c>
      <c r="E161" s="2" t="e">
        <f>INDEX(Planilha2!$D:$D,MATCH(D161,Planilha2!$D:$D,0),1)</f>
        <v>#N/A</v>
      </c>
      <c r="F161">
        <v>1081</v>
      </c>
      <c r="G161" t="str">
        <f t="shared" si="5"/>
        <v>INSERT INTO ctb_filial_centro_custo (CENTRO_CUSTO,COD_FILIAL,PORCENTAGEM) VALUES ('2.1.4', '000067',100)</v>
      </c>
    </row>
    <row r="162" spans="1:7" x14ac:dyDescent="0.25">
      <c r="A162" s="1" t="s">
        <v>163</v>
      </c>
      <c r="B162" s="1" t="s">
        <v>15</v>
      </c>
      <c r="C162" s="1" t="s">
        <v>164</v>
      </c>
      <c r="D162" s="2" t="str">
        <f t="shared" si="4"/>
        <v>3.1.5|000023</v>
      </c>
      <c r="E162" s="2" t="e">
        <f>INDEX(Planilha2!$D:$D,MATCH(D162,Planilha2!$D:$D,0),1)</f>
        <v>#N/A</v>
      </c>
      <c r="F162">
        <v>18406</v>
      </c>
      <c r="G162" t="str">
        <f t="shared" si="5"/>
        <v>INSERT INTO ctb_filial_centro_custo (CENTRO_CUSTO,COD_FILIAL,PORCENTAGEM) VALUES ('3.1.5', '000023',100)</v>
      </c>
    </row>
    <row r="163" spans="1:7" x14ac:dyDescent="0.25">
      <c r="A163" s="1" t="s">
        <v>140</v>
      </c>
      <c r="B163" s="1" t="s">
        <v>8</v>
      </c>
      <c r="C163" s="1" t="s">
        <v>165</v>
      </c>
      <c r="D163" s="2" t="str">
        <f t="shared" si="4"/>
        <v>003|000064</v>
      </c>
      <c r="E163" s="2" t="e">
        <f>INDEX(Planilha2!$D:$D,MATCH(D163,Planilha2!$D:$D,0),1)</f>
        <v>#N/A</v>
      </c>
      <c r="F163">
        <v>155</v>
      </c>
      <c r="G163" t="str">
        <f t="shared" si="5"/>
        <v>INSERT INTO ctb_filial_centro_custo (CENTRO_CUSTO,COD_FILIAL,PORCENTAGEM) VALUES ('003', '000064',100)</v>
      </c>
    </row>
    <row r="164" spans="1:7" x14ac:dyDescent="0.25">
      <c r="A164" s="1" t="s">
        <v>157</v>
      </c>
      <c r="B164" s="1" t="s">
        <v>15</v>
      </c>
      <c r="C164" s="1" t="s">
        <v>6</v>
      </c>
      <c r="D164" s="2" t="str">
        <f t="shared" si="4"/>
        <v>3.1.5|000067</v>
      </c>
      <c r="E164" s="2" t="e">
        <f>INDEX(Planilha2!$D:$D,MATCH(D164,Planilha2!$D:$D,0),1)</f>
        <v>#N/A</v>
      </c>
      <c r="F164">
        <v>7</v>
      </c>
      <c r="G164" t="str">
        <f t="shared" si="5"/>
        <v>INSERT INTO ctb_filial_centro_custo (CENTRO_CUSTO,COD_FILIAL,PORCENTAGEM) VALUES ('3.1.5', '000067',100)</v>
      </c>
    </row>
    <row r="165" spans="1:7" x14ac:dyDescent="0.25">
      <c r="A165" s="1" t="s">
        <v>25</v>
      </c>
      <c r="B165" s="1" t="s">
        <v>8</v>
      </c>
      <c r="C165" s="1" t="s">
        <v>166</v>
      </c>
      <c r="D165" s="2" t="str">
        <f t="shared" si="4"/>
        <v>003|000045</v>
      </c>
      <c r="E165" s="2" t="e">
        <f>INDEX(Planilha2!$D:$D,MATCH(D165,Planilha2!$D:$D,0),1)</f>
        <v>#N/A</v>
      </c>
      <c r="F165">
        <v>27</v>
      </c>
      <c r="G165" t="str">
        <f t="shared" si="5"/>
        <v>INSERT INTO ctb_filial_centro_custo (CENTRO_CUSTO,COD_FILIAL,PORCENTAGEM) VALUES ('003', '000045',100)</v>
      </c>
    </row>
    <row r="166" spans="1:7" x14ac:dyDescent="0.25">
      <c r="A166" s="1" t="s">
        <v>4</v>
      </c>
      <c r="B166" s="1" t="s">
        <v>27</v>
      </c>
      <c r="C166" s="1" t="s">
        <v>142</v>
      </c>
      <c r="D166" s="2" t="str">
        <f t="shared" si="4"/>
        <v>2.1.4|000064</v>
      </c>
      <c r="E166" s="2" t="e">
        <f>INDEX(Planilha2!$D:$D,MATCH(D166,Planilha2!$D:$D,0),1)</f>
        <v>#N/A</v>
      </c>
      <c r="F166">
        <v>1</v>
      </c>
      <c r="G166" t="str">
        <f t="shared" si="5"/>
        <v>INSERT INTO ctb_filial_centro_custo (CENTRO_CUSTO,COD_FILIAL,PORCENTAGEM) VALUES ('2.1.4', '000064',100)</v>
      </c>
    </row>
    <row r="167" spans="1:7" x14ac:dyDescent="0.25">
      <c r="A167" s="1" t="s">
        <v>4</v>
      </c>
      <c r="B167" s="1" t="s">
        <v>26</v>
      </c>
      <c r="C167" s="1" t="s">
        <v>22</v>
      </c>
      <c r="D167" s="2" t="str">
        <f t="shared" si="4"/>
        <v>2.1.5|000092</v>
      </c>
      <c r="E167" s="2" t="e">
        <f>INDEX(Planilha2!$D:$D,MATCH(D167,Planilha2!$D:$D,0),1)</f>
        <v>#N/A</v>
      </c>
      <c r="F167">
        <v>29</v>
      </c>
      <c r="G167" t="str">
        <f t="shared" si="5"/>
        <v>INSERT INTO ctb_filial_centro_custo (CENTRO_CUSTO,COD_FILIAL,PORCENTAGEM) VALUES ('2.1.5', '000092',100)</v>
      </c>
    </row>
    <row r="168" spans="1:7" x14ac:dyDescent="0.25">
      <c r="A168" s="1" t="s">
        <v>10</v>
      </c>
      <c r="B168" s="1" t="s">
        <v>15</v>
      </c>
      <c r="C168" s="1" t="s">
        <v>6</v>
      </c>
      <c r="D168" s="2" t="str">
        <f t="shared" si="4"/>
        <v>3.1.5|000067</v>
      </c>
      <c r="E168" s="2" t="e">
        <f>INDEX(Planilha2!$D:$D,MATCH(D168,Planilha2!$D:$D,0),1)</f>
        <v>#N/A</v>
      </c>
      <c r="F168">
        <v>13</v>
      </c>
      <c r="G168" t="str">
        <f t="shared" si="5"/>
        <v>INSERT INTO ctb_filial_centro_custo (CENTRO_CUSTO,COD_FILIAL,PORCENTAGEM) VALUES ('3.1.5', '000067',100)</v>
      </c>
    </row>
    <row r="169" spans="1:7" x14ac:dyDescent="0.25">
      <c r="A169" s="1" t="s">
        <v>25</v>
      </c>
      <c r="B169" s="1" t="s">
        <v>33</v>
      </c>
      <c r="C169" s="1" t="s">
        <v>156</v>
      </c>
      <c r="D169" s="2" t="str">
        <f t="shared" si="4"/>
        <v>2.1.3|000004</v>
      </c>
      <c r="E169" s="2" t="e">
        <f>INDEX(Planilha2!$D:$D,MATCH(D169,Planilha2!$D:$D,0),1)</f>
        <v>#N/A</v>
      </c>
      <c r="F169">
        <v>1</v>
      </c>
      <c r="G169" t="str">
        <f t="shared" si="5"/>
        <v>INSERT INTO ctb_filial_centro_custo (CENTRO_CUSTO,COD_FILIAL,PORCENTAGEM) VALUES ('2.1.3', '000004',100)</v>
      </c>
    </row>
    <row r="170" spans="1:7" x14ac:dyDescent="0.25">
      <c r="A170" s="1" t="s">
        <v>20</v>
      </c>
      <c r="B170" s="1" t="s">
        <v>55</v>
      </c>
      <c r="C170" s="1" t="s">
        <v>22</v>
      </c>
      <c r="D170" s="2" t="str">
        <f t="shared" si="4"/>
        <v>2.1.6|000092</v>
      </c>
      <c r="E170" s="2" t="e">
        <f>INDEX(Planilha2!$D:$D,MATCH(D170,Planilha2!$D:$D,0),1)</f>
        <v>#N/A</v>
      </c>
      <c r="F170">
        <v>167</v>
      </c>
      <c r="G170" t="str">
        <f t="shared" si="5"/>
        <v>INSERT INTO ctb_filial_centro_custo (CENTRO_CUSTO,COD_FILIAL,PORCENTAGEM) VALUES ('2.1.6', '000092',100)</v>
      </c>
    </row>
    <row r="171" spans="1:7" x14ac:dyDescent="0.25">
      <c r="A171" s="1" t="s">
        <v>163</v>
      </c>
      <c r="B171" s="1" t="s">
        <v>15</v>
      </c>
      <c r="C171" s="1" t="s">
        <v>6</v>
      </c>
      <c r="D171" s="2" t="str">
        <f t="shared" si="4"/>
        <v>3.1.5|000067</v>
      </c>
      <c r="E171" s="2" t="e">
        <f>INDEX(Planilha2!$D:$D,MATCH(D171,Planilha2!$D:$D,0),1)</f>
        <v>#N/A</v>
      </c>
      <c r="F171">
        <v>1</v>
      </c>
      <c r="G171" t="str">
        <f t="shared" si="5"/>
        <v>INSERT INTO ctb_filial_centro_custo (CENTRO_CUSTO,COD_FILIAL,PORCENTAGEM) VALUES ('3.1.5', '000067',100)</v>
      </c>
    </row>
    <row r="172" spans="1:7" x14ac:dyDescent="0.25">
      <c r="A172" s="1" t="s">
        <v>25</v>
      </c>
      <c r="B172" s="1" t="s">
        <v>64</v>
      </c>
      <c r="C172" s="1" t="s">
        <v>58</v>
      </c>
      <c r="D172" s="2" t="str">
        <f t="shared" si="4"/>
        <v>2.1.9|000045</v>
      </c>
      <c r="E172" s="2" t="e">
        <f>INDEX(Planilha2!$D:$D,MATCH(D172,Planilha2!$D:$D,0),1)</f>
        <v>#N/A</v>
      </c>
      <c r="F172">
        <v>3</v>
      </c>
      <c r="G172" t="str">
        <f t="shared" si="5"/>
        <v>INSERT INTO ctb_filial_centro_custo (CENTRO_CUSTO,COD_FILIAL,PORCENTAGEM) VALUES ('2.1.9', '000045',100)</v>
      </c>
    </row>
    <row r="173" spans="1:7" x14ac:dyDescent="0.25">
      <c r="A173" s="1" t="s">
        <v>96</v>
      </c>
      <c r="B173" s="1" t="s">
        <v>8</v>
      </c>
      <c r="C173" s="1" t="s">
        <v>167</v>
      </c>
      <c r="D173" s="2" t="str">
        <f t="shared" si="4"/>
        <v>003|000076</v>
      </c>
      <c r="E173" s="2" t="e">
        <f>INDEX(Planilha2!$D:$D,MATCH(D173,Planilha2!$D:$D,0),1)</f>
        <v>#N/A</v>
      </c>
      <c r="F173">
        <v>243</v>
      </c>
      <c r="G173" t="str">
        <f t="shared" si="5"/>
        <v>INSERT INTO ctb_filial_centro_custo (CENTRO_CUSTO,COD_FILIAL,PORCENTAGEM) VALUES ('003', '000076',100)</v>
      </c>
    </row>
    <row r="174" spans="1:7" x14ac:dyDescent="0.25">
      <c r="A174" s="1" t="s">
        <v>56</v>
      </c>
      <c r="B174" s="1" t="s">
        <v>8</v>
      </c>
      <c r="C174" s="1" t="s">
        <v>168</v>
      </c>
      <c r="D174" s="2" t="str">
        <f t="shared" si="4"/>
        <v>003|000003</v>
      </c>
      <c r="E174" s="2" t="e">
        <f>INDEX(Planilha2!$D:$D,MATCH(D174,Planilha2!$D:$D,0),1)</f>
        <v>#N/A</v>
      </c>
      <c r="F174">
        <v>266</v>
      </c>
      <c r="G174" t="str">
        <f t="shared" si="5"/>
        <v>INSERT INTO ctb_filial_centro_custo (CENTRO_CUSTO,COD_FILIAL,PORCENTAGEM) VALUES ('003', '000003',100)</v>
      </c>
    </row>
    <row r="175" spans="1:7" x14ac:dyDescent="0.25">
      <c r="A175" s="1" t="s">
        <v>29</v>
      </c>
      <c r="B175" s="1" t="s">
        <v>8</v>
      </c>
      <c r="C175" s="1" t="s">
        <v>169</v>
      </c>
      <c r="D175" s="2" t="str">
        <f t="shared" si="4"/>
        <v>003|000047</v>
      </c>
      <c r="E175" s="2" t="e">
        <f>INDEX(Planilha2!$D:$D,MATCH(D175,Planilha2!$D:$D,0),1)</f>
        <v>#N/A</v>
      </c>
      <c r="F175">
        <v>265</v>
      </c>
      <c r="G175" t="str">
        <f t="shared" si="5"/>
        <v>INSERT INTO ctb_filial_centro_custo (CENTRO_CUSTO,COD_FILIAL,PORCENTAGEM) VALUES ('003', '000047',100)</v>
      </c>
    </row>
    <row r="176" spans="1:7" x14ac:dyDescent="0.25">
      <c r="A176" s="1" t="s">
        <v>115</v>
      </c>
      <c r="B176" s="1" t="s">
        <v>15</v>
      </c>
      <c r="C176" s="1" t="s">
        <v>6</v>
      </c>
      <c r="D176" s="2" t="str">
        <f t="shared" si="4"/>
        <v>3.1.5|000067</v>
      </c>
      <c r="E176" s="2" t="e">
        <f>INDEX(Planilha2!$D:$D,MATCH(D176,Planilha2!$D:$D,0),1)</f>
        <v>#N/A</v>
      </c>
      <c r="F176">
        <v>7</v>
      </c>
      <c r="G176" t="str">
        <f t="shared" si="5"/>
        <v>INSERT INTO ctb_filial_centro_custo (CENTRO_CUSTO,COD_FILIAL,PORCENTAGEM) VALUES ('3.1.5', '000067',100)</v>
      </c>
    </row>
    <row r="177" spans="1:7" x14ac:dyDescent="0.25">
      <c r="A177" s="1" t="s">
        <v>170</v>
      </c>
      <c r="B177" s="1" t="s">
        <v>15</v>
      </c>
      <c r="C177" s="1" t="s">
        <v>171</v>
      </c>
      <c r="D177" s="2" t="str">
        <f t="shared" si="4"/>
        <v>3.1.5|000014</v>
      </c>
      <c r="E177" s="2" t="e">
        <f>INDEX(Planilha2!$D:$D,MATCH(D177,Planilha2!$D:$D,0),1)</f>
        <v>#N/A</v>
      </c>
      <c r="F177">
        <v>24686</v>
      </c>
      <c r="G177" t="str">
        <f t="shared" si="5"/>
        <v>INSERT INTO ctb_filial_centro_custo (CENTRO_CUSTO,COD_FILIAL,PORCENTAGEM) VALUES ('3.1.5', '000014',100)</v>
      </c>
    </row>
    <row r="178" spans="1:7" x14ac:dyDescent="0.25">
      <c r="A178" s="1" t="s">
        <v>73</v>
      </c>
      <c r="B178" s="1" t="s">
        <v>15</v>
      </c>
      <c r="C178" s="1" t="s">
        <v>172</v>
      </c>
      <c r="D178" s="2" t="str">
        <f t="shared" si="4"/>
        <v>3.1.5|000005</v>
      </c>
      <c r="E178" s="2" t="e">
        <f>INDEX(Planilha2!$D:$D,MATCH(D178,Planilha2!$D:$D,0),1)</f>
        <v>#N/A</v>
      </c>
      <c r="F178">
        <v>20277</v>
      </c>
      <c r="G178" t="str">
        <f t="shared" si="5"/>
        <v>INSERT INTO ctb_filial_centro_custo (CENTRO_CUSTO,COD_FILIAL,PORCENTAGEM) VALUES ('3.1.5', '000005',100)</v>
      </c>
    </row>
    <row r="179" spans="1:7" x14ac:dyDescent="0.25">
      <c r="A179" s="1" t="s">
        <v>4</v>
      </c>
      <c r="B179" s="1" t="s">
        <v>159</v>
      </c>
      <c r="C179" s="1" t="s">
        <v>6</v>
      </c>
      <c r="D179" s="2" t="str">
        <f t="shared" si="4"/>
        <v>2.1.1|000067</v>
      </c>
      <c r="E179" s="2" t="e">
        <f>INDEX(Planilha2!$D:$D,MATCH(D179,Planilha2!$D:$D,0),1)</f>
        <v>#N/A</v>
      </c>
      <c r="F179">
        <v>1</v>
      </c>
      <c r="G179" t="str">
        <f t="shared" si="5"/>
        <v>INSERT INTO ctb_filial_centro_custo (CENTRO_CUSTO,COD_FILIAL,PORCENTAGEM) VALUES ('2.1.1', '000067',100)</v>
      </c>
    </row>
    <row r="180" spans="1:7" x14ac:dyDescent="0.25">
      <c r="A180" s="1" t="s">
        <v>128</v>
      </c>
      <c r="B180" s="1" t="s">
        <v>8</v>
      </c>
      <c r="C180" s="1" t="s">
        <v>173</v>
      </c>
      <c r="D180" s="2" t="str">
        <f t="shared" si="4"/>
        <v>003|000028</v>
      </c>
      <c r="E180" s="2" t="e">
        <f>INDEX(Planilha2!$D:$D,MATCH(D180,Planilha2!$D:$D,0),1)</f>
        <v>#N/A</v>
      </c>
      <c r="F180">
        <v>151</v>
      </c>
      <c r="G180" t="str">
        <f t="shared" si="5"/>
        <v>INSERT INTO ctb_filial_centro_custo (CENTRO_CUSTO,COD_FILIAL,PORCENTAGEM) VALUES ('003', '000028',100)</v>
      </c>
    </row>
    <row r="181" spans="1:7" x14ac:dyDescent="0.25">
      <c r="A181" s="1" t="s">
        <v>4</v>
      </c>
      <c r="B181" s="1" t="s">
        <v>84</v>
      </c>
      <c r="C181" s="1" t="s">
        <v>174</v>
      </c>
      <c r="D181" s="2" t="str">
        <f t="shared" si="4"/>
        <v>2.1.8|000033</v>
      </c>
      <c r="E181" s="2" t="e">
        <f>INDEX(Planilha2!$D:$D,MATCH(D181,Planilha2!$D:$D,0),1)</f>
        <v>#N/A</v>
      </c>
      <c r="F181">
        <v>1</v>
      </c>
      <c r="G181" t="str">
        <f t="shared" si="5"/>
        <v>INSERT INTO ctb_filial_centro_custo (CENTRO_CUSTO,COD_FILIAL,PORCENTAGEM) VALUES ('2.1.8', '000033',100)</v>
      </c>
    </row>
    <row r="182" spans="1:7" x14ac:dyDescent="0.25">
      <c r="A182" s="1" t="s">
        <v>115</v>
      </c>
      <c r="B182" s="1" t="s">
        <v>15</v>
      </c>
      <c r="C182" s="1" t="s">
        <v>175</v>
      </c>
      <c r="D182" s="2" t="str">
        <f t="shared" si="4"/>
        <v>3.1.5|000074</v>
      </c>
      <c r="E182" s="2" t="e">
        <f>INDEX(Planilha2!$D:$D,MATCH(D182,Planilha2!$D:$D,0),1)</f>
        <v>#N/A</v>
      </c>
      <c r="F182">
        <v>24393</v>
      </c>
      <c r="G182" t="str">
        <f t="shared" si="5"/>
        <v>INSERT INTO ctb_filial_centro_custo (CENTRO_CUSTO,COD_FILIAL,PORCENTAGEM) VALUES ('3.1.5', '000074',100)</v>
      </c>
    </row>
    <row r="183" spans="1:7" x14ac:dyDescent="0.25">
      <c r="A183" s="1" t="s">
        <v>163</v>
      </c>
      <c r="B183" s="1" t="s">
        <v>8</v>
      </c>
      <c r="C183" s="1" t="s">
        <v>176</v>
      </c>
      <c r="D183" s="2" t="str">
        <f t="shared" si="4"/>
        <v>003|000023</v>
      </c>
      <c r="E183" s="2" t="e">
        <f>INDEX(Planilha2!$D:$D,MATCH(D183,Planilha2!$D:$D,0),1)</f>
        <v>#N/A</v>
      </c>
      <c r="F183">
        <v>228</v>
      </c>
      <c r="G183" t="str">
        <f t="shared" si="5"/>
        <v>INSERT INTO ctb_filial_centro_custo (CENTRO_CUSTO,COD_FILIAL,PORCENTAGEM) VALUES ('003', '000023',100)</v>
      </c>
    </row>
    <row r="184" spans="1:7" x14ac:dyDescent="0.25">
      <c r="A184" s="1" t="s">
        <v>20</v>
      </c>
      <c r="B184" s="1" t="s">
        <v>27</v>
      </c>
      <c r="C184" s="1" t="s">
        <v>40</v>
      </c>
      <c r="D184" s="2" t="str">
        <f t="shared" si="4"/>
        <v>2.1.4|000040</v>
      </c>
      <c r="E184" s="2" t="e">
        <f>INDEX(Planilha2!$D:$D,MATCH(D184,Planilha2!$D:$D,0),1)</f>
        <v>#N/A</v>
      </c>
      <c r="F184">
        <v>12</v>
      </c>
      <c r="G184" t="str">
        <f t="shared" si="5"/>
        <v>INSERT INTO ctb_filial_centro_custo (CENTRO_CUSTO,COD_FILIAL,PORCENTAGEM) VALUES ('2.1.4', '000040',100)</v>
      </c>
    </row>
    <row r="185" spans="1:7" x14ac:dyDescent="0.25">
      <c r="A185" s="1" t="s">
        <v>34</v>
      </c>
      <c r="B185" s="1" t="s">
        <v>15</v>
      </c>
      <c r="C185" s="1" t="s">
        <v>6</v>
      </c>
      <c r="D185" s="2" t="str">
        <f t="shared" si="4"/>
        <v>3.1.5|000067</v>
      </c>
      <c r="E185" s="2" t="e">
        <f>INDEX(Planilha2!$D:$D,MATCH(D185,Planilha2!$D:$D,0),1)</f>
        <v>#N/A</v>
      </c>
      <c r="F185">
        <v>1</v>
      </c>
      <c r="G185" t="str">
        <f t="shared" si="5"/>
        <v>INSERT INTO ctb_filial_centro_custo (CENTRO_CUSTO,COD_FILIAL,PORCENTAGEM) VALUES ('3.1.5', '000067',100)</v>
      </c>
    </row>
    <row r="186" spans="1:7" x14ac:dyDescent="0.25">
      <c r="A186" s="1" t="s">
        <v>60</v>
      </c>
      <c r="B186" s="1" t="s">
        <v>15</v>
      </c>
      <c r="C186" s="1" t="s">
        <v>177</v>
      </c>
      <c r="D186" s="2" t="str">
        <f t="shared" si="4"/>
        <v>3.1.5|000058</v>
      </c>
      <c r="E186" s="2" t="e">
        <f>INDEX(Planilha2!$D:$D,MATCH(D186,Planilha2!$D:$D,0),1)</f>
        <v>#N/A</v>
      </c>
      <c r="F186">
        <v>18699</v>
      </c>
      <c r="G186" t="str">
        <f t="shared" si="5"/>
        <v>INSERT INTO ctb_filial_centro_custo (CENTRO_CUSTO,COD_FILIAL,PORCENTAGEM) VALUES ('3.1.5', '000058',100)</v>
      </c>
    </row>
    <row r="187" spans="1:7" x14ac:dyDescent="0.25">
      <c r="A187" s="1" t="s">
        <v>20</v>
      </c>
      <c r="B187" s="1" t="s">
        <v>37</v>
      </c>
      <c r="C187" s="1" t="s">
        <v>178</v>
      </c>
      <c r="D187" s="2" t="str">
        <f t="shared" si="4"/>
        <v>003|000092</v>
      </c>
      <c r="E187" s="2" t="e">
        <f>INDEX(Planilha2!$D:$D,MATCH(D187,Planilha2!$D:$D,0),1)</f>
        <v>#N/A</v>
      </c>
      <c r="F187">
        <v>1</v>
      </c>
      <c r="G187" t="str">
        <f t="shared" si="5"/>
        <v>INSERT INTO ctb_filial_centro_custo (CENTRO_CUSTO,COD_FILIAL,PORCENTAGEM) VALUES ('003', '000092',100)</v>
      </c>
    </row>
    <row r="188" spans="1:7" x14ac:dyDescent="0.25">
      <c r="A188" s="1" t="s">
        <v>25</v>
      </c>
      <c r="B188" s="1" t="s">
        <v>27</v>
      </c>
      <c r="C188" s="1" t="s">
        <v>6</v>
      </c>
      <c r="D188" s="2" t="str">
        <f t="shared" si="4"/>
        <v>2.1.4|000067</v>
      </c>
      <c r="E188" s="2" t="e">
        <f>INDEX(Planilha2!$D:$D,MATCH(D188,Planilha2!$D:$D,0),1)</f>
        <v>#N/A</v>
      </c>
      <c r="F188">
        <v>4</v>
      </c>
      <c r="G188" t="str">
        <f t="shared" si="5"/>
        <v>INSERT INTO ctb_filial_centro_custo (CENTRO_CUSTO,COD_FILIAL,PORCENTAGEM) VALUES ('2.1.4', '000067',100)</v>
      </c>
    </row>
    <row r="189" spans="1:7" x14ac:dyDescent="0.25">
      <c r="A189" s="1" t="s">
        <v>138</v>
      </c>
      <c r="B189" s="1" t="s">
        <v>15</v>
      </c>
      <c r="C189" s="1" t="s">
        <v>179</v>
      </c>
      <c r="D189" s="2" t="str">
        <f t="shared" si="4"/>
        <v>3.1.5|000072</v>
      </c>
      <c r="E189" s="2" t="e">
        <f>INDEX(Planilha2!$D:$D,MATCH(D189,Planilha2!$D:$D,0),1)</f>
        <v>#N/A</v>
      </c>
      <c r="F189">
        <v>7287</v>
      </c>
      <c r="G189" t="str">
        <f t="shared" si="5"/>
        <v>INSERT INTO ctb_filial_centro_custo (CENTRO_CUSTO,COD_FILIAL,PORCENTAGEM) VALUES ('3.1.5', '000072',100)</v>
      </c>
    </row>
    <row r="190" spans="1:7" x14ac:dyDescent="0.25">
      <c r="A190" s="1" t="s">
        <v>102</v>
      </c>
      <c r="B190" s="1" t="s">
        <v>15</v>
      </c>
      <c r="C190" s="1" t="s">
        <v>180</v>
      </c>
      <c r="D190" s="2" t="str">
        <f t="shared" si="4"/>
        <v>3.1.5|000055</v>
      </c>
      <c r="E190" s="2" t="e">
        <f>INDEX(Planilha2!$D:$D,MATCH(D190,Planilha2!$D:$D,0),1)</f>
        <v>#N/A</v>
      </c>
      <c r="F190">
        <v>34904</v>
      </c>
      <c r="G190" t="str">
        <f t="shared" si="5"/>
        <v>INSERT INTO ctb_filial_centro_custo (CENTRO_CUSTO,COD_FILIAL,PORCENTAGEM) VALUES ('3.1.5', '000055',100)</v>
      </c>
    </row>
    <row r="191" spans="1:7" x14ac:dyDescent="0.25">
      <c r="A191" s="1" t="s">
        <v>74</v>
      </c>
      <c r="B191" s="1" t="s">
        <v>15</v>
      </c>
      <c r="C191" s="1" t="s">
        <v>181</v>
      </c>
      <c r="D191" s="2" t="str">
        <f t="shared" si="4"/>
        <v>3.1.5|000068</v>
      </c>
      <c r="E191" s="2" t="e">
        <f>INDEX(Planilha2!$D:$D,MATCH(D191,Planilha2!$D:$D,0),1)</f>
        <v>#N/A</v>
      </c>
      <c r="F191">
        <v>22470</v>
      </c>
      <c r="G191" t="str">
        <f t="shared" si="5"/>
        <v>INSERT INTO ctb_filial_centro_custo (CENTRO_CUSTO,COD_FILIAL,PORCENTAGEM) VALUES ('3.1.5', '000068',100)</v>
      </c>
    </row>
    <row r="192" spans="1:7" x14ac:dyDescent="0.25">
      <c r="A192" s="1" t="s">
        <v>4</v>
      </c>
      <c r="B192" s="1" t="s">
        <v>108</v>
      </c>
      <c r="C192" s="1" t="s">
        <v>6</v>
      </c>
      <c r="D192" s="2" t="str">
        <f t="shared" si="4"/>
        <v>2.1.7|000067</v>
      </c>
      <c r="E192" s="2" t="e">
        <f>INDEX(Planilha2!$D:$D,MATCH(D192,Planilha2!$D:$D,0),1)</f>
        <v>#N/A</v>
      </c>
      <c r="F192">
        <v>1</v>
      </c>
      <c r="G192" t="str">
        <f t="shared" si="5"/>
        <v>INSERT INTO ctb_filial_centro_custo (CENTRO_CUSTO,COD_FILIAL,PORCENTAGEM) VALUES ('2.1.7', '000067',100)</v>
      </c>
    </row>
    <row r="193" spans="1:7" x14ac:dyDescent="0.25">
      <c r="A193" s="1" t="s">
        <v>102</v>
      </c>
      <c r="B193" s="1" t="s">
        <v>182</v>
      </c>
      <c r="C193" s="1" t="s">
        <v>180</v>
      </c>
      <c r="D193" s="2" t="str">
        <f t="shared" si="4"/>
        <v>4.1.2|000055</v>
      </c>
      <c r="E193" s="2" t="e">
        <f>INDEX(Planilha2!$D:$D,MATCH(D193,Planilha2!$D:$D,0),1)</f>
        <v>#N/A</v>
      </c>
      <c r="F193">
        <v>1</v>
      </c>
      <c r="G193" t="str">
        <f t="shared" si="5"/>
        <v>INSERT INTO ctb_filial_centro_custo (CENTRO_CUSTO,COD_FILIAL,PORCENTAGEM) VALUES ('4.1.2', '000055',100)</v>
      </c>
    </row>
    <row r="194" spans="1:7" x14ac:dyDescent="0.25">
      <c r="A194" s="1" t="s">
        <v>28</v>
      </c>
      <c r="B194" s="1" t="s">
        <v>26</v>
      </c>
      <c r="C194" s="1" t="s">
        <v>6</v>
      </c>
      <c r="D194" s="2" t="str">
        <f t="shared" si="4"/>
        <v>2.1.5|000067</v>
      </c>
      <c r="E194" s="2" t="e">
        <f>INDEX(Planilha2!$D:$D,MATCH(D194,Planilha2!$D:$D,0),1)</f>
        <v>#N/A</v>
      </c>
      <c r="F194">
        <v>35</v>
      </c>
      <c r="G194" t="str">
        <f t="shared" si="5"/>
        <v>INSERT INTO ctb_filial_centro_custo (CENTRO_CUSTO,COD_FILIAL,PORCENTAGEM) VALUES ('2.1.5', '000067',100)</v>
      </c>
    </row>
    <row r="195" spans="1:7" x14ac:dyDescent="0.25">
      <c r="A195" s="1" t="s">
        <v>52</v>
      </c>
      <c r="B195" s="1" t="s">
        <v>8</v>
      </c>
      <c r="C195" s="1" t="s">
        <v>183</v>
      </c>
      <c r="D195" s="2" t="str">
        <f t="shared" ref="D195:D210" si="6">CONCATENATE(TRIM(B195),"|",TRIM(C195))</f>
        <v>003|000025</v>
      </c>
      <c r="E195" s="2" t="e">
        <f>INDEX(Planilha2!$D:$D,MATCH(D195,Planilha2!$D:$D,0),1)</f>
        <v>#N/A</v>
      </c>
      <c r="F195">
        <v>222</v>
      </c>
      <c r="G195" t="str">
        <f t="shared" ref="G195:G210" si="7">"INSERT INTO ctb_filial_centro_custo (CENTRO_CUSTO,COD_FILIAL,PORCENTAGEM) VALUES ('"&amp;TRIM(B195)&amp;"', '"&amp;TRIM(C195)&amp;"',100)"</f>
        <v>INSERT INTO ctb_filial_centro_custo (CENTRO_CUSTO,COD_FILIAL,PORCENTAGEM) VALUES ('003', '000025',100)</v>
      </c>
    </row>
    <row r="196" spans="1:7" x14ac:dyDescent="0.25">
      <c r="A196" s="1" t="s">
        <v>145</v>
      </c>
      <c r="B196" s="1" t="s">
        <v>15</v>
      </c>
      <c r="C196" s="1" t="s">
        <v>6</v>
      </c>
      <c r="D196" s="2" t="str">
        <f t="shared" si="6"/>
        <v>3.1.5|000067</v>
      </c>
      <c r="E196" s="2" t="e">
        <f>INDEX(Planilha2!$D:$D,MATCH(D196,Planilha2!$D:$D,0),1)</f>
        <v>#N/A</v>
      </c>
      <c r="F196">
        <v>1</v>
      </c>
      <c r="G196" t="str">
        <f t="shared" si="7"/>
        <v>INSERT INTO ctb_filial_centro_custo (CENTRO_CUSTO,COD_FILIAL,PORCENTAGEM) VALUES ('3.1.5', '000067',100)</v>
      </c>
    </row>
    <row r="197" spans="1:7" x14ac:dyDescent="0.25">
      <c r="A197" s="1" t="s">
        <v>77</v>
      </c>
      <c r="B197" s="1" t="s">
        <v>15</v>
      </c>
      <c r="C197" s="1" t="s">
        <v>184</v>
      </c>
      <c r="D197" s="2" t="str">
        <f t="shared" si="6"/>
        <v>3.1.5|000018</v>
      </c>
      <c r="E197" s="2" t="e">
        <f>INDEX(Planilha2!$D:$D,MATCH(D197,Planilha2!$D:$D,0),1)</f>
        <v>#N/A</v>
      </c>
      <c r="F197">
        <v>46372</v>
      </c>
      <c r="G197" t="str">
        <f t="shared" si="7"/>
        <v>INSERT INTO ctb_filial_centro_custo (CENTRO_CUSTO,COD_FILIAL,PORCENTAGEM) VALUES ('3.1.5', '000018',100)</v>
      </c>
    </row>
    <row r="198" spans="1:7" x14ac:dyDescent="0.25">
      <c r="A198" s="1" t="s">
        <v>29</v>
      </c>
      <c r="B198" s="1" t="s">
        <v>15</v>
      </c>
      <c r="C198" s="1" t="s">
        <v>185</v>
      </c>
      <c r="D198" s="2" t="str">
        <f t="shared" si="6"/>
        <v>3.1.5|000047</v>
      </c>
      <c r="E198" s="2" t="e">
        <f>INDEX(Planilha2!$D:$D,MATCH(D198,Planilha2!$D:$D,0),1)</f>
        <v>#N/A</v>
      </c>
      <c r="F198">
        <v>21861</v>
      </c>
      <c r="G198" t="str">
        <f t="shared" si="7"/>
        <v>INSERT INTO ctb_filial_centro_custo (CENTRO_CUSTO,COD_FILIAL,PORCENTAGEM) VALUES ('3.1.5', '000047',100)</v>
      </c>
    </row>
    <row r="199" spans="1:7" x14ac:dyDescent="0.25">
      <c r="A199" s="1" t="s">
        <v>157</v>
      </c>
      <c r="B199" s="1" t="s">
        <v>8</v>
      </c>
      <c r="C199" s="1" t="s">
        <v>186</v>
      </c>
      <c r="D199" s="2" t="str">
        <f t="shared" si="6"/>
        <v>003|000042</v>
      </c>
      <c r="E199" s="2" t="e">
        <f>INDEX(Planilha2!$D:$D,MATCH(D199,Planilha2!$D:$D,0),1)</f>
        <v>#N/A</v>
      </c>
      <c r="F199">
        <v>251</v>
      </c>
      <c r="G199" t="str">
        <f t="shared" si="7"/>
        <v>INSERT INTO ctb_filial_centro_custo (CENTRO_CUSTO,COD_FILIAL,PORCENTAGEM) VALUES ('003', '000042',100)</v>
      </c>
    </row>
    <row r="200" spans="1:7" x14ac:dyDescent="0.25">
      <c r="A200" s="1" t="s">
        <v>126</v>
      </c>
      <c r="B200" s="1" t="s">
        <v>15</v>
      </c>
      <c r="C200" s="1" t="s">
        <v>187</v>
      </c>
      <c r="D200" s="2" t="str">
        <f t="shared" si="6"/>
        <v>3.1.5|000026</v>
      </c>
      <c r="E200" s="2" t="e">
        <f>INDEX(Planilha2!$D:$D,MATCH(D200,Planilha2!$D:$D,0),1)</f>
        <v>#N/A</v>
      </c>
      <c r="F200">
        <v>28507</v>
      </c>
      <c r="G200" t="str">
        <f t="shared" si="7"/>
        <v>INSERT INTO ctb_filial_centro_custo (CENTRO_CUSTO,COD_FILIAL,PORCENTAGEM) VALUES ('3.1.5', '000026',100)</v>
      </c>
    </row>
    <row r="201" spans="1:7" x14ac:dyDescent="0.25">
      <c r="A201" s="1" t="s">
        <v>14</v>
      </c>
      <c r="B201" s="1" t="s">
        <v>15</v>
      </c>
      <c r="C201" s="1" t="s">
        <v>188</v>
      </c>
      <c r="D201" s="2" t="str">
        <f t="shared" si="6"/>
        <v>3.1.5|000012</v>
      </c>
      <c r="E201" s="2" t="e">
        <f>INDEX(Planilha2!$D:$D,MATCH(D201,Planilha2!$D:$D,0),1)</f>
        <v>#N/A</v>
      </c>
      <c r="F201">
        <v>36780</v>
      </c>
      <c r="G201" t="str">
        <f t="shared" si="7"/>
        <v>INSERT INTO ctb_filial_centro_custo (CENTRO_CUSTO,COD_FILIAL,PORCENTAGEM) VALUES ('3.1.5', '000012',100)</v>
      </c>
    </row>
    <row r="202" spans="1:7" x14ac:dyDescent="0.25">
      <c r="A202" s="1" t="s">
        <v>152</v>
      </c>
      <c r="B202" s="1" t="s">
        <v>15</v>
      </c>
      <c r="C202" s="1" t="s">
        <v>189</v>
      </c>
      <c r="D202" s="2" t="str">
        <f t="shared" si="6"/>
        <v>3.1.5|000030</v>
      </c>
      <c r="E202" s="2" t="e">
        <f>INDEX(Planilha2!$D:$D,MATCH(D202,Planilha2!$D:$D,0),1)</f>
        <v>#N/A</v>
      </c>
      <c r="F202">
        <v>17816</v>
      </c>
      <c r="G202" t="str">
        <f t="shared" si="7"/>
        <v>INSERT INTO ctb_filial_centro_custo (CENTRO_CUSTO,COD_FILIAL,PORCENTAGEM) VALUES ('3.1.5', '000030',100)</v>
      </c>
    </row>
    <row r="203" spans="1:7" x14ac:dyDescent="0.25">
      <c r="A203" s="1" t="s">
        <v>20</v>
      </c>
      <c r="B203" s="1" t="s">
        <v>33</v>
      </c>
      <c r="C203" s="1" t="s">
        <v>22</v>
      </c>
      <c r="D203" s="2" t="str">
        <f t="shared" si="6"/>
        <v>2.1.3|000092</v>
      </c>
      <c r="E203" s="2" t="e">
        <f>INDEX(Planilha2!$D:$D,MATCH(D203,Planilha2!$D:$D,0),1)</f>
        <v>#N/A</v>
      </c>
      <c r="F203">
        <v>2060</v>
      </c>
      <c r="G203" t="str">
        <f t="shared" si="7"/>
        <v>INSERT INTO ctb_filial_centro_custo (CENTRO_CUSTO,COD_FILIAL,PORCENTAGEM) VALUES ('2.1.3', '000092',100)</v>
      </c>
    </row>
    <row r="204" spans="1:7" x14ac:dyDescent="0.25">
      <c r="A204" s="1" t="s">
        <v>39</v>
      </c>
      <c r="B204" s="1" t="s">
        <v>26</v>
      </c>
      <c r="C204" s="1" t="s">
        <v>40</v>
      </c>
      <c r="D204" s="2" t="str">
        <f t="shared" si="6"/>
        <v>2.1.5|000040</v>
      </c>
      <c r="E204" s="2" t="e">
        <f>INDEX(Planilha2!$D:$D,MATCH(D204,Planilha2!$D:$D,0),1)</f>
        <v>#N/A</v>
      </c>
      <c r="F204">
        <v>8</v>
      </c>
      <c r="G204" t="str">
        <f t="shared" si="7"/>
        <v>INSERT INTO ctb_filial_centro_custo (CENTRO_CUSTO,COD_FILIAL,PORCENTAGEM) VALUES ('2.1.5', '000040',100)</v>
      </c>
    </row>
    <row r="205" spans="1:7" x14ac:dyDescent="0.25">
      <c r="A205" s="1" t="s">
        <v>18</v>
      </c>
      <c r="B205" s="1" t="s">
        <v>8</v>
      </c>
      <c r="C205" s="1" t="s">
        <v>190</v>
      </c>
      <c r="D205" s="2" t="str">
        <f t="shared" si="6"/>
        <v>003|000008</v>
      </c>
      <c r="E205" s="2" t="e">
        <f>INDEX(Planilha2!$D:$D,MATCH(D205,Planilha2!$D:$D,0),1)</f>
        <v>#N/A</v>
      </c>
      <c r="F205">
        <v>279</v>
      </c>
      <c r="G205" t="str">
        <f t="shared" si="7"/>
        <v>INSERT INTO ctb_filial_centro_custo (CENTRO_CUSTO,COD_FILIAL,PORCENTAGEM) VALUES ('003', '000008',100)</v>
      </c>
    </row>
    <row r="206" spans="1:7" x14ac:dyDescent="0.25">
      <c r="A206" s="1" t="s">
        <v>30</v>
      </c>
      <c r="B206" s="1" t="s">
        <v>37</v>
      </c>
      <c r="C206" s="1" t="s">
        <v>191</v>
      </c>
      <c r="D206" s="2" t="str">
        <f t="shared" si="6"/>
        <v>003|000010</v>
      </c>
      <c r="E206" s="2" t="e">
        <f>INDEX(Planilha2!$D:$D,MATCH(D206,Planilha2!$D:$D,0),1)</f>
        <v>#N/A</v>
      </c>
      <c r="F206">
        <v>250</v>
      </c>
      <c r="G206" t="str">
        <f t="shared" si="7"/>
        <v>INSERT INTO ctb_filial_centro_custo (CENTRO_CUSTO,COD_FILIAL,PORCENTAGEM) VALUES ('003', '000010',100)</v>
      </c>
    </row>
    <row r="207" spans="1:7" x14ac:dyDescent="0.25">
      <c r="A207" s="1" t="s">
        <v>170</v>
      </c>
      <c r="B207" s="1" t="s">
        <v>8</v>
      </c>
      <c r="C207" s="1" t="s">
        <v>192</v>
      </c>
      <c r="D207" s="2" t="str">
        <f t="shared" si="6"/>
        <v>003|000014</v>
      </c>
      <c r="E207" s="2" t="e">
        <f>INDEX(Planilha2!$D:$D,MATCH(D207,Planilha2!$D:$D,0),1)</f>
        <v>#N/A</v>
      </c>
      <c r="F207">
        <v>188</v>
      </c>
      <c r="G207" t="str">
        <f t="shared" si="7"/>
        <v>INSERT INTO ctb_filial_centro_custo (CENTRO_CUSTO,COD_FILIAL,PORCENTAGEM) VALUES ('003', '000014',100)</v>
      </c>
    </row>
    <row r="208" spans="1:7" x14ac:dyDescent="0.25">
      <c r="A208" s="1" t="s">
        <v>31</v>
      </c>
      <c r="B208" s="1" t="s">
        <v>15</v>
      </c>
      <c r="C208" s="1" t="s">
        <v>193</v>
      </c>
      <c r="D208" s="2" t="str">
        <f t="shared" si="6"/>
        <v>3.1.5|000057</v>
      </c>
      <c r="E208" s="2" t="e">
        <f>INDEX(Planilha2!$D:$D,MATCH(D208,Planilha2!$D:$D,0),1)</f>
        <v>#N/A</v>
      </c>
      <c r="F208">
        <v>31423</v>
      </c>
      <c r="G208" t="str">
        <f t="shared" si="7"/>
        <v>INSERT INTO ctb_filial_centro_custo (CENTRO_CUSTO,COD_FILIAL,PORCENTAGEM) VALUES ('3.1.5', '000057',100)</v>
      </c>
    </row>
    <row r="209" spans="1:7" x14ac:dyDescent="0.25">
      <c r="A209" s="1" t="s">
        <v>98</v>
      </c>
      <c r="B209" s="1" t="s">
        <v>15</v>
      </c>
      <c r="C209" s="1" t="s">
        <v>6</v>
      </c>
      <c r="D209" s="2" t="str">
        <f t="shared" si="6"/>
        <v>3.1.5|000067</v>
      </c>
      <c r="E209" s="2" t="e">
        <f>INDEX(Planilha2!$D:$D,MATCH(D209,Planilha2!$D:$D,0),1)</f>
        <v>#N/A</v>
      </c>
      <c r="F209">
        <v>1</v>
      </c>
      <c r="G209" t="str">
        <f t="shared" si="7"/>
        <v>INSERT INTO ctb_filial_centro_custo (CENTRO_CUSTO,COD_FILIAL,PORCENTAGEM) VALUES ('3.1.5', '000067',100)</v>
      </c>
    </row>
    <row r="210" spans="1:7" x14ac:dyDescent="0.25">
      <c r="A210" s="1" t="s">
        <v>106</v>
      </c>
      <c r="B210" s="1" t="s">
        <v>8</v>
      </c>
      <c r="C210" s="1" t="s">
        <v>194</v>
      </c>
      <c r="D210" s="2" t="str">
        <f t="shared" si="6"/>
        <v>003|000065</v>
      </c>
      <c r="E210" s="2" t="e">
        <f>INDEX(Planilha2!$D:$D,MATCH(D210,Planilha2!$D:$D,0),1)</f>
        <v>#N/A</v>
      </c>
      <c r="F210">
        <v>145</v>
      </c>
      <c r="G210" t="str">
        <f t="shared" si="7"/>
        <v>INSERT INTO ctb_filial_centro_custo (CENTRO_CUSTO,COD_FILIAL,PORCENTAGEM) VALUES ('003', '000065',100)</v>
      </c>
    </row>
  </sheetData>
  <autoFilter ref="A1:G210">
    <filterColumn colId="4">
      <filters>
        <filter val="#N/D"/>
      </filters>
    </filterColumn>
  </autoFilter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Views>
    <sheetView workbookViewId="0">
      <selection activeCell="E2" sqref="E2"/>
    </sheetView>
  </sheetViews>
  <sheetFormatPr defaultRowHeight="15" x14ac:dyDescent="0.25"/>
  <cols>
    <col min="1" max="1" width="15.140625" style="1" bestFit="1" customWidth="1"/>
    <col min="2" max="2" width="11" style="1" bestFit="1" customWidth="1"/>
    <col min="3" max="3" width="14.7109375" style="1" bestFit="1" customWidth="1"/>
    <col min="4" max="4" width="11" bestFit="1" customWidth="1"/>
  </cols>
  <sheetData>
    <row r="1" spans="1:4" x14ac:dyDescent="0.25">
      <c r="A1" s="1" t="s">
        <v>196</v>
      </c>
      <c r="B1" s="1" t="s">
        <v>197</v>
      </c>
      <c r="C1" s="1" t="s">
        <v>198</v>
      </c>
      <c r="D1" s="1" t="s">
        <v>231</v>
      </c>
    </row>
    <row r="2" spans="1:4" x14ac:dyDescent="0.25">
      <c r="A2" s="1" t="s">
        <v>199</v>
      </c>
      <c r="B2" s="1" t="s">
        <v>200</v>
      </c>
      <c r="C2" s="1" t="s">
        <v>201</v>
      </c>
      <c r="D2" t="str">
        <f>CONCATENATE(TRIM(A2),"|",TRIM(B2))</f>
        <v>002|000002</v>
      </c>
    </row>
    <row r="3" spans="1:4" x14ac:dyDescent="0.25">
      <c r="A3" s="1" t="s">
        <v>202</v>
      </c>
      <c r="B3" s="1" t="s">
        <v>200</v>
      </c>
      <c r="C3" s="1" t="s">
        <v>201</v>
      </c>
      <c r="D3" t="str">
        <f t="shared" ref="D3:D66" si="0">CONCATENATE(TRIM(A3),"|",TRIM(B3))</f>
        <v>009|000002</v>
      </c>
    </row>
    <row r="4" spans="1:4" x14ac:dyDescent="0.25">
      <c r="A4" s="1" t="s">
        <v>203</v>
      </c>
      <c r="B4" s="1" t="s">
        <v>200</v>
      </c>
      <c r="C4" s="1" t="s">
        <v>201</v>
      </c>
      <c r="D4" t="str">
        <f t="shared" si="0"/>
        <v>011|000002</v>
      </c>
    </row>
    <row r="5" spans="1:4" x14ac:dyDescent="0.25">
      <c r="A5" s="1" t="s">
        <v>204</v>
      </c>
      <c r="B5" s="1" t="s">
        <v>200</v>
      </c>
      <c r="C5" s="1" t="s">
        <v>201</v>
      </c>
      <c r="D5" t="str">
        <f t="shared" si="0"/>
        <v>012|000002</v>
      </c>
    </row>
    <row r="6" spans="1:4" x14ac:dyDescent="0.25">
      <c r="A6" s="1" t="s">
        <v>199</v>
      </c>
      <c r="B6" s="1" t="s">
        <v>168</v>
      </c>
      <c r="C6" s="1" t="s">
        <v>201</v>
      </c>
      <c r="D6" t="str">
        <f t="shared" si="0"/>
        <v>002|000003</v>
      </c>
    </row>
    <row r="7" spans="1:4" x14ac:dyDescent="0.25">
      <c r="A7" s="1" t="s">
        <v>202</v>
      </c>
      <c r="B7" s="1" t="s">
        <v>168</v>
      </c>
      <c r="C7" s="1" t="s">
        <v>201</v>
      </c>
      <c r="D7" t="str">
        <f t="shared" si="0"/>
        <v>009|000003</v>
      </c>
    </row>
    <row r="8" spans="1:4" x14ac:dyDescent="0.25">
      <c r="A8" s="1" t="s">
        <v>203</v>
      </c>
      <c r="B8" s="1" t="s">
        <v>168</v>
      </c>
      <c r="C8" s="1" t="s">
        <v>201</v>
      </c>
      <c r="D8" t="str">
        <f t="shared" si="0"/>
        <v>011|000003</v>
      </c>
    </row>
    <row r="9" spans="1:4" x14ac:dyDescent="0.25">
      <c r="A9" s="1" t="s">
        <v>204</v>
      </c>
      <c r="B9" s="1" t="s">
        <v>168</v>
      </c>
      <c r="C9" s="1" t="s">
        <v>201</v>
      </c>
      <c r="D9" t="str">
        <f t="shared" si="0"/>
        <v>012|000003</v>
      </c>
    </row>
    <row r="10" spans="1:4" x14ac:dyDescent="0.25">
      <c r="A10" s="1" t="s">
        <v>199</v>
      </c>
      <c r="B10" s="1" t="s">
        <v>124</v>
      </c>
      <c r="C10" s="1" t="s">
        <v>201</v>
      </c>
      <c r="D10" t="str">
        <f t="shared" si="0"/>
        <v>002|000004</v>
      </c>
    </row>
    <row r="11" spans="1:4" x14ac:dyDescent="0.25">
      <c r="A11" s="1" t="s">
        <v>202</v>
      </c>
      <c r="B11" s="1" t="s">
        <v>124</v>
      </c>
      <c r="C11" s="1" t="s">
        <v>201</v>
      </c>
      <c r="D11" t="str">
        <f t="shared" si="0"/>
        <v>009|000004</v>
      </c>
    </row>
    <row r="12" spans="1:4" x14ac:dyDescent="0.25">
      <c r="A12" s="1" t="s">
        <v>203</v>
      </c>
      <c r="B12" s="1" t="s">
        <v>124</v>
      </c>
      <c r="C12" s="1" t="s">
        <v>201</v>
      </c>
      <c r="D12" t="str">
        <f t="shared" si="0"/>
        <v>011|000004</v>
      </c>
    </row>
    <row r="13" spans="1:4" x14ac:dyDescent="0.25">
      <c r="A13" s="1" t="s">
        <v>204</v>
      </c>
      <c r="B13" s="1" t="s">
        <v>124</v>
      </c>
      <c r="C13" s="1" t="s">
        <v>201</v>
      </c>
      <c r="D13" t="str">
        <f t="shared" si="0"/>
        <v>012|000004</v>
      </c>
    </row>
    <row r="14" spans="1:4" x14ac:dyDescent="0.25">
      <c r="A14" s="1" t="s">
        <v>199</v>
      </c>
      <c r="B14" s="1" t="s">
        <v>109</v>
      </c>
      <c r="C14" s="1" t="s">
        <v>201</v>
      </c>
      <c r="D14" t="str">
        <f t="shared" si="0"/>
        <v>002|000005</v>
      </c>
    </row>
    <row r="15" spans="1:4" x14ac:dyDescent="0.25">
      <c r="A15" s="1" t="s">
        <v>202</v>
      </c>
      <c r="B15" s="1" t="s">
        <v>109</v>
      </c>
      <c r="C15" s="1" t="s">
        <v>201</v>
      </c>
      <c r="D15" t="str">
        <f t="shared" si="0"/>
        <v>009|000005</v>
      </c>
    </row>
    <row r="16" spans="1:4" x14ac:dyDescent="0.25">
      <c r="A16" s="1" t="s">
        <v>203</v>
      </c>
      <c r="B16" s="1" t="s">
        <v>109</v>
      </c>
      <c r="C16" s="1" t="s">
        <v>201</v>
      </c>
      <c r="D16" t="str">
        <f t="shared" si="0"/>
        <v>011|000005</v>
      </c>
    </row>
    <row r="17" spans="1:4" x14ac:dyDescent="0.25">
      <c r="A17" s="1" t="s">
        <v>204</v>
      </c>
      <c r="B17" s="1" t="s">
        <v>109</v>
      </c>
      <c r="C17" s="1" t="s">
        <v>201</v>
      </c>
      <c r="D17" t="str">
        <f t="shared" si="0"/>
        <v>012|000005</v>
      </c>
    </row>
    <row r="18" spans="1:4" x14ac:dyDescent="0.25">
      <c r="A18" s="1" t="s">
        <v>199</v>
      </c>
      <c r="B18" s="1" t="s">
        <v>95</v>
      </c>
      <c r="C18" s="1" t="s">
        <v>201</v>
      </c>
      <c r="D18" t="str">
        <f t="shared" si="0"/>
        <v>002|000006</v>
      </c>
    </row>
    <row r="19" spans="1:4" x14ac:dyDescent="0.25">
      <c r="A19" s="1" t="s">
        <v>202</v>
      </c>
      <c r="B19" s="1" t="s">
        <v>95</v>
      </c>
      <c r="C19" s="1" t="s">
        <v>201</v>
      </c>
      <c r="D19" t="str">
        <f t="shared" si="0"/>
        <v>009|000006</v>
      </c>
    </row>
    <row r="20" spans="1:4" x14ac:dyDescent="0.25">
      <c r="A20" s="1" t="s">
        <v>203</v>
      </c>
      <c r="B20" s="1" t="s">
        <v>95</v>
      </c>
      <c r="C20" s="1" t="s">
        <v>201</v>
      </c>
      <c r="D20" t="str">
        <f t="shared" si="0"/>
        <v>011|000006</v>
      </c>
    </row>
    <row r="21" spans="1:4" x14ac:dyDescent="0.25">
      <c r="A21" s="1" t="s">
        <v>204</v>
      </c>
      <c r="B21" s="1" t="s">
        <v>95</v>
      </c>
      <c r="C21" s="1" t="s">
        <v>201</v>
      </c>
      <c r="D21" t="str">
        <f t="shared" si="0"/>
        <v>012|000006</v>
      </c>
    </row>
    <row r="22" spans="1:4" x14ac:dyDescent="0.25">
      <c r="A22" s="1" t="s">
        <v>199</v>
      </c>
      <c r="B22" s="1" t="s">
        <v>149</v>
      </c>
      <c r="C22" s="1" t="s">
        <v>201</v>
      </c>
      <c r="D22" t="str">
        <f t="shared" si="0"/>
        <v>002|000007</v>
      </c>
    </row>
    <row r="23" spans="1:4" x14ac:dyDescent="0.25">
      <c r="A23" s="1" t="s">
        <v>202</v>
      </c>
      <c r="B23" s="1" t="s">
        <v>149</v>
      </c>
      <c r="C23" s="1" t="s">
        <v>201</v>
      </c>
      <c r="D23" t="str">
        <f t="shared" si="0"/>
        <v>009|000007</v>
      </c>
    </row>
    <row r="24" spans="1:4" x14ac:dyDescent="0.25">
      <c r="A24" s="1" t="s">
        <v>203</v>
      </c>
      <c r="B24" s="1" t="s">
        <v>149</v>
      </c>
      <c r="C24" s="1" t="s">
        <v>201</v>
      </c>
      <c r="D24" t="str">
        <f t="shared" si="0"/>
        <v>011|000007</v>
      </c>
    </row>
    <row r="25" spans="1:4" x14ac:dyDescent="0.25">
      <c r="A25" s="1" t="s">
        <v>204</v>
      </c>
      <c r="B25" s="1" t="s">
        <v>149</v>
      </c>
      <c r="C25" s="1" t="s">
        <v>201</v>
      </c>
      <c r="D25" t="str">
        <f t="shared" si="0"/>
        <v>012|000007</v>
      </c>
    </row>
    <row r="26" spans="1:4" x14ac:dyDescent="0.25">
      <c r="A26" s="1" t="s">
        <v>199</v>
      </c>
      <c r="B26" s="1" t="s">
        <v>190</v>
      </c>
      <c r="C26" s="1" t="s">
        <v>201</v>
      </c>
      <c r="D26" t="str">
        <f t="shared" si="0"/>
        <v>002|000008</v>
      </c>
    </row>
    <row r="27" spans="1:4" x14ac:dyDescent="0.25">
      <c r="A27" s="1" t="s">
        <v>202</v>
      </c>
      <c r="B27" s="1" t="s">
        <v>190</v>
      </c>
      <c r="C27" s="1" t="s">
        <v>201</v>
      </c>
      <c r="D27" t="str">
        <f t="shared" si="0"/>
        <v>009|000008</v>
      </c>
    </row>
    <row r="28" spans="1:4" x14ac:dyDescent="0.25">
      <c r="A28" s="1" t="s">
        <v>203</v>
      </c>
      <c r="B28" s="1" t="s">
        <v>190</v>
      </c>
      <c r="C28" s="1" t="s">
        <v>201</v>
      </c>
      <c r="D28" t="str">
        <f t="shared" si="0"/>
        <v>011|000008</v>
      </c>
    </row>
    <row r="29" spans="1:4" x14ac:dyDescent="0.25">
      <c r="A29" s="1" t="s">
        <v>204</v>
      </c>
      <c r="B29" s="1" t="s">
        <v>190</v>
      </c>
      <c r="C29" s="1" t="s">
        <v>201</v>
      </c>
      <c r="D29" t="str">
        <f t="shared" si="0"/>
        <v>012|000008</v>
      </c>
    </row>
    <row r="30" spans="1:4" x14ac:dyDescent="0.25">
      <c r="A30" s="1" t="s">
        <v>199</v>
      </c>
      <c r="B30" s="1" t="s">
        <v>113</v>
      </c>
      <c r="C30" s="1" t="s">
        <v>201</v>
      </c>
      <c r="D30" t="str">
        <f t="shared" si="0"/>
        <v>002|000009</v>
      </c>
    </row>
    <row r="31" spans="1:4" x14ac:dyDescent="0.25">
      <c r="A31" s="1" t="s">
        <v>202</v>
      </c>
      <c r="B31" s="1" t="s">
        <v>113</v>
      </c>
      <c r="C31" s="1" t="s">
        <v>201</v>
      </c>
      <c r="D31" t="str">
        <f t="shared" si="0"/>
        <v>009|000009</v>
      </c>
    </row>
    <row r="32" spans="1:4" x14ac:dyDescent="0.25">
      <c r="A32" s="1" t="s">
        <v>203</v>
      </c>
      <c r="B32" s="1" t="s">
        <v>113</v>
      </c>
      <c r="C32" s="1" t="s">
        <v>201</v>
      </c>
      <c r="D32" t="str">
        <f t="shared" si="0"/>
        <v>011|000009</v>
      </c>
    </row>
    <row r="33" spans="1:4" x14ac:dyDescent="0.25">
      <c r="A33" s="1" t="s">
        <v>204</v>
      </c>
      <c r="B33" s="1" t="s">
        <v>113</v>
      </c>
      <c r="C33" s="1" t="s">
        <v>201</v>
      </c>
      <c r="D33" t="str">
        <f t="shared" si="0"/>
        <v>012|000009</v>
      </c>
    </row>
    <row r="34" spans="1:4" x14ac:dyDescent="0.25">
      <c r="A34" s="1" t="s">
        <v>199</v>
      </c>
      <c r="B34" s="1" t="s">
        <v>191</v>
      </c>
      <c r="C34" s="1" t="s">
        <v>201</v>
      </c>
      <c r="D34" t="str">
        <f t="shared" si="0"/>
        <v>002|000010</v>
      </c>
    </row>
    <row r="35" spans="1:4" x14ac:dyDescent="0.25">
      <c r="A35" s="1" t="s">
        <v>202</v>
      </c>
      <c r="B35" s="1" t="s">
        <v>191</v>
      </c>
      <c r="C35" s="1" t="s">
        <v>201</v>
      </c>
      <c r="D35" t="str">
        <f t="shared" si="0"/>
        <v>009|000010</v>
      </c>
    </row>
    <row r="36" spans="1:4" x14ac:dyDescent="0.25">
      <c r="A36" s="1" t="s">
        <v>203</v>
      </c>
      <c r="B36" s="1" t="s">
        <v>191</v>
      </c>
      <c r="C36" s="1" t="s">
        <v>201</v>
      </c>
      <c r="D36" t="str">
        <f t="shared" si="0"/>
        <v>011|000010</v>
      </c>
    </row>
    <row r="37" spans="1:4" x14ac:dyDescent="0.25">
      <c r="A37" s="1" t="s">
        <v>204</v>
      </c>
      <c r="B37" s="1" t="s">
        <v>191</v>
      </c>
      <c r="C37" s="1" t="s">
        <v>201</v>
      </c>
      <c r="D37" t="str">
        <f t="shared" si="0"/>
        <v>012|000010</v>
      </c>
    </row>
    <row r="38" spans="1:4" x14ac:dyDescent="0.25">
      <c r="A38" s="1" t="s">
        <v>199</v>
      </c>
      <c r="B38" s="1" t="s">
        <v>123</v>
      </c>
      <c r="C38" s="1" t="s">
        <v>201</v>
      </c>
      <c r="D38" t="str">
        <f t="shared" si="0"/>
        <v>002|000011</v>
      </c>
    </row>
    <row r="39" spans="1:4" x14ac:dyDescent="0.25">
      <c r="A39" s="1" t="s">
        <v>202</v>
      </c>
      <c r="B39" s="1" t="s">
        <v>123</v>
      </c>
      <c r="C39" s="1" t="s">
        <v>201</v>
      </c>
      <c r="D39" t="str">
        <f t="shared" si="0"/>
        <v>009|000011</v>
      </c>
    </row>
    <row r="40" spans="1:4" x14ac:dyDescent="0.25">
      <c r="A40" s="1" t="s">
        <v>203</v>
      </c>
      <c r="B40" s="1" t="s">
        <v>123</v>
      </c>
      <c r="C40" s="1" t="s">
        <v>201</v>
      </c>
      <c r="D40" t="str">
        <f t="shared" si="0"/>
        <v>011|000011</v>
      </c>
    </row>
    <row r="41" spans="1:4" x14ac:dyDescent="0.25">
      <c r="A41" s="1" t="s">
        <v>204</v>
      </c>
      <c r="B41" s="1" t="s">
        <v>123</v>
      </c>
      <c r="C41" s="1" t="s">
        <v>201</v>
      </c>
      <c r="D41" t="str">
        <f t="shared" si="0"/>
        <v>012|000011</v>
      </c>
    </row>
    <row r="42" spans="1:4" x14ac:dyDescent="0.25">
      <c r="A42" s="1" t="s">
        <v>199</v>
      </c>
      <c r="B42" s="1" t="s">
        <v>114</v>
      </c>
      <c r="C42" s="1" t="s">
        <v>201</v>
      </c>
      <c r="D42" t="str">
        <f t="shared" si="0"/>
        <v>002|000012</v>
      </c>
    </row>
    <row r="43" spans="1:4" x14ac:dyDescent="0.25">
      <c r="A43" s="1" t="s">
        <v>202</v>
      </c>
      <c r="B43" s="1" t="s">
        <v>114</v>
      </c>
      <c r="C43" s="1" t="s">
        <v>201</v>
      </c>
      <c r="D43" t="str">
        <f t="shared" si="0"/>
        <v>009|000012</v>
      </c>
    </row>
    <row r="44" spans="1:4" x14ac:dyDescent="0.25">
      <c r="A44" s="1" t="s">
        <v>203</v>
      </c>
      <c r="B44" s="1" t="s">
        <v>114</v>
      </c>
      <c r="C44" s="1" t="s">
        <v>201</v>
      </c>
      <c r="D44" t="str">
        <f t="shared" si="0"/>
        <v>011|000012</v>
      </c>
    </row>
    <row r="45" spans="1:4" x14ac:dyDescent="0.25">
      <c r="A45" s="1" t="s">
        <v>204</v>
      </c>
      <c r="B45" s="1" t="s">
        <v>114</v>
      </c>
      <c r="C45" s="1" t="s">
        <v>201</v>
      </c>
      <c r="D45" t="str">
        <f t="shared" si="0"/>
        <v>012|000012</v>
      </c>
    </row>
    <row r="46" spans="1:4" x14ac:dyDescent="0.25">
      <c r="A46" s="1" t="s">
        <v>199</v>
      </c>
      <c r="B46" s="1" t="s">
        <v>205</v>
      </c>
      <c r="C46" s="1" t="s">
        <v>201</v>
      </c>
      <c r="D46" t="str">
        <f t="shared" si="0"/>
        <v>002|000013</v>
      </c>
    </row>
    <row r="47" spans="1:4" x14ac:dyDescent="0.25">
      <c r="A47" s="1" t="s">
        <v>202</v>
      </c>
      <c r="B47" s="1" t="s">
        <v>205</v>
      </c>
      <c r="C47" s="1" t="s">
        <v>201</v>
      </c>
      <c r="D47" t="str">
        <f t="shared" si="0"/>
        <v>009|000013</v>
      </c>
    </row>
    <row r="48" spans="1:4" x14ac:dyDescent="0.25">
      <c r="A48" s="1" t="s">
        <v>203</v>
      </c>
      <c r="B48" s="1" t="s">
        <v>205</v>
      </c>
      <c r="C48" s="1" t="s">
        <v>201</v>
      </c>
      <c r="D48" t="str">
        <f t="shared" si="0"/>
        <v>011|000013</v>
      </c>
    </row>
    <row r="49" spans="1:4" x14ac:dyDescent="0.25">
      <c r="A49" s="1" t="s">
        <v>204</v>
      </c>
      <c r="B49" s="1" t="s">
        <v>205</v>
      </c>
      <c r="C49" s="1" t="s">
        <v>201</v>
      </c>
      <c r="D49" t="str">
        <f t="shared" si="0"/>
        <v>012|000013</v>
      </c>
    </row>
    <row r="50" spans="1:4" x14ac:dyDescent="0.25">
      <c r="A50" s="1" t="s">
        <v>199</v>
      </c>
      <c r="B50" s="1" t="s">
        <v>192</v>
      </c>
      <c r="C50" s="1" t="s">
        <v>201</v>
      </c>
      <c r="D50" t="str">
        <f t="shared" si="0"/>
        <v>002|000014</v>
      </c>
    </row>
    <row r="51" spans="1:4" x14ac:dyDescent="0.25">
      <c r="A51" s="1" t="s">
        <v>202</v>
      </c>
      <c r="B51" s="1" t="s">
        <v>192</v>
      </c>
      <c r="C51" s="1" t="s">
        <v>201</v>
      </c>
      <c r="D51" t="str">
        <f t="shared" si="0"/>
        <v>009|000014</v>
      </c>
    </row>
    <row r="52" spans="1:4" x14ac:dyDescent="0.25">
      <c r="A52" s="1" t="s">
        <v>203</v>
      </c>
      <c r="B52" s="1" t="s">
        <v>192</v>
      </c>
      <c r="C52" s="1" t="s">
        <v>201</v>
      </c>
      <c r="D52" t="str">
        <f t="shared" si="0"/>
        <v>011|000014</v>
      </c>
    </row>
    <row r="53" spans="1:4" x14ac:dyDescent="0.25">
      <c r="A53" s="1" t="s">
        <v>204</v>
      </c>
      <c r="B53" s="1" t="s">
        <v>192</v>
      </c>
      <c r="C53" s="1" t="s">
        <v>201</v>
      </c>
      <c r="D53" t="str">
        <f t="shared" si="0"/>
        <v>012|000014</v>
      </c>
    </row>
    <row r="54" spans="1:4" x14ac:dyDescent="0.25">
      <c r="A54" s="1" t="s">
        <v>199</v>
      </c>
      <c r="B54" s="1" t="s">
        <v>66</v>
      </c>
      <c r="C54" s="1" t="s">
        <v>201</v>
      </c>
      <c r="D54" t="str">
        <f t="shared" si="0"/>
        <v>002|000015</v>
      </c>
    </row>
    <row r="55" spans="1:4" x14ac:dyDescent="0.25">
      <c r="A55" s="1" t="s">
        <v>202</v>
      </c>
      <c r="B55" s="1" t="s">
        <v>66</v>
      </c>
      <c r="C55" s="1" t="s">
        <v>201</v>
      </c>
      <c r="D55" t="str">
        <f t="shared" si="0"/>
        <v>009|000015</v>
      </c>
    </row>
    <row r="56" spans="1:4" x14ac:dyDescent="0.25">
      <c r="A56" s="1" t="s">
        <v>203</v>
      </c>
      <c r="B56" s="1" t="s">
        <v>66</v>
      </c>
      <c r="C56" s="1" t="s">
        <v>201</v>
      </c>
      <c r="D56" t="str">
        <f t="shared" si="0"/>
        <v>011|000015</v>
      </c>
    </row>
    <row r="57" spans="1:4" x14ac:dyDescent="0.25">
      <c r="A57" s="1" t="s">
        <v>204</v>
      </c>
      <c r="B57" s="1" t="s">
        <v>66</v>
      </c>
      <c r="C57" s="1" t="s">
        <v>201</v>
      </c>
      <c r="D57" t="str">
        <f t="shared" si="0"/>
        <v>012|000015</v>
      </c>
    </row>
    <row r="58" spans="1:4" x14ac:dyDescent="0.25">
      <c r="A58" s="1" t="s">
        <v>199</v>
      </c>
      <c r="B58" s="1" t="s">
        <v>206</v>
      </c>
      <c r="C58" s="1" t="s">
        <v>201</v>
      </c>
      <c r="D58" t="str">
        <f t="shared" si="0"/>
        <v>002|000016</v>
      </c>
    </row>
    <row r="59" spans="1:4" x14ac:dyDescent="0.25">
      <c r="A59" s="1" t="s">
        <v>204</v>
      </c>
      <c r="B59" s="1" t="s">
        <v>206</v>
      </c>
      <c r="C59" s="1" t="s">
        <v>201</v>
      </c>
      <c r="D59" t="str">
        <f t="shared" si="0"/>
        <v>012|000016</v>
      </c>
    </row>
    <row r="60" spans="1:4" x14ac:dyDescent="0.25">
      <c r="A60" s="1" t="s">
        <v>199</v>
      </c>
      <c r="B60" s="1" t="s">
        <v>207</v>
      </c>
      <c r="C60" s="1" t="s">
        <v>201</v>
      </c>
      <c r="D60" t="str">
        <f t="shared" si="0"/>
        <v>002|000017</v>
      </c>
    </row>
    <row r="61" spans="1:4" x14ac:dyDescent="0.25">
      <c r="A61" s="1" t="s">
        <v>202</v>
      </c>
      <c r="B61" s="1" t="s">
        <v>207</v>
      </c>
      <c r="C61" s="1" t="s">
        <v>201</v>
      </c>
      <c r="D61" t="str">
        <f t="shared" si="0"/>
        <v>009|000017</v>
      </c>
    </row>
    <row r="62" spans="1:4" x14ac:dyDescent="0.25">
      <c r="A62" s="1" t="s">
        <v>203</v>
      </c>
      <c r="B62" s="1" t="s">
        <v>207</v>
      </c>
      <c r="C62" s="1" t="s">
        <v>201</v>
      </c>
      <c r="D62" t="str">
        <f t="shared" si="0"/>
        <v>011|000017</v>
      </c>
    </row>
    <row r="63" spans="1:4" x14ac:dyDescent="0.25">
      <c r="A63" s="1" t="s">
        <v>204</v>
      </c>
      <c r="B63" s="1" t="s">
        <v>207</v>
      </c>
      <c r="C63" s="1" t="s">
        <v>201</v>
      </c>
      <c r="D63" t="str">
        <f t="shared" si="0"/>
        <v>012|000017</v>
      </c>
    </row>
    <row r="64" spans="1:4" x14ac:dyDescent="0.25">
      <c r="A64" s="1" t="s">
        <v>199</v>
      </c>
      <c r="B64" s="1" t="s">
        <v>78</v>
      </c>
      <c r="C64" s="1" t="s">
        <v>201</v>
      </c>
      <c r="D64" t="str">
        <f t="shared" si="0"/>
        <v>002|000018</v>
      </c>
    </row>
    <row r="65" spans="1:4" x14ac:dyDescent="0.25">
      <c r="A65" s="1" t="s">
        <v>202</v>
      </c>
      <c r="B65" s="1" t="s">
        <v>78</v>
      </c>
      <c r="C65" s="1" t="s">
        <v>201</v>
      </c>
      <c r="D65" t="str">
        <f t="shared" si="0"/>
        <v>009|000018</v>
      </c>
    </row>
    <row r="66" spans="1:4" x14ac:dyDescent="0.25">
      <c r="A66" s="1" t="s">
        <v>203</v>
      </c>
      <c r="B66" s="1" t="s">
        <v>78</v>
      </c>
      <c r="C66" s="1" t="s">
        <v>201</v>
      </c>
      <c r="D66" t="str">
        <f t="shared" si="0"/>
        <v>011|000018</v>
      </c>
    </row>
    <row r="67" spans="1:4" x14ac:dyDescent="0.25">
      <c r="A67" s="1" t="s">
        <v>204</v>
      </c>
      <c r="B67" s="1" t="s">
        <v>78</v>
      </c>
      <c r="C67" s="1" t="s">
        <v>201</v>
      </c>
      <c r="D67" t="str">
        <f t="shared" ref="D67:D130" si="1">CONCATENATE(TRIM(A67),"|",TRIM(B67))</f>
        <v>012|000018</v>
      </c>
    </row>
    <row r="68" spans="1:4" x14ac:dyDescent="0.25">
      <c r="A68" s="1" t="s">
        <v>199</v>
      </c>
      <c r="B68" s="1" t="s">
        <v>59</v>
      </c>
      <c r="C68" s="1" t="s">
        <v>201</v>
      </c>
      <c r="D68" t="str">
        <f t="shared" si="1"/>
        <v>002|000019</v>
      </c>
    </row>
    <row r="69" spans="1:4" x14ac:dyDescent="0.25">
      <c r="A69" s="1" t="s">
        <v>202</v>
      </c>
      <c r="B69" s="1" t="s">
        <v>59</v>
      </c>
      <c r="C69" s="1" t="s">
        <v>201</v>
      </c>
      <c r="D69" t="str">
        <f t="shared" si="1"/>
        <v>009|000019</v>
      </c>
    </row>
    <row r="70" spans="1:4" x14ac:dyDescent="0.25">
      <c r="A70" s="1" t="s">
        <v>203</v>
      </c>
      <c r="B70" s="1" t="s">
        <v>59</v>
      </c>
      <c r="C70" s="1" t="s">
        <v>201</v>
      </c>
      <c r="D70" t="str">
        <f t="shared" si="1"/>
        <v>011|000019</v>
      </c>
    </row>
    <row r="71" spans="1:4" x14ac:dyDescent="0.25">
      <c r="A71" s="1" t="s">
        <v>204</v>
      </c>
      <c r="B71" s="1" t="s">
        <v>59</v>
      </c>
      <c r="C71" s="1" t="s">
        <v>201</v>
      </c>
      <c r="D71" t="str">
        <f t="shared" si="1"/>
        <v>012|000019</v>
      </c>
    </row>
    <row r="72" spans="1:4" x14ac:dyDescent="0.25">
      <c r="A72" s="1" t="s">
        <v>199</v>
      </c>
      <c r="B72" s="1" t="s">
        <v>146</v>
      </c>
      <c r="C72" s="1" t="s">
        <v>201</v>
      </c>
      <c r="D72" t="str">
        <f t="shared" si="1"/>
        <v>002|000020</v>
      </c>
    </row>
    <row r="73" spans="1:4" x14ac:dyDescent="0.25">
      <c r="A73" s="1" t="s">
        <v>202</v>
      </c>
      <c r="B73" s="1" t="s">
        <v>146</v>
      </c>
      <c r="C73" s="1" t="s">
        <v>201</v>
      </c>
      <c r="D73" t="str">
        <f t="shared" si="1"/>
        <v>009|000020</v>
      </c>
    </row>
    <row r="74" spans="1:4" x14ac:dyDescent="0.25">
      <c r="A74" s="1" t="s">
        <v>203</v>
      </c>
      <c r="B74" s="1" t="s">
        <v>146</v>
      </c>
      <c r="C74" s="1" t="s">
        <v>201</v>
      </c>
      <c r="D74" t="str">
        <f t="shared" si="1"/>
        <v>011|000020</v>
      </c>
    </row>
    <row r="75" spans="1:4" x14ac:dyDescent="0.25">
      <c r="A75" s="1" t="s">
        <v>204</v>
      </c>
      <c r="B75" s="1" t="s">
        <v>146</v>
      </c>
      <c r="C75" s="1" t="s">
        <v>201</v>
      </c>
      <c r="D75" t="str">
        <f t="shared" si="1"/>
        <v>012|000020</v>
      </c>
    </row>
    <row r="76" spans="1:4" x14ac:dyDescent="0.25">
      <c r="A76" s="1" t="s">
        <v>202</v>
      </c>
      <c r="B76" s="1" t="s">
        <v>208</v>
      </c>
      <c r="C76" s="1" t="s">
        <v>201</v>
      </c>
      <c r="D76" t="str">
        <f t="shared" si="1"/>
        <v>009|000021</v>
      </c>
    </row>
    <row r="77" spans="1:4" x14ac:dyDescent="0.25">
      <c r="A77" s="1" t="s">
        <v>203</v>
      </c>
      <c r="B77" s="1" t="s">
        <v>208</v>
      </c>
      <c r="C77" s="1" t="s">
        <v>201</v>
      </c>
      <c r="D77" t="str">
        <f t="shared" si="1"/>
        <v>011|000021</v>
      </c>
    </row>
    <row r="78" spans="1:4" x14ac:dyDescent="0.25">
      <c r="A78" s="1" t="s">
        <v>199</v>
      </c>
      <c r="B78" s="1" t="s">
        <v>176</v>
      </c>
      <c r="C78" s="1" t="s">
        <v>201</v>
      </c>
      <c r="D78" t="str">
        <f t="shared" si="1"/>
        <v>002|000023</v>
      </c>
    </row>
    <row r="79" spans="1:4" x14ac:dyDescent="0.25">
      <c r="A79" s="1" t="s">
        <v>202</v>
      </c>
      <c r="B79" s="1" t="s">
        <v>176</v>
      </c>
      <c r="C79" s="1" t="s">
        <v>201</v>
      </c>
      <c r="D79" t="str">
        <f t="shared" si="1"/>
        <v>009|000023</v>
      </c>
    </row>
    <row r="80" spans="1:4" x14ac:dyDescent="0.25">
      <c r="A80" s="1" t="s">
        <v>203</v>
      </c>
      <c r="B80" s="1" t="s">
        <v>176</v>
      </c>
      <c r="C80" s="1" t="s">
        <v>201</v>
      </c>
      <c r="D80" t="str">
        <f t="shared" si="1"/>
        <v>011|000023</v>
      </c>
    </row>
    <row r="81" spans="1:4" x14ac:dyDescent="0.25">
      <c r="A81" s="1" t="s">
        <v>204</v>
      </c>
      <c r="B81" s="1" t="s">
        <v>176</v>
      </c>
      <c r="C81" s="1" t="s">
        <v>201</v>
      </c>
      <c r="D81" t="str">
        <f t="shared" si="1"/>
        <v>012|000023</v>
      </c>
    </row>
    <row r="82" spans="1:4" x14ac:dyDescent="0.25">
      <c r="A82" s="1" t="s">
        <v>202</v>
      </c>
      <c r="B82" s="1" t="s">
        <v>209</v>
      </c>
      <c r="C82" s="1" t="s">
        <v>201</v>
      </c>
      <c r="D82" t="str">
        <f t="shared" si="1"/>
        <v>009|000024</v>
      </c>
    </row>
    <row r="83" spans="1:4" x14ac:dyDescent="0.25">
      <c r="A83" s="1" t="s">
        <v>203</v>
      </c>
      <c r="B83" s="1" t="s">
        <v>209</v>
      </c>
      <c r="C83" s="1" t="s">
        <v>201</v>
      </c>
      <c r="D83" t="str">
        <f t="shared" si="1"/>
        <v>011|000024</v>
      </c>
    </row>
    <row r="84" spans="1:4" x14ac:dyDescent="0.25">
      <c r="A84" s="1" t="s">
        <v>199</v>
      </c>
      <c r="B84" s="1" t="s">
        <v>183</v>
      </c>
      <c r="C84" s="1" t="s">
        <v>201</v>
      </c>
      <c r="D84" t="str">
        <f t="shared" si="1"/>
        <v>002|000025</v>
      </c>
    </row>
    <row r="85" spans="1:4" x14ac:dyDescent="0.25">
      <c r="A85" s="1" t="s">
        <v>202</v>
      </c>
      <c r="B85" s="1" t="s">
        <v>183</v>
      </c>
      <c r="C85" s="1" t="s">
        <v>201</v>
      </c>
      <c r="D85" t="str">
        <f t="shared" si="1"/>
        <v>009|000025</v>
      </c>
    </row>
    <row r="86" spans="1:4" x14ac:dyDescent="0.25">
      <c r="A86" s="1" t="s">
        <v>203</v>
      </c>
      <c r="B86" s="1" t="s">
        <v>183</v>
      </c>
      <c r="C86" s="1" t="s">
        <v>201</v>
      </c>
      <c r="D86" t="str">
        <f t="shared" si="1"/>
        <v>011|000025</v>
      </c>
    </row>
    <row r="87" spans="1:4" x14ac:dyDescent="0.25">
      <c r="A87" s="1" t="s">
        <v>204</v>
      </c>
      <c r="B87" s="1" t="s">
        <v>183</v>
      </c>
      <c r="C87" s="1" t="s">
        <v>201</v>
      </c>
      <c r="D87" t="str">
        <f t="shared" si="1"/>
        <v>012|000025</v>
      </c>
    </row>
    <row r="88" spans="1:4" x14ac:dyDescent="0.25">
      <c r="A88" s="1" t="s">
        <v>199</v>
      </c>
      <c r="B88" s="1" t="s">
        <v>161</v>
      </c>
      <c r="C88" s="1" t="s">
        <v>201</v>
      </c>
      <c r="D88" t="str">
        <f t="shared" si="1"/>
        <v>002|000026</v>
      </c>
    </row>
    <row r="89" spans="1:4" x14ac:dyDescent="0.25">
      <c r="A89" s="1" t="s">
        <v>202</v>
      </c>
      <c r="B89" s="1" t="s">
        <v>161</v>
      </c>
      <c r="C89" s="1" t="s">
        <v>201</v>
      </c>
      <c r="D89" t="str">
        <f t="shared" si="1"/>
        <v>009|000026</v>
      </c>
    </row>
    <row r="90" spans="1:4" x14ac:dyDescent="0.25">
      <c r="A90" s="1" t="s">
        <v>203</v>
      </c>
      <c r="B90" s="1" t="s">
        <v>161</v>
      </c>
      <c r="C90" s="1" t="s">
        <v>201</v>
      </c>
      <c r="D90" t="str">
        <f t="shared" si="1"/>
        <v>011|000026</v>
      </c>
    </row>
    <row r="91" spans="1:4" x14ac:dyDescent="0.25">
      <c r="A91" s="1" t="s">
        <v>204</v>
      </c>
      <c r="B91" s="1" t="s">
        <v>161</v>
      </c>
      <c r="C91" s="1" t="s">
        <v>201</v>
      </c>
      <c r="D91" t="str">
        <f t="shared" si="1"/>
        <v>012|000026</v>
      </c>
    </row>
    <row r="92" spans="1:4" x14ac:dyDescent="0.25">
      <c r="A92" s="1" t="s">
        <v>199</v>
      </c>
      <c r="B92" s="1" t="s">
        <v>9</v>
      </c>
      <c r="C92" s="1" t="s">
        <v>201</v>
      </c>
      <c r="D92" t="str">
        <f t="shared" si="1"/>
        <v>002|000027</v>
      </c>
    </row>
    <row r="93" spans="1:4" x14ac:dyDescent="0.25">
      <c r="A93" s="1" t="s">
        <v>202</v>
      </c>
      <c r="B93" s="1" t="s">
        <v>9</v>
      </c>
      <c r="C93" s="1" t="s">
        <v>201</v>
      </c>
      <c r="D93" t="str">
        <f t="shared" si="1"/>
        <v>009|000027</v>
      </c>
    </row>
    <row r="94" spans="1:4" x14ac:dyDescent="0.25">
      <c r="A94" s="1" t="s">
        <v>204</v>
      </c>
      <c r="B94" s="1" t="s">
        <v>9</v>
      </c>
      <c r="C94" s="1" t="s">
        <v>201</v>
      </c>
      <c r="D94" t="str">
        <f t="shared" si="1"/>
        <v>012|000027</v>
      </c>
    </row>
    <row r="95" spans="1:4" x14ac:dyDescent="0.25">
      <c r="A95" s="1" t="s">
        <v>199</v>
      </c>
      <c r="B95" s="1" t="s">
        <v>173</v>
      </c>
      <c r="C95" s="1" t="s">
        <v>201</v>
      </c>
      <c r="D95" t="str">
        <f t="shared" si="1"/>
        <v>002|000028</v>
      </c>
    </row>
    <row r="96" spans="1:4" x14ac:dyDescent="0.25">
      <c r="A96" s="1" t="s">
        <v>202</v>
      </c>
      <c r="B96" s="1" t="s">
        <v>173</v>
      </c>
      <c r="C96" s="1" t="s">
        <v>201</v>
      </c>
      <c r="D96" t="str">
        <f t="shared" si="1"/>
        <v>009|000028</v>
      </c>
    </row>
    <row r="97" spans="1:4" x14ac:dyDescent="0.25">
      <c r="A97" s="1" t="s">
        <v>204</v>
      </c>
      <c r="B97" s="1" t="s">
        <v>173</v>
      </c>
      <c r="C97" s="1" t="s">
        <v>201</v>
      </c>
      <c r="D97" t="str">
        <f t="shared" si="1"/>
        <v>012|000028</v>
      </c>
    </row>
    <row r="98" spans="1:4" x14ac:dyDescent="0.25">
      <c r="A98" s="1" t="s">
        <v>199</v>
      </c>
      <c r="B98" s="1" t="s">
        <v>79</v>
      </c>
      <c r="C98" s="1" t="s">
        <v>201</v>
      </c>
      <c r="D98" t="str">
        <f t="shared" si="1"/>
        <v>002|000029</v>
      </c>
    </row>
    <row r="99" spans="1:4" x14ac:dyDescent="0.25">
      <c r="A99" s="1" t="s">
        <v>202</v>
      </c>
      <c r="B99" s="1" t="s">
        <v>79</v>
      </c>
      <c r="C99" s="1" t="s">
        <v>201</v>
      </c>
      <c r="D99" t="str">
        <f t="shared" si="1"/>
        <v>009|000029</v>
      </c>
    </row>
    <row r="100" spans="1:4" x14ac:dyDescent="0.25">
      <c r="A100" s="1" t="s">
        <v>204</v>
      </c>
      <c r="B100" s="1" t="s">
        <v>79</v>
      </c>
      <c r="C100" s="1" t="s">
        <v>201</v>
      </c>
      <c r="D100" t="str">
        <f t="shared" si="1"/>
        <v>012|000029</v>
      </c>
    </row>
    <row r="101" spans="1:4" x14ac:dyDescent="0.25">
      <c r="A101" s="1" t="s">
        <v>199</v>
      </c>
      <c r="B101" s="1" t="s">
        <v>153</v>
      </c>
      <c r="C101" s="1" t="s">
        <v>201</v>
      </c>
      <c r="D101" t="str">
        <f t="shared" si="1"/>
        <v>002|000030</v>
      </c>
    </row>
    <row r="102" spans="1:4" x14ac:dyDescent="0.25">
      <c r="A102" s="1" t="s">
        <v>202</v>
      </c>
      <c r="B102" s="1" t="s">
        <v>153</v>
      </c>
      <c r="C102" s="1" t="s">
        <v>201</v>
      </c>
      <c r="D102" t="str">
        <f t="shared" si="1"/>
        <v>009|000030</v>
      </c>
    </row>
    <row r="103" spans="1:4" x14ac:dyDescent="0.25">
      <c r="A103" s="1" t="s">
        <v>204</v>
      </c>
      <c r="B103" s="1" t="s">
        <v>153</v>
      </c>
      <c r="C103" s="1" t="s">
        <v>201</v>
      </c>
      <c r="D103" t="str">
        <f t="shared" si="1"/>
        <v>012|000030</v>
      </c>
    </row>
    <row r="104" spans="1:4" x14ac:dyDescent="0.25">
      <c r="A104" s="1" t="s">
        <v>199</v>
      </c>
      <c r="B104" s="1" t="s">
        <v>210</v>
      </c>
      <c r="C104" s="1" t="s">
        <v>201</v>
      </c>
      <c r="D104" t="str">
        <f t="shared" si="1"/>
        <v>002|000033</v>
      </c>
    </row>
    <row r="105" spans="1:4" x14ac:dyDescent="0.25">
      <c r="A105" s="1" t="s">
        <v>199</v>
      </c>
      <c r="B105" s="1" t="s">
        <v>101</v>
      </c>
      <c r="C105" s="1" t="s">
        <v>201</v>
      </c>
      <c r="D105" t="str">
        <f t="shared" si="1"/>
        <v>002|000035</v>
      </c>
    </row>
    <row r="106" spans="1:4" x14ac:dyDescent="0.25">
      <c r="A106" s="1" t="s">
        <v>204</v>
      </c>
      <c r="B106" s="1" t="s">
        <v>101</v>
      </c>
      <c r="C106" s="1" t="s">
        <v>201</v>
      </c>
      <c r="D106" t="str">
        <f t="shared" si="1"/>
        <v>012|000035</v>
      </c>
    </row>
    <row r="107" spans="1:4" x14ac:dyDescent="0.25">
      <c r="A107" s="1" t="s">
        <v>199</v>
      </c>
      <c r="B107" s="1" t="s">
        <v>118</v>
      </c>
      <c r="C107" s="1" t="s">
        <v>201</v>
      </c>
      <c r="D107" t="str">
        <f t="shared" si="1"/>
        <v>002|000036</v>
      </c>
    </row>
    <row r="108" spans="1:4" x14ac:dyDescent="0.25">
      <c r="A108" s="1" t="s">
        <v>204</v>
      </c>
      <c r="B108" s="1" t="s">
        <v>118</v>
      </c>
      <c r="C108" s="1" t="s">
        <v>201</v>
      </c>
      <c r="D108" t="str">
        <f t="shared" si="1"/>
        <v>012|000036</v>
      </c>
    </row>
    <row r="109" spans="1:4" x14ac:dyDescent="0.25">
      <c r="A109" s="1" t="s">
        <v>199</v>
      </c>
      <c r="B109" s="1" t="s">
        <v>211</v>
      </c>
      <c r="C109" s="1" t="s">
        <v>201</v>
      </c>
      <c r="D109" t="str">
        <f t="shared" si="1"/>
        <v>002|000037</v>
      </c>
    </row>
    <row r="110" spans="1:4" x14ac:dyDescent="0.25">
      <c r="A110" s="1" t="s">
        <v>212</v>
      </c>
      <c r="B110" s="1" t="s">
        <v>211</v>
      </c>
      <c r="C110" s="1" t="s">
        <v>201</v>
      </c>
      <c r="D110" t="str">
        <f t="shared" si="1"/>
        <v>11303|000037</v>
      </c>
    </row>
    <row r="111" spans="1:4" x14ac:dyDescent="0.25">
      <c r="A111" s="1" t="s">
        <v>199</v>
      </c>
      <c r="B111" s="1" t="s">
        <v>213</v>
      </c>
      <c r="C111" s="1" t="s">
        <v>201</v>
      </c>
      <c r="D111" t="str">
        <f t="shared" si="1"/>
        <v>002|000039</v>
      </c>
    </row>
    <row r="112" spans="1:4" x14ac:dyDescent="0.25">
      <c r="A112" s="1" t="s">
        <v>199</v>
      </c>
      <c r="B112" s="1" t="s">
        <v>186</v>
      </c>
      <c r="C112" s="1" t="s">
        <v>201</v>
      </c>
      <c r="D112" t="str">
        <f t="shared" si="1"/>
        <v>002|000042</v>
      </c>
    </row>
    <row r="113" spans="1:4" x14ac:dyDescent="0.25">
      <c r="A113" s="1" t="s">
        <v>204</v>
      </c>
      <c r="B113" s="1" t="s">
        <v>186</v>
      </c>
      <c r="C113" s="1" t="s">
        <v>201</v>
      </c>
      <c r="D113" t="str">
        <f t="shared" si="1"/>
        <v>012|000042</v>
      </c>
    </row>
    <row r="114" spans="1:4" x14ac:dyDescent="0.25">
      <c r="A114" s="1" t="s">
        <v>199</v>
      </c>
      <c r="B114" s="1" t="s">
        <v>214</v>
      </c>
      <c r="C114" s="1" t="s">
        <v>201</v>
      </c>
      <c r="D114" t="str">
        <f t="shared" si="1"/>
        <v>002|000043</v>
      </c>
    </row>
    <row r="115" spans="1:4" x14ac:dyDescent="0.25">
      <c r="A115" s="1" t="s">
        <v>204</v>
      </c>
      <c r="B115" s="1" t="s">
        <v>215</v>
      </c>
      <c r="C115" s="1" t="s">
        <v>201</v>
      </c>
      <c r="D115" t="str">
        <f t="shared" si="1"/>
        <v>012|000044</v>
      </c>
    </row>
    <row r="116" spans="1:4" x14ac:dyDescent="0.25">
      <c r="A116" s="1" t="s">
        <v>33</v>
      </c>
      <c r="B116" s="1" t="s">
        <v>166</v>
      </c>
      <c r="C116" s="1" t="s">
        <v>216</v>
      </c>
      <c r="D116" t="str">
        <f t="shared" si="1"/>
        <v>2.1.3|000045</v>
      </c>
    </row>
    <row r="117" spans="1:4" x14ac:dyDescent="0.25">
      <c r="A117" s="1" t="s">
        <v>204</v>
      </c>
      <c r="B117" s="1" t="s">
        <v>117</v>
      </c>
      <c r="C117" s="1" t="s">
        <v>201</v>
      </c>
      <c r="D117" t="str">
        <f t="shared" si="1"/>
        <v>012|000046</v>
      </c>
    </row>
    <row r="118" spans="1:4" x14ac:dyDescent="0.25">
      <c r="A118" s="1" t="s">
        <v>204</v>
      </c>
      <c r="B118" s="1" t="s">
        <v>169</v>
      </c>
      <c r="C118" s="1" t="s">
        <v>201</v>
      </c>
      <c r="D118" t="str">
        <f t="shared" si="1"/>
        <v>012|000047</v>
      </c>
    </row>
    <row r="119" spans="1:4" x14ac:dyDescent="0.25">
      <c r="A119" s="1" t="s">
        <v>217</v>
      </c>
      <c r="B119" s="1" t="s">
        <v>218</v>
      </c>
      <c r="C119" s="1" t="s">
        <v>201</v>
      </c>
      <c r="D119" t="str">
        <f t="shared" si="1"/>
        <v>8.00000001|000077</v>
      </c>
    </row>
    <row r="120" spans="1:4" x14ac:dyDescent="0.25">
      <c r="A120" s="1" t="s">
        <v>199</v>
      </c>
      <c r="B120" s="1" t="s">
        <v>38</v>
      </c>
      <c r="C120" s="1" t="s">
        <v>201</v>
      </c>
      <c r="D120" t="str">
        <f t="shared" si="1"/>
        <v>002|999999</v>
      </c>
    </row>
    <row r="121" spans="1:4" x14ac:dyDescent="0.25">
      <c r="A121" s="1" t="s">
        <v>202</v>
      </c>
      <c r="B121" s="1" t="s">
        <v>38</v>
      </c>
      <c r="C121" s="1" t="s">
        <v>201</v>
      </c>
      <c r="D121" t="str">
        <f t="shared" si="1"/>
        <v>009|999999</v>
      </c>
    </row>
    <row r="122" spans="1:4" x14ac:dyDescent="0.25">
      <c r="A122" s="1" t="s">
        <v>203</v>
      </c>
      <c r="B122" s="1" t="s">
        <v>38</v>
      </c>
      <c r="C122" s="1" t="s">
        <v>201</v>
      </c>
      <c r="D122" t="str">
        <f t="shared" si="1"/>
        <v>011|999999</v>
      </c>
    </row>
    <row r="123" spans="1:4" x14ac:dyDescent="0.25">
      <c r="A123" s="1" t="s">
        <v>219</v>
      </c>
      <c r="B123" s="1" t="s">
        <v>38</v>
      </c>
      <c r="C123" s="1" t="s">
        <v>201</v>
      </c>
      <c r="D123" t="str">
        <f t="shared" si="1"/>
        <v>11101|999999</v>
      </c>
    </row>
    <row r="124" spans="1:4" x14ac:dyDescent="0.25">
      <c r="A124" s="1" t="s">
        <v>220</v>
      </c>
      <c r="B124" s="1" t="s">
        <v>38</v>
      </c>
      <c r="C124" s="1" t="s">
        <v>201</v>
      </c>
      <c r="D124" t="str">
        <f t="shared" si="1"/>
        <v>11102|999999</v>
      </c>
    </row>
    <row r="125" spans="1:4" x14ac:dyDescent="0.25">
      <c r="A125" s="1" t="s">
        <v>221</v>
      </c>
      <c r="B125" s="1" t="s">
        <v>38</v>
      </c>
      <c r="C125" s="1" t="s">
        <v>201</v>
      </c>
      <c r="D125" t="str">
        <f t="shared" si="1"/>
        <v>11103|999999</v>
      </c>
    </row>
    <row r="126" spans="1:4" x14ac:dyDescent="0.25">
      <c r="A126" s="1" t="s">
        <v>222</v>
      </c>
      <c r="B126" s="1" t="s">
        <v>38</v>
      </c>
      <c r="C126" s="1" t="s">
        <v>201</v>
      </c>
      <c r="D126" t="str">
        <f t="shared" si="1"/>
        <v>11201|999999</v>
      </c>
    </row>
    <row r="127" spans="1:4" x14ac:dyDescent="0.25">
      <c r="A127" s="1" t="s">
        <v>223</v>
      </c>
      <c r="B127" s="1" t="s">
        <v>38</v>
      </c>
      <c r="C127" s="1" t="s">
        <v>201</v>
      </c>
      <c r="D127" t="str">
        <f t="shared" si="1"/>
        <v>11203|999999</v>
      </c>
    </row>
    <row r="128" spans="1:4" x14ac:dyDescent="0.25">
      <c r="A128" s="1" t="s">
        <v>224</v>
      </c>
      <c r="B128" s="1" t="s">
        <v>38</v>
      </c>
      <c r="C128" s="1" t="s">
        <v>201</v>
      </c>
      <c r="D128" t="str">
        <f t="shared" si="1"/>
        <v>11204|999999</v>
      </c>
    </row>
    <row r="129" spans="1:4" x14ac:dyDescent="0.25">
      <c r="A129" s="1" t="s">
        <v>225</v>
      </c>
      <c r="B129" s="1" t="s">
        <v>38</v>
      </c>
      <c r="C129" s="1" t="s">
        <v>201</v>
      </c>
      <c r="D129" t="str">
        <f t="shared" si="1"/>
        <v>11205|999999</v>
      </c>
    </row>
    <row r="130" spans="1:4" x14ac:dyDescent="0.25">
      <c r="A130" s="1" t="s">
        <v>226</v>
      </c>
      <c r="B130" s="1" t="s">
        <v>38</v>
      </c>
      <c r="C130" s="1" t="s">
        <v>201</v>
      </c>
      <c r="D130" t="str">
        <f t="shared" si="1"/>
        <v>11301|999999</v>
      </c>
    </row>
    <row r="131" spans="1:4" x14ac:dyDescent="0.25">
      <c r="A131" s="1" t="s">
        <v>227</v>
      </c>
      <c r="B131" s="1" t="s">
        <v>38</v>
      </c>
      <c r="C131" s="1" t="s">
        <v>201</v>
      </c>
      <c r="D131" t="str">
        <f t="shared" ref="D131:D134" si="2">CONCATENATE(TRIM(A131),"|",TRIM(B131))</f>
        <v>11401|999999</v>
      </c>
    </row>
    <row r="132" spans="1:4" x14ac:dyDescent="0.25">
      <c r="A132" s="1" t="s">
        <v>228</v>
      </c>
      <c r="B132" s="1" t="s">
        <v>38</v>
      </c>
      <c r="C132" s="1" t="s">
        <v>201</v>
      </c>
      <c r="D132" t="str">
        <f t="shared" si="2"/>
        <v>11501|999999</v>
      </c>
    </row>
    <row r="133" spans="1:4" x14ac:dyDescent="0.25">
      <c r="A133" s="1" t="s">
        <v>229</v>
      </c>
      <c r="B133" s="1" t="s">
        <v>38</v>
      </c>
      <c r="C133" s="1" t="s">
        <v>201</v>
      </c>
      <c r="D133" t="str">
        <f t="shared" si="2"/>
        <v>11502|999999</v>
      </c>
    </row>
    <row r="134" spans="1:4" x14ac:dyDescent="0.25">
      <c r="A134" s="1" t="s">
        <v>230</v>
      </c>
      <c r="B134" s="1" t="s">
        <v>38</v>
      </c>
      <c r="C134" s="1" t="s">
        <v>201</v>
      </c>
      <c r="D134" t="str">
        <f t="shared" si="2"/>
        <v>11601|999999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Planilha3</vt:lpstr>
      <vt:lpstr>Planilha4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Devide</dc:creator>
  <cp:lastModifiedBy>Paulo Devide</cp:lastModifiedBy>
  <dcterms:created xsi:type="dcterms:W3CDTF">2017-05-22T17:25:42Z</dcterms:created>
  <dcterms:modified xsi:type="dcterms:W3CDTF">2017-05-22T20:51:38Z</dcterms:modified>
</cp:coreProperties>
</file>