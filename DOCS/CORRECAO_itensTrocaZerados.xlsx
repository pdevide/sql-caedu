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QL\"/>
    </mc:Choice>
  </mc:AlternateContent>
  <bookViews>
    <workbookView xWindow="0" yWindow="0" windowWidth="24000" windowHeight="9510" activeTab="1"/>
  </bookViews>
  <sheets>
    <sheet name="Planilha1" sheetId="1" r:id="rId1"/>
    <sheet name="Planilha2" sheetId="2" r:id="rId2"/>
  </sheets>
  <definedNames>
    <definedName name="_xlnm._FilterDatabase" localSheetId="0" hidden="1">Planilha1!$A$1:$E$39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2" l="1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2" i="2"/>
</calcChain>
</file>

<file path=xl/sharedStrings.xml><?xml version="1.0" encoding="utf-8"?>
<sst xmlns="http://schemas.openxmlformats.org/spreadsheetml/2006/main" count="279" uniqueCount="91">
  <si>
    <t>SUMARE</t>
  </si>
  <si>
    <t>D60400410000312</t>
  </si>
  <si>
    <t>FRANCO DA ROCHA</t>
  </si>
  <si>
    <t>D80200460013712</t>
  </si>
  <si>
    <t>JARDIM ANGELA</t>
  </si>
  <si>
    <t>D60400410000313</t>
  </si>
  <si>
    <t>MAUA</t>
  </si>
  <si>
    <t>D60400410000311</t>
  </si>
  <si>
    <t>COTIA</t>
  </si>
  <si>
    <t>D80200460014713</t>
  </si>
  <si>
    <t>POA</t>
  </si>
  <si>
    <t>SP - BRASILANDIA</t>
  </si>
  <si>
    <t>PIRASSUNUNGA</t>
  </si>
  <si>
    <t>D80300640013712</t>
  </si>
  <si>
    <t>D80200460013713</t>
  </si>
  <si>
    <t>FRANCISCO MORATO</t>
  </si>
  <si>
    <t>D80200460014711</t>
  </si>
  <si>
    <t>SP - PIRAPORINHA</t>
  </si>
  <si>
    <t>D60400410014712</t>
  </si>
  <si>
    <t>VICENTE DE CARVALHO</t>
  </si>
  <si>
    <t>CRUZEIRO</t>
  </si>
  <si>
    <t>D80300640002011</t>
  </si>
  <si>
    <t>SAO MATHEUS</t>
  </si>
  <si>
    <t>D60400400000313</t>
  </si>
  <si>
    <t>D60400410014713</t>
  </si>
  <si>
    <t>VARZEA PAULISTA</t>
  </si>
  <si>
    <t>D60400400014011</t>
  </si>
  <si>
    <t>ITAPEVI</t>
  </si>
  <si>
    <t>D60400400013713</t>
  </si>
  <si>
    <t>D80200460014712</t>
  </si>
  <si>
    <t>SP - CAPAO CENTRO</t>
  </si>
  <si>
    <t>FERRAZ</t>
  </si>
  <si>
    <t>D60400410014711</t>
  </si>
  <si>
    <t>SP - METRO CAPAO</t>
  </si>
  <si>
    <t>D60400400013711</t>
  </si>
  <si>
    <t>D60400400013712</t>
  </si>
  <si>
    <t>D80200480013712</t>
  </si>
  <si>
    <t>D80200480010312</t>
  </si>
  <si>
    <t>E10200050013711</t>
  </si>
  <si>
    <t>CARAPICUIBA</t>
  </si>
  <si>
    <t>ROMANEIO_PRODUTO</t>
  </si>
  <si>
    <t>FILIAL</t>
  </si>
  <si>
    <t>ENB_CODIGO_BARRA</t>
  </si>
  <si>
    <t>QTDE</t>
  </si>
  <si>
    <t>CUSTO1</t>
  </si>
  <si>
    <t xml:space="preserve">3373845 </t>
  </si>
  <si>
    <t>0</t>
  </si>
  <si>
    <t>49.99000</t>
  </si>
  <si>
    <t xml:space="preserve">3374285 </t>
  </si>
  <si>
    <t xml:space="preserve">3374705 </t>
  </si>
  <si>
    <t xml:space="preserve">3375470 </t>
  </si>
  <si>
    <t xml:space="preserve">3375686 </t>
  </si>
  <si>
    <t xml:space="preserve">3375906 </t>
  </si>
  <si>
    <t xml:space="preserve">3375996 </t>
  </si>
  <si>
    <t xml:space="preserve">3376055 </t>
  </si>
  <si>
    <t xml:space="preserve">3376831 </t>
  </si>
  <si>
    <t>59.99000</t>
  </si>
  <si>
    <t xml:space="preserve">3376930 </t>
  </si>
  <si>
    <t xml:space="preserve">3376980 </t>
  </si>
  <si>
    <t xml:space="preserve">3377046 </t>
  </si>
  <si>
    <t xml:space="preserve">3377069 </t>
  </si>
  <si>
    <t xml:space="preserve">3377353 </t>
  </si>
  <si>
    <t xml:space="preserve">3378555 </t>
  </si>
  <si>
    <t xml:space="preserve">3379413 </t>
  </si>
  <si>
    <t xml:space="preserve">3379845 </t>
  </si>
  <si>
    <t xml:space="preserve">3380659 </t>
  </si>
  <si>
    <t xml:space="preserve">3380819 </t>
  </si>
  <si>
    <t xml:space="preserve">3381200 </t>
  </si>
  <si>
    <t xml:space="preserve">3381497 </t>
  </si>
  <si>
    <t xml:space="preserve">3381887 </t>
  </si>
  <si>
    <t xml:space="preserve">3382081 </t>
  </si>
  <si>
    <t xml:space="preserve">3382126 </t>
  </si>
  <si>
    <t xml:space="preserve">3382563 </t>
  </si>
  <si>
    <t>69.99000</t>
  </si>
  <si>
    <t xml:space="preserve">3382584 </t>
  </si>
  <si>
    <t xml:space="preserve">3382812 </t>
  </si>
  <si>
    <t xml:space="preserve">3384502 </t>
  </si>
  <si>
    <t xml:space="preserve">3387015 </t>
  </si>
  <si>
    <t xml:space="preserve">3387544 </t>
  </si>
  <si>
    <t xml:space="preserve">3387972 </t>
  </si>
  <si>
    <t xml:space="preserve">3388784 </t>
  </si>
  <si>
    <t xml:space="preserve">3389252 </t>
  </si>
  <si>
    <t xml:space="preserve">3389453 </t>
  </si>
  <si>
    <t xml:space="preserve">3390721 </t>
  </si>
  <si>
    <t xml:space="preserve">3393273 </t>
  </si>
  <si>
    <t xml:space="preserve">3394813 </t>
  </si>
  <si>
    <t xml:space="preserve">3395769 </t>
  </si>
  <si>
    <t xml:space="preserve">3395848 </t>
  </si>
  <si>
    <t>760220250018511</t>
  </si>
  <si>
    <t>SQL</t>
  </si>
  <si>
    <t>CAMPOQTD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</si>
</sst>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/>
  </sheetViews>
  <sheetFormatPr defaultRowHeight="15" x14ac:dyDescent="0.25"/>
  <cols>
    <col min="1" max="1" width="8" bestFit="1" customWidth="1"/>
    <col min="2" max="2" width="21.7109375" bestFit="1" customWidth="1"/>
    <col min="3" max="3" width="16.42578125" bestFit="1" customWidth="1"/>
    <col min="4" max="4" width="10.140625" customWidth="1"/>
  </cols>
  <sheetData>
    <row r="1" spans="1:5" x14ac:dyDescent="0.25">
      <c r="A1">
        <v>3373845</v>
      </c>
      <c r="B1" t="s">
        <v>0</v>
      </c>
      <c r="C1" t="s">
        <v>1</v>
      </c>
      <c r="D1">
        <v>0</v>
      </c>
      <c r="E1" s="1">
        <v>4999000</v>
      </c>
    </row>
    <row r="2" spans="1:5" x14ac:dyDescent="0.25">
      <c r="A2">
        <v>3374285</v>
      </c>
      <c r="B2" t="s">
        <v>2</v>
      </c>
      <c r="C2" t="s">
        <v>3</v>
      </c>
      <c r="D2">
        <v>0</v>
      </c>
      <c r="E2" s="1">
        <v>4999000</v>
      </c>
    </row>
    <row r="3" spans="1:5" x14ac:dyDescent="0.25">
      <c r="A3">
        <v>3374705</v>
      </c>
      <c r="B3" t="s">
        <v>4</v>
      </c>
      <c r="C3" t="s">
        <v>5</v>
      </c>
      <c r="D3">
        <v>0</v>
      </c>
      <c r="E3" s="1">
        <v>4999000</v>
      </c>
    </row>
    <row r="4" spans="1:5" x14ac:dyDescent="0.25">
      <c r="A4">
        <v>3375470</v>
      </c>
      <c r="B4" t="s">
        <v>6</v>
      </c>
      <c r="C4" t="s">
        <v>7</v>
      </c>
      <c r="D4">
        <v>0</v>
      </c>
      <c r="E4" s="1">
        <v>4999000</v>
      </c>
    </row>
    <row r="5" spans="1:5" x14ac:dyDescent="0.25">
      <c r="A5">
        <v>3375686</v>
      </c>
      <c r="B5" t="s">
        <v>8</v>
      </c>
      <c r="C5" t="s">
        <v>9</v>
      </c>
      <c r="D5">
        <v>0</v>
      </c>
      <c r="E5" s="1">
        <v>4999000</v>
      </c>
    </row>
    <row r="6" spans="1:5" x14ac:dyDescent="0.25">
      <c r="A6">
        <v>3375906</v>
      </c>
      <c r="B6" t="s">
        <v>10</v>
      </c>
      <c r="C6" t="s">
        <v>3</v>
      </c>
      <c r="D6">
        <v>0</v>
      </c>
      <c r="E6" s="1">
        <v>4999000</v>
      </c>
    </row>
    <row r="7" spans="1:5" x14ac:dyDescent="0.25">
      <c r="A7">
        <v>3375996</v>
      </c>
      <c r="B7" t="s">
        <v>11</v>
      </c>
      <c r="C7" t="s">
        <v>9</v>
      </c>
      <c r="D7">
        <v>0</v>
      </c>
      <c r="E7" s="1">
        <v>4999000</v>
      </c>
    </row>
    <row r="8" spans="1:5" x14ac:dyDescent="0.25">
      <c r="A8">
        <v>3376055</v>
      </c>
      <c r="B8" t="s">
        <v>12</v>
      </c>
      <c r="C8" t="s">
        <v>13</v>
      </c>
      <c r="D8">
        <v>0</v>
      </c>
      <c r="E8" s="1">
        <v>4999000</v>
      </c>
    </row>
    <row r="9" spans="1:5" x14ac:dyDescent="0.25">
      <c r="A9">
        <v>3376930</v>
      </c>
      <c r="B9" t="s">
        <v>2</v>
      </c>
      <c r="C9" t="s">
        <v>14</v>
      </c>
      <c r="D9">
        <v>0</v>
      </c>
      <c r="E9" s="1">
        <v>4999000</v>
      </c>
    </row>
    <row r="10" spans="1:5" x14ac:dyDescent="0.25">
      <c r="A10">
        <v>3376980</v>
      </c>
      <c r="B10" t="s">
        <v>4</v>
      </c>
      <c r="C10" t="s">
        <v>1</v>
      </c>
      <c r="D10">
        <v>0</v>
      </c>
      <c r="E10" s="1">
        <v>4999000</v>
      </c>
    </row>
    <row r="11" spans="1:5" x14ac:dyDescent="0.25">
      <c r="A11">
        <v>3377046</v>
      </c>
      <c r="B11" t="s">
        <v>15</v>
      </c>
      <c r="C11" t="s">
        <v>16</v>
      </c>
      <c r="D11">
        <v>0</v>
      </c>
      <c r="E11" s="1">
        <v>4999000</v>
      </c>
    </row>
    <row r="12" spans="1:5" x14ac:dyDescent="0.25">
      <c r="A12">
        <v>3377069</v>
      </c>
      <c r="B12" t="s">
        <v>17</v>
      </c>
      <c r="C12" t="s">
        <v>18</v>
      </c>
      <c r="D12">
        <v>0</v>
      </c>
      <c r="E12" s="1">
        <v>4999000</v>
      </c>
    </row>
    <row r="13" spans="1:5" x14ac:dyDescent="0.25">
      <c r="A13">
        <v>3377353</v>
      </c>
      <c r="B13" t="s">
        <v>19</v>
      </c>
      <c r="C13" t="s">
        <v>3</v>
      </c>
      <c r="D13">
        <v>0</v>
      </c>
      <c r="E13" s="1">
        <v>4999000</v>
      </c>
    </row>
    <row r="14" spans="1:5" x14ac:dyDescent="0.25">
      <c r="A14">
        <v>3378555</v>
      </c>
      <c r="B14" t="s">
        <v>20</v>
      </c>
      <c r="C14" t="s">
        <v>21</v>
      </c>
      <c r="D14">
        <v>0</v>
      </c>
      <c r="E14" s="1">
        <v>4999000</v>
      </c>
    </row>
    <row r="15" spans="1:5" x14ac:dyDescent="0.25">
      <c r="A15">
        <v>3379413</v>
      </c>
      <c r="B15" t="s">
        <v>22</v>
      </c>
      <c r="C15" t="s">
        <v>5</v>
      </c>
      <c r="D15">
        <v>0</v>
      </c>
      <c r="E15" s="1">
        <v>4999000</v>
      </c>
    </row>
    <row r="16" spans="1:5" x14ac:dyDescent="0.25">
      <c r="A16">
        <v>3379845</v>
      </c>
      <c r="B16" t="s">
        <v>17</v>
      </c>
      <c r="C16" t="s">
        <v>23</v>
      </c>
      <c r="D16">
        <v>0</v>
      </c>
      <c r="E16" s="1">
        <v>4999000</v>
      </c>
    </row>
    <row r="17" spans="1:5" x14ac:dyDescent="0.25">
      <c r="A17">
        <v>3380659</v>
      </c>
      <c r="B17" t="s">
        <v>15</v>
      </c>
      <c r="C17" t="s">
        <v>9</v>
      </c>
      <c r="D17">
        <v>0</v>
      </c>
      <c r="E17" s="1">
        <v>4999000</v>
      </c>
    </row>
    <row r="18" spans="1:5" x14ac:dyDescent="0.25">
      <c r="A18">
        <v>3380819</v>
      </c>
      <c r="B18" t="s">
        <v>2</v>
      </c>
      <c r="C18" t="s">
        <v>24</v>
      </c>
      <c r="D18">
        <v>0</v>
      </c>
      <c r="E18" s="1">
        <v>4999000</v>
      </c>
    </row>
    <row r="19" spans="1:5" x14ac:dyDescent="0.25">
      <c r="A19">
        <v>3381200</v>
      </c>
      <c r="B19" t="s">
        <v>22</v>
      </c>
      <c r="C19" t="s">
        <v>14</v>
      </c>
      <c r="D19">
        <v>0</v>
      </c>
      <c r="E19" s="1">
        <v>4999000</v>
      </c>
    </row>
    <row r="20" spans="1:5" x14ac:dyDescent="0.25">
      <c r="A20">
        <v>3381497</v>
      </c>
      <c r="B20" t="s">
        <v>25</v>
      </c>
      <c r="C20" t="s">
        <v>26</v>
      </c>
      <c r="D20">
        <v>0</v>
      </c>
      <c r="E20" s="1">
        <v>4999000</v>
      </c>
    </row>
    <row r="21" spans="1:5" x14ac:dyDescent="0.25">
      <c r="A21">
        <v>3381887</v>
      </c>
      <c r="B21" t="s">
        <v>27</v>
      </c>
      <c r="C21" t="s">
        <v>28</v>
      </c>
      <c r="D21">
        <v>0</v>
      </c>
      <c r="E21" s="1">
        <v>4999000</v>
      </c>
    </row>
    <row r="22" spans="1:5" x14ac:dyDescent="0.25">
      <c r="A22">
        <v>3382126</v>
      </c>
      <c r="B22" t="s">
        <v>15</v>
      </c>
      <c r="C22" t="s">
        <v>7</v>
      </c>
      <c r="D22">
        <v>0</v>
      </c>
      <c r="E22" s="1">
        <v>4999000</v>
      </c>
    </row>
    <row r="23" spans="1:5" x14ac:dyDescent="0.25">
      <c r="A23">
        <v>3382584</v>
      </c>
      <c r="B23" t="s">
        <v>15</v>
      </c>
      <c r="C23" t="s">
        <v>29</v>
      </c>
      <c r="D23">
        <v>0</v>
      </c>
      <c r="E23" s="1">
        <v>4999000</v>
      </c>
    </row>
    <row r="24" spans="1:5" x14ac:dyDescent="0.25">
      <c r="A24">
        <v>3382812</v>
      </c>
      <c r="B24" t="s">
        <v>30</v>
      </c>
      <c r="C24" t="s">
        <v>7</v>
      </c>
      <c r="D24">
        <v>0</v>
      </c>
      <c r="E24" s="1">
        <v>4999000</v>
      </c>
    </row>
    <row r="25" spans="1:5" x14ac:dyDescent="0.25">
      <c r="A25">
        <v>3384502</v>
      </c>
      <c r="B25" t="s">
        <v>22</v>
      </c>
      <c r="C25" t="s">
        <v>9</v>
      </c>
      <c r="D25">
        <v>0</v>
      </c>
      <c r="E25" s="1">
        <v>4999000</v>
      </c>
    </row>
    <row r="26" spans="1:5" x14ac:dyDescent="0.25">
      <c r="A26">
        <v>3387015</v>
      </c>
      <c r="B26" t="s">
        <v>31</v>
      </c>
      <c r="C26" t="s">
        <v>32</v>
      </c>
      <c r="D26">
        <v>0</v>
      </c>
      <c r="E26" s="1">
        <v>4999000</v>
      </c>
    </row>
    <row r="27" spans="1:5" x14ac:dyDescent="0.25">
      <c r="A27">
        <v>3387972</v>
      </c>
      <c r="B27" t="s">
        <v>33</v>
      </c>
      <c r="C27" t="s">
        <v>1</v>
      </c>
      <c r="D27">
        <v>0</v>
      </c>
      <c r="E27" s="1">
        <v>4999000</v>
      </c>
    </row>
    <row r="28" spans="1:5" x14ac:dyDescent="0.25">
      <c r="A28">
        <v>3388784</v>
      </c>
      <c r="B28" t="s">
        <v>15</v>
      </c>
      <c r="C28" t="s">
        <v>7</v>
      </c>
      <c r="D28">
        <v>0</v>
      </c>
      <c r="E28" s="1">
        <v>4999000</v>
      </c>
    </row>
    <row r="29" spans="1:5" x14ac:dyDescent="0.25">
      <c r="A29">
        <v>3389252</v>
      </c>
      <c r="B29" t="s">
        <v>2</v>
      </c>
      <c r="C29" t="s">
        <v>14</v>
      </c>
      <c r="D29">
        <v>0</v>
      </c>
      <c r="E29" s="1">
        <v>4999000</v>
      </c>
    </row>
    <row r="30" spans="1:5" x14ac:dyDescent="0.25">
      <c r="A30">
        <v>3389453</v>
      </c>
      <c r="B30" t="s">
        <v>15</v>
      </c>
      <c r="C30" t="s">
        <v>18</v>
      </c>
      <c r="D30">
        <v>0</v>
      </c>
      <c r="E30" s="1">
        <v>4999000</v>
      </c>
    </row>
    <row r="31" spans="1:5" x14ac:dyDescent="0.25">
      <c r="A31">
        <v>3390721</v>
      </c>
      <c r="B31" t="s">
        <v>27</v>
      </c>
      <c r="C31" t="s">
        <v>34</v>
      </c>
      <c r="D31">
        <v>0</v>
      </c>
      <c r="E31" s="1">
        <v>4999000</v>
      </c>
    </row>
    <row r="32" spans="1:5" x14ac:dyDescent="0.25">
      <c r="A32">
        <v>3393273</v>
      </c>
      <c r="B32" t="s">
        <v>15</v>
      </c>
      <c r="C32" t="s">
        <v>18</v>
      </c>
      <c r="D32">
        <v>0</v>
      </c>
      <c r="E32" s="1">
        <v>4999000</v>
      </c>
    </row>
    <row r="33" spans="1:5" x14ac:dyDescent="0.25">
      <c r="A33">
        <v>3394813</v>
      </c>
      <c r="B33" t="s">
        <v>22</v>
      </c>
      <c r="C33" t="s">
        <v>14</v>
      </c>
      <c r="D33">
        <v>0</v>
      </c>
      <c r="E33" s="1">
        <v>4999000</v>
      </c>
    </row>
    <row r="34" spans="1:5" x14ac:dyDescent="0.25">
      <c r="A34">
        <v>3395769</v>
      </c>
      <c r="B34" t="s">
        <v>25</v>
      </c>
      <c r="C34" t="s">
        <v>35</v>
      </c>
      <c r="D34">
        <v>0</v>
      </c>
      <c r="E34" s="1">
        <v>4999000</v>
      </c>
    </row>
    <row r="35" spans="1:5" x14ac:dyDescent="0.25">
      <c r="A35">
        <v>3395848</v>
      </c>
      <c r="B35" t="s">
        <v>2</v>
      </c>
      <c r="C35">
        <v>760220250018511</v>
      </c>
      <c r="D35">
        <v>0</v>
      </c>
      <c r="E35" s="1">
        <v>4999000</v>
      </c>
    </row>
    <row r="36" spans="1:5" x14ac:dyDescent="0.25">
      <c r="A36">
        <v>3376831</v>
      </c>
      <c r="B36" t="s">
        <v>17</v>
      </c>
      <c r="C36" t="s">
        <v>36</v>
      </c>
      <c r="D36">
        <v>0</v>
      </c>
      <c r="E36" s="1">
        <v>5999000</v>
      </c>
    </row>
    <row r="37" spans="1:5" x14ac:dyDescent="0.25">
      <c r="A37">
        <v>3382081</v>
      </c>
      <c r="B37" t="s">
        <v>31</v>
      </c>
      <c r="C37" t="s">
        <v>37</v>
      </c>
      <c r="D37">
        <v>0</v>
      </c>
      <c r="E37" s="1">
        <v>5999000</v>
      </c>
    </row>
    <row r="38" spans="1:5" x14ac:dyDescent="0.25">
      <c r="A38">
        <v>3382563</v>
      </c>
      <c r="B38" t="s">
        <v>2</v>
      </c>
      <c r="C38" t="s">
        <v>38</v>
      </c>
      <c r="D38">
        <v>0</v>
      </c>
      <c r="E38" s="1">
        <v>6999000</v>
      </c>
    </row>
    <row r="39" spans="1:5" x14ac:dyDescent="0.25">
      <c r="A39">
        <v>3387544</v>
      </c>
      <c r="B39" t="s">
        <v>39</v>
      </c>
      <c r="C39" t="s">
        <v>38</v>
      </c>
      <c r="D39">
        <v>0</v>
      </c>
      <c r="E39" s="1">
        <v>6999000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/>
  </sheetViews>
  <sheetFormatPr defaultRowHeight="15" x14ac:dyDescent="0.25"/>
  <cols>
    <col min="1" max="1" width="21" style="2" bestFit="1" customWidth="1"/>
    <col min="2" max="2" width="21.7109375" style="2" bestFit="1" customWidth="1"/>
    <col min="3" max="3" width="20" style="2" bestFit="1" customWidth="1"/>
    <col min="4" max="4" width="5.7109375" style="2" bestFit="1" customWidth="1"/>
    <col min="5" max="5" width="8.5703125" style="2" bestFit="1" customWidth="1"/>
    <col min="6" max="6" width="11.5703125" bestFit="1" customWidth="1"/>
    <col min="7" max="7" width="141" bestFit="1" customWidth="1"/>
  </cols>
  <sheetData>
    <row r="1" spans="1:7" x14ac:dyDescent="0.2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90</v>
      </c>
      <c r="G1" s="3" t="s">
        <v>89</v>
      </c>
    </row>
    <row r="2" spans="1:7" x14ac:dyDescent="0.25">
      <c r="A2" s="2" t="s">
        <v>45</v>
      </c>
      <c r="B2" s="2" t="s">
        <v>0</v>
      </c>
      <c r="C2" s="2" t="s">
        <v>1</v>
      </c>
      <c r="D2" s="2" t="s">
        <v>46</v>
      </c>
      <c r="E2" s="2" t="s">
        <v>47</v>
      </c>
      <c r="F2" t="str">
        <f>"EN_"&amp;RIGHT(C2,2)</f>
        <v>EN_12</v>
      </c>
      <c r="G2" t="str">
        <f>"UPDATE ESTOQUE_PROD1_ENT SET QTDE = 1, "&amp;F2&amp;" = 1"&amp;" WHERE ROMANEIO_PRODUTO = '"&amp;A2&amp;"' AND FILIAL = '"&amp;B2&amp;"' AND PRODUTO = '"&amp; LEFT(C2,8)&amp;"'"</f>
        <v>UPDATE ESTOQUE_PROD1_ENT SET QTDE = 1, EN_12 = 1 WHERE ROMANEIO_PRODUTO = '3373845 ' AND FILIAL = 'SUMARE' AND PRODUTO = 'D6040041'</v>
      </c>
    </row>
    <row r="3" spans="1:7" x14ac:dyDescent="0.25">
      <c r="A3" s="2" t="s">
        <v>48</v>
      </c>
      <c r="B3" s="2" t="s">
        <v>2</v>
      </c>
      <c r="C3" s="2" t="s">
        <v>3</v>
      </c>
      <c r="D3" s="2" t="s">
        <v>46</v>
      </c>
      <c r="E3" s="2" t="s">
        <v>47</v>
      </c>
      <c r="F3" t="str">
        <f t="shared" ref="F3:F40" si="0">"EN_"&amp;RIGHT(C3,2)</f>
        <v>EN_12</v>
      </c>
      <c r="G3" t="str">
        <f t="shared" ref="G3:G40" si="1">"UPDATE ESTOQUE_PROD1_ENT SET QTDE = 1, "&amp;F3&amp;" = 1"&amp;" WHERE ROMANEIO_PRODUTO = '"&amp;A3&amp;"' AND FILIAL = '"&amp;B3&amp;"' AND PRODUTO = '"&amp; LEFT(C3,8)&amp;"'"</f>
        <v>UPDATE ESTOQUE_PROD1_ENT SET QTDE = 1, EN_12 = 1 WHERE ROMANEIO_PRODUTO = '3374285 ' AND FILIAL = 'FRANCO DA ROCHA' AND PRODUTO = 'D8020046'</v>
      </c>
    </row>
    <row r="4" spans="1:7" x14ac:dyDescent="0.25">
      <c r="A4" s="2" t="s">
        <v>49</v>
      </c>
      <c r="B4" s="2" t="s">
        <v>4</v>
      </c>
      <c r="C4" s="2" t="s">
        <v>5</v>
      </c>
      <c r="D4" s="2" t="s">
        <v>46</v>
      </c>
      <c r="E4" s="2" t="s">
        <v>47</v>
      </c>
      <c r="F4" t="str">
        <f t="shared" si="0"/>
        <v>EN_13</v>
      </c>
      <c r="G4" t="str">
        <f t="shared" si="1"/>
        <v>UPDATE ESTOQUE_PROD1_ENT SET QTDE = 1, EN_13 = 1 WHERE ROMANEIO_PRODUTO = '3374705 ' AND FILIAL = 'JARDIM ANGELA' AND PRODUTO = 'D6040041'</v>
      </c>
    </row>
    <row r="5" spans="1:7" x14ac:dyDescent="0.25">
      <c r="A5" s="2" t="s">
        <v>50</v>
      </c>
      <c r="B5" s="2" t="s">
        <v>6</v>
      </c>
      <c r="C5" s="2" t="s">
        <v>7</v>
      </c>
      <c r="D5" s="2" t="s">
        <v>46</v>
      </c>
      <c r="E5" s="2" t="s">
        <v>47</v>
      </c>
      <c r="F5" t="str">
        <f t="shared" si="0"/>
        <v>EN_11</v>
      </c>
      <c r="G5" t="str">
        <f t="shared" si="1"/>
        <v>UPDATE ESTOQUE_PROD1_ENT SET QTDE = 1, EN_11 = 1 WHERE ROMANEIO_PRODUTO = '3375470 ' AND FILIAL = 'MAUA' AND PRODUTO = 'D6040041'</v>
      </c>
    </row>
    <row r="6" spans="1:7" x14ac:dyDescent="0.25">
      <c r="A6" s="2" t="s">
        <v>51</v>
      </c>
      <c r="B6" s="2" t="s">
        <v>8</v>
      </c>
      <c r="C6" s="2" t="s">
        <v>9</v>
      </c>
      <c r="D6" s="2" t="s">
        <v>46</v>
      </c>
      <c r="E6" s="2" t="s">
        <v>47</v>
      </c>
      <c r="F6" t="str">
        <f t="shared" si="0"/>
        <v>EN_13</v>
      </c>
      <c r="G6" t="str">
        <f t="shared" si="1"/>
        <v>UPDATE ESTOQUE_PROD1_ENT SET QTDE = 1, EN_13 = 1 WHERE ROMANEIO_PRODUTO = '3375686 ' AND FILIAL = 'COTIA' AND PRODUTO = 'D8020046'</v>
      </c>
    </row>
    <row r="7" spans="1:7" x14ac:dyDescent="0.25">
      <c r="A7" s="2" t="s">
        <v>52</v>
      </c>
      <c r="B7" s="2" t="s">
        <v>10</v>
      </c>
      <c r="C7" s="2" t="s">
        <v>3</v>
      </c>
      <c r="D7" s="2" t="s">
        <v>46</v>
      </c>
      <c r="E7" s="2" t="s">
        <v>47</v>
      </c>
      <c r="F7" t="str">
        <f t="shared" si="0"/>
        <v>EN_12</v>
      </c>
      <c r="G7" t="str">
        <f t="shared" si="1"/>
        <v>UPDATE ESTOQUE_PROD1_ENT SET QTDE = 1, EN_12 = 1 WHERE ROMANEIO_PRODUTO = '3375906 ' AND FILIAL = 'POA' AND PRODUTO = 'D8020046'</v>
      </c>
    </row>
    <row r="8" spans="1:7" x14ac:dyDescent="0.25">
      <c r="A8" s="2" t="s">
        <v>53</v>
      </c>
      <c r="B8" s="2" t="s">
        <v>11</v>
      </c>
      <c r="C8" s="2" t="s">
        <v>9</v>
      </c>
      <c r="D8" s="2" t="s">
        <v>46</v>
      </c>
      <c r="E8" s="2" t="s">
        <v>47</v>
      </c>
      <c r="F8" t="str">
        <f t="shared" si="0"/>
        <v>EN_13</v>
      </c>
      <c r="G8" t="str">
        <f t="shared" si="1"/>
        <v>UPDATE ESTOQUE_PROD1_ENT SET QTDE = 1, EN_13 = 1 WHERE ROMANEIO_PRODUTO = '3375996 ' AND FILIAL = 'SP - BRASILANDIA' AND PRODUTO = 'D8020046'</v>
      </c>
    </row>
    <row r="9" spans="1:7" x14ac:dyDescent="0.25">
      <c r="A9" s="2" t="s">
        <v>54</v>
      </c>
      <c r="B9" s="2" t="s">
        <v>12</v>
      </c>
      <c r="C9" s="2" t="s">
        <v>13</v>
      </c>
      <c r="D9" s="2" t="s">
        <v>46</v>
      </c>
      <c r="E9" s="2" t="s">
        <v>47</v>
      </c>
      <c r="F9" t="str">
        <f t="shared" si="0"/>
        <v>EN_12</v>
      </c>
      <c r="G9" t="str">
        <f t="shared" si="1"/>
        <v>UPDATE ESTOQUE_PROD1_ENT SET QTDE = 1, EN_12 = 1 WHERE ROMANEIO_PRODUTO = '3376055 ' AND FILIAL = 'PIRASSUNUNGA' AND PRODUTO = 'D8030064'</v>
      </c>
    </row>
    <row r="10" spans="1:7" x14ac:dyDescent="0.25">
      <c r="A10" s="2" t="s">
        <v>55</v>
      </c>
      <c r="B10" s="2" t="s">
        <v>17</v>
      </c>
      <c r="C10" s="2" t="s">
        <v>36</v>
      </c>
      <c r="D10" s="2" t="s">
        <v>46</v>
      </c>
      <c r="E10" s="2" t="s">
        <v>56</v>
      </c>
      <c r="F10" t="str">
        <f t="shared" si="0"/>
        <v>EN_12</v>
      </c>
      <c r="G10" t="str">
        <f t="shared" si="1"/>
        <v>UPDATE ESTOQUE_PROD1_ENT SET QTDE = 1, EN_12 = 1 WHERE ROMANEIO_PRODUTO = '3376831 ' AND FILIAL = 'SP - PIRAPORINHA' AND PRODUTO = 'D8020048'</v>
      </c>
    </row>
    <row r="11" spans="1:7" x14ac:dyDescent="0.25">
      <c r="A11" s="2" t="s">
        <v>57</v>
      </c>
      <c r="B11" s="2" t="s">
        <v>2</v>
      </c>
      <c r="C11" s="2" t="s">
        <v>14</v>
      </c>
      <c r="D11" s="2" t="s">
        <v>46</v>
      </c>
      <c r="E11" s="2" t="s">
        <v>47</v>
      </c>
      <c r="F11" t="str">
        <f t="shared" si="0"/>
        <v>EN_13</v>
      </c>
      <c r="G11" t="str">
        <f t="shared" si="1"/>
        <v>UPDATE ESTOQUE_PROD1_ENT SET QTDE = 1, EN_13 = 1 WHERE ROMANEIO_PRODUTO = '3376930 ' AND FILIAL = 'FRANCO DA ROCHA' AND PRODUTO = 'D8020046'</v>
      </c>
    </row>
    <row r="12" spans="1:7" x14ac:dyDescent="0.25">
      <c r="A12" s="2" t="s">
        <v>58</v>
      </c>
      <c r="B12" s="2" t="s">
        <v>4</v>
      </c>
      <c r="C12" s="2" t="s">
        <v>1</v>
      </c>
      <c r="D12" s="2" t="s">
        <v>46</v>
      </c>
      <c r="E12" s="2" t="s">
        <v>47</v>
      </c>
      <c r="F12" t="str">
        <f t="shared" si="0"/>
        <v>EN_12</v>
      </c>
      <c r="G12" t="str">
        <f t="shared" si="1"/>
        <v>UPDATE ESTOQUE_PROD1_ENT SET QTDE = 1, EN_12 = 1 WHERE ROMANEIO_PRODUTO = '3376980 ' AND FILIAL = 'JARDIM ANGELA' AND PRODUTO = 'D6040041'</v>
      </c>
    </row>
    <row r="13" spans="1:7" x14ac:dyDescent="0.25">
      <c r="A13" s="2" t="s">
        <v>59</v>
      </c>
      <c r="B13" s="2" t="s">
        <v>15</v>
      </c>
      <c r="C13" s="2" t="s">
        <v>16</v>
      </c>
      <c r="D13" s="2" t="s">
        <v>46</v>
      </c>
      <c r="E13" s="2" t="s">
        <v>47</v>
      </c>
      <c r="F13" t="str">
        <f t="shared" si="0"/>
        <v>EN_11</v>
      </c>
      <c r="G13" t="str">
        <f t="shared" si="1"/>
        <v>UPDATE ESTOQUE_PROD1_ENT SET QTDE = 1, EN_11 = 1 WHERE ROMANEIO_PRODUTO = '3377046 ' AND FILIAL = 'FRANCISCO MORATO' AND PRODUTO = 'D8020046'</v>
      </c>
    </row>
    <row r="14" spans="1:7" x14ac:dyDescent="0.25">
      <c r="A14" s="2" t="s">
        <v>60</v>
      </c>
      <c r="B14" s="2" t="s">
        <v>17</v>
      </c>
      <c r="C14" s="2" t="s">
        <v>18</v>
      </c>
      <c r="D14" s="2" t="s">
        <v>46</v>
      </c>
      <c r="E14" s="2" t="s">
        <v>47</v>
      </c>
      <c r="F14" t="str">
        <f t="shared" si="0"/>
        <v>EN_12</v>
      </c>
      <c r="G14" t="str">
        <f t="shared" si="1"/>
        <v>UPDATE ESTOQUE_PROD1_ENT SET QTDE = 1, EN_12 = 1 WHERE ROMANEIO_PRODUTO = '3377069 ' AND FILIAL = 'SP - PIRAPORINHA' AND PRODUTO = 'D6040041'</v>
      </c>
    </row>
    <row r="15" spans="1:7" x14ac:dyDescent="0.25">
      <c r="A15" s="2" t="s">
        <v>61</v>
      </c>
      <c r="B15" s="2" t="s">
        <v>19</v>
      </c>
      <c r="C15" s="2" t="s">
        <v>3</v>
      </c>
      <c r="D15" s="2" t="s">
        <v>46</v>
      </c>
      <c r="E15" s="2" t="s">
        <v>47</v>
      </c>
      <c r="F15" t="str">
        <f t="shared" si="0"/>
        <v>EN_12</v>
      </c>
      <c r="G15" t="str">
        <f t="shared" si="1"/>
        <v>UPDATE ESTOQUE_PROD1_ENT SET QTDE = 1, EN_12 = 1 WHERE ROMANEIO_PRODUTO = '3377353 ' AND FILIAL = 'VICENTE DE CARVALHO' AND PRODUTO = 'D8020046'</v>
      </c>
    </row>
    <row r="16" spans="1:7" x14ac:dyDescent="0.25">
      <c r="A16" s="2" t="s">
        <v>62</v>
      </c>
      <c r="B16" s="2" t="s">
        <v>20</v>
      </c>
      <c r="C16" s="2" t="s">
        <v>21</v>
      </c>
      <c r="D16" s="2" t="s">
        <v>46</v>
      </c>
      <c r="E16" s="2" t="s">
        <v>47</v>
      </c>
      <c r="F16" t="str">
        <f t="shared" si="0"/>
        <v>EN_11</v>
      </c>
      <c r="G16" t="str">
        <f t="shared" si="1"/>
        <v>UPDATE ESTOQUE_PROD1_ENT SET QTDE = 1, EN_11 = 1 WHERE ROMANEIO_PRODUTO = '3378555 ' AND FILIAL = 'CRUZEIRO' AND PRODUTO = 'D8030064'</v>
      </c>
    </row>
    <row r="17" spans="1:7" x14ac:dyDescent="0.25">
      <c r="A17" s="2" t="s">
        <v>63</v>
      </c>
      <c r="B17" s="2" t="s">
        <v>22</v>
      </c>
      <c r="C17" s="2" t="s">
        <v>5</v>
      </c>
      <c r="D17" s="2" t="s">
        <v>46</v>
      </c>
      <c r="E17" s="2" t="s">
        <v>47</v>
      </c>
      <c r="F17" t="str">
        <f t="shared" si="0"/>
        <v>EN_13</v>
      </c>
      <c r="G17" t="str">
        <f t="shared" si="1"/>
        <v>UPDATE ESTOQUE_PROD1_ENT SET QTDE = 1, EN_13 = 1 WHERE ROMANEIO_PRODUTO = '3379413 ' AND FILIAL = 'SAO MATHEUS' AND PRODUTO = 'D6040041'</v>
      </c>
    </row>
    <row r="18" spans="1:7" x14ac:dyDescent="0.25">
      <c r="A18" s="2" t="s">
        <v>64</v>
      </c>
      <c r="B18" s="2" t="s">
        <v>17</v>
      </c>
      <c r="C18" s="2" t="s">
        <v>23</v>
      </c>
      <c r="D18" s="2" t="s">
        <v>46</v>
      </c>
      <c r="E18" s="2" t="s">
        <v>47</v>
      </c>
      <c r="F18" t="str">
        <f t="shared" si="0"/>
        <v>EN_13</v>
      </c>
      <c r="G18" t="str">
        <f t="shared" si="1"/>
        <v>UPDATE ESTOQUE_PROD1_ENT SET QTDE = 1, EN_13 = 1 WHERE ROMANEIO_PRODUTO = '3379845 ' AND FILIAL = 'SP - PIRAPORINHA' AND PRODUTO = 'D6040040'</v>
      </c>
    </row>
    <row r="19" spans="1:7" x14ac:dyDescent="0.25">
      <c r="A19" s="2" t="s">
        <v>65</v>
      </c>
      <c r="B19" s="2" t="s">
        <v>15</v>
      </c>
      <c r="C19" s="2" t="s">
        <v>9</v>
      </c>
      <c r="D19" s="2" t="s">
        <v>46</v>
      </c>
      <c r="E19" s="2" t="s">
        <v>47</v>
      </c>
      <c r="F19" t="str">
        <f t="shared" si="0"/>
        <v>EN_13</v>
      </c>
      <c r="G19" t="str">
        <f t="shared" si="1"/>
        <v>UPDATE ESTOQUE_PROD1_ENT SET QTDE = 1, EN_13 = 1 WHERE ROMANEIO_PRODUTO = '3380659 ' AND FILIAL = 'FRANCISCO MORATO' AND PRODUTO = 'D8020046'</v>
      </c>
    </row>
    <row r="20" spans="1:7" x14ac:dyDescent="0.25">
      <c r="A20" s="2" t="s">
        <v>66</v>
      </c>
      <c r="B20" s="2" t="s">
        <v>2</v>
      </c>
      <c r="C20" s="2" t="s">
        <v>24</v>
      </c>
      <c r="D20" s="2" t="s">
        <v>46</v>
      </c>
      <c r="E20" s="2" t="s">
        <v>47</v>
      </c>
      <c r="F20" t="str">
        <f t="shared" si="0"/>
        <v>EN_13</v>
      </c>
      <c r="G20" t="str">
        <f t="shared" si="1"/>
        <v>UPDATE ESTOQUE_PROD1_ENT SET QTDE = 1, EN_13 = 1 WHERE ROMANEIO_PRODUTO = '3380819 ' AND FILIAL = 'FRANCO DA ROCHA' AND PRODUTO = 'D6040041'</v>
      </c>
    </row>
    <row r="21" spans="1:7" x14ac:dyDescent="0.25">
      <c r="A21" s="2" t="s">
        <v>67</v>
      </c>
      <c r="B21" s="2" t="s">
        <v>22</v>
      </c>
      <c r="C21" s="2" t="s">
        <v>14</v>
      </c>
      <c r="D21" s="2" t="s">
        <v>46</v>
      </c>
      <c r="E21" s="2" t="s">
        <v>47</v>
      </c>
      <c r="F21" t="str">
        <f t="shared" si="0"/>
        <v>EN_13</v>
      </c>
      <c r="G21" t="str">
        <f t="shared" si="1"/>
        <v>UPDATE ESTOQUE_PROD1_ENT SET QTDE = 1, EN_13 = 1 WHERE ROMANEIO_PRODUTO = '3381200 ' AND FILIAL = 'SAO MATHEUS' AND PRODUTO = 'D8020046'</v>
      </c>
    </row>
    <row r="22" spans="1:7" x14ac:dyDescent="0.25">
      <c r="A22" s="2" t="s">
        <v>68</v>
      </c>
      <c r="B22" s="2" t="s">
        <v>25</v>
      </c>
      <c r="C22" s="2" t="s">
        <v>26</v>
      </c>
      <c r="D22" s="2" t="s">
        <v>46</v>
      </c>
      <c r="E22" s="2" t="s">
        <v>47</v>
      </c>
      <c r="F22" t="str">
        <f t="shared" si="0"/>
        <v>EN_11</v>
      </c>
      <c r="G22" t="str">
        <f t="shared" si="1"/>
        <v>UPDATE ESTOQUE_PROD1_ENT SET QTDE = 1, EN_11 = 1 WHERE ROMANEIO_PRODUTO = '3381497 ' AND FILIAL = 'VARZEA PAULISTA' AND PRODUTO = 'D6040040'</v>
      </c>
    </row>
    <row r="23" spans="1:7" x14ac:dyDescent="0.25">
      <c r="A23" s="2" t="s">
        <v>69</v>
      </c>
      <c r="B23" s="2" t="s">
        <v>27</v>
      </c>
      <c r="C23" s="2" t="s">
        <v>28</v>
      </c>
      <c r="D23" s="2" t="s">
        <v>46</v>
      </c>
      <c r="E23" s="2" t="s">
        <v>47</v>
      </c>
      <c r="F23" t="str">
        <f t="shared" si="0"/>
        <v>EN_13</v>
      </c>
      <c r="G23" t="str">
        <f t="shared" si="1"/>
        <v>UPDATE ESTOQUE_PROD1_ENT SET QTDE = 1, EN_13 = 1 WHERE ROMANEIO_PRODUTO = '3381887 ' AND FILIAL = 'ITAPEVI' AND PRODUTO = 'D6040040'</v>
      </c>
    </row>
    <row r="24" spans="1:7" x14ac:dyDescent="0.25">
      <c r="A24" s="2" t="s">
        <v>70</v>
      </c>
      <c r="B24" s="2" t="s">
        <v>31</v>
      </c>
      <c r="C24" s="2" t="s">
        <v>37</v>
      </c>
      <c r="D24" s="2" t="s">
        <v>46</v>
      </c>
      <c r="E24" s="2" t="s">
        <v>56</v>
      </c>
      <c r="F24" t="str">
        <f t="shared" si="0"/>
        <v>EN_12</v>
      </c>
      <c r="G24" t="str">
        <f t="shared" si="1"/>
        <v>UPDATE ESTOQUE_PROD1_ENT SET QTDE = 1, EN_12 = 1 WHERE ROMANEIO_PRODUTO = '3382081 ' AND FILIAL = 'FERRAZ' AND PRODUTO = 'D8020048'</v>
      </c>
    </row>
    <row r="25" spans="1:7" x14ac:dyDescent="0.25">
      <c r="A25" s="2" t="s">
        <v>71</v>
      </c>
      <c r="B25" s="2" t="s">
        <v>15</v>
      </c>
      <c r="C25" s="2" t="s">
        <v>7</v>
      </c>
      <c r="D25" s="2" t="s">
        <v>46</v>
      </c>
      <c r="E25" s="2" t="s">
        <v>47</v>
      </c>
      <c r="F25" t="str">
        <f t="shared" si="0"/>
        <v>EN_11</v>
      </c>
      <c r="G25" t="str">
        <f t="shared" si="1"/>
        <v>UPDATE ESTOQUE_PROD1_ENT SET QTDE = 1, EN_11 = 1 WHERE ROMANEIO_PRODUTO = '3382126 ' AND FILIAL = 'FRANCISCO MORATO' AND PRODUTO = 'D6040041'</v>
      </c>
    </row>
    <row r="26" spans="1:7" x14ac:dyDescent="0.25">
      <c r="A26" s="2" t="s">
        <v>72</v>
      </c>
      <c r="B26" s="2" t="s">
        <v>2</v>
      </c>
      <c r="C26" s="2" t="s">
        <v>38</v>
      </c>
      <c r="D26" s="2" t="s">
        <v>46</v>
      </c>
      <c r="E26" s="2" t="s">
        <v>73</v>
      </c>
      <c r="F26" t="str">
        <f t="shared" si="0"/>
        <v>EN_11</v>
      </c>
      <c r="G26" t="str">
        <f t="shared" si="1"/>
        <v>UPDATE ESTOQUE_PROD1_ENT SET QTDE = 1, EN_11 = 1 WHERE ROMANEIO_PRODUTO = '3382563 ' AND FILIAL = 'FRANCO DA ROCHA' AND PRODUTO = 'E1020005'</v>
      </c>
    </row>
    <row r="27" spans="1:7" x14ac:dyDescent="0.25">
      <c r="A27" s="2" t="s">
        <v>74</v>
      </c>
      <c r="B27" s="2" t="s">
        <v>15</v>
      </c>
      <c r="C27" s="2" t="s">
        <v>29</v>
      </c>
      <c r="D27" s="2" t="s">
        <v>46</v>
      </c>
      <c r="E27" s="2" t="s">
        <v>47</v>
      </c>
      <c r="F27" t="str">
        <f t="shared" si="0"/>
        <v>EN_12</v>
      </c>
      <c r="G27" t="str">
        <f t="shared" si="1"/>
        <v>UPDATE ESTOQUE_PROD1_ENT SET QTDE = 1, EN_12 = 1 WHERE ROMANEIO_PRODUTO = '3382584 ' AND FILIAL = 'FRANCISCO MORATO' AND PRODUTO = 'D8020046'</v>
      </c>
    </row>
    <row r="28" spans="1:7" x14ac:dyDescent="0.25">
      <c r="A28" s="2" t="s">
        <v>75</v>
      </c>
      <c r="B28" s="2" t="s">
        <v>30</v>
      </c>
      <c r="C28" s="2" t="s">
        <v>7</v>
      </c>
      <c r="D28" s="2" t="s">
        <v>46</v>
      </c>
      <c r="E28" s="2" t="s">
        <v>47</v>
      </c>
      <c r="F28" t="str">
        <f t="shared" si="0"/>
        <v>EN_11</v>
      </c>
      <c r="G28" t="str">
        <f t="shared" si="1"/>
        <v>UPDATE ESTOQUE_PROD1_ENT SET QTDE = 1, EN_11 = 1 WHERE ROMANEIO_PRODUTO = '3382812 ' AND FILIAL = 'SP - CAPAO CENTRO' AND PRODUTO = 'D6040041'</v>
      </c>
    </row>
    <row r="29" spans="1:7" x14ac:dyDescent="0.25">
      <c r="A29" s="2" t="s">
        <v>76</v>
      </c>
      <c r="B29" s="2" t="s">
        <v>22</v>
      </c>
      <c r="C29" s="2" t="s">
        <v>9</v>
      </c>
      <c r="D29" s="2" t="s">
        <v>46</v>
      </c>
      <c r="E29" s="2" t="s">
        <v>47</v>
      </c>
      <c r="F29" t="str">
        <f t="shared" si="0"/>
        <v>EN_13</v>
      </c>
      <c r="G29" t="str">
        <f t="shared" si="1"/>
        <v>UPDATE ESTOQUE_PROD1_ENT SET QTDE = 1, EN_13 = 1 WHERE ROMANEIO_PRODUTO = '3384502 ' AND FILIAL = 'SAO MATHEUS' AND PRODUTO = 'D8020046'</v>
      </c>
    </row>
    <row r="30" spans="1:7" x14ac:dyDescent="0.25">
      <c r="A30" s="2" t="s">
        <v>77</v>
      </c>
      <c r="B30" s="2" t="s">
        <v>31</v>
      </c>
      <c r="C30" s="2" t="s">
        <v>32</v>
      </c>
      <c r="D30" s="2" t="s">
        <v>46</v>
      </c>
      <c r="E30" s="2" t="s">
        <v>47</v>
      </c>
      <c r="F30" t="str">
        <f t="shared" si="0"/>
        <v>EN_11</v>
      </c>
      <c r="G30" t="str">
        <f t="shared" si="1"/>
        <v>UPDATE ESTOQUE_PROD1_ENT SET QTDE = 1, EN_11 = 1 WHERE ROMANEIO_PRODUTO = '3387015 ' AND FILIAL = 'FERRAZ' AND PRODUTO = 'D6040041'</v>
      </c>
    </row>
    <row r="31" spans="1:7" x14ac:dyDescent="0.25">
      <c r="A31" s="2" t="s">
        <v>78</v>
      </c>
      <c r="B31" s="2" t="s">
        <v>39</v>
      </c>
      <c r="C31" s="2" t="s">
        <v>38</v>
      </c>
      <c r="D31" s="2" t="s">
        <v>46</v>
      </c>
      <c r="E31" s="2" t="s">
        <v>73</v>
      </c>
      <c r="F31" t="str">
        <f t="shared" si="0"/>
        <v>EN_11</v>
      </c>
      <c r="G31" t="str">
        <f t="shared" si="1"/>
        <v>UPDATE ESTOQUE_PROD1_ENT SET QTDE = 1, EN_11 = 1 WHERE ROMANEIO_PRODUTO = '3387544 ' AND FILIAL = 'CARAPICUIBA' AND PRODUTO = 'E1020005'</v>
      </c>
    </row>
    <row r="32" spans="1:7" x14ac:dyDescent="0.25">
      <c r="A32" s="2" t="s">
        <v>79</v>
      </c>
      <c r="B32" s="2" t="s">
        <v>33</v>
      </c>
      <c r="C32" s="2" t="s">
        <v>1</v>
      </c>
      <c r="D32" s="2" t="s">
        <v>46</v>
      </c>
      <c r="E32" s="2" t="s">
        <v>47</v>
      </c>
      <c r="F32" t="str">
        <f t="shared" si="0"/>
        <v>EN_12</v>
      </c>
      <c r="G32" t="str">
        <f t="shared" si="1"/>
        <v>UPDATE ESTOQUE_PROD1_ENT SET QTDE = 1, EN_12 = 1 WHERE ROMANEIO_PRODUTO = '3387972 ' AND FILIAL = 'SP - METRO CAPAO' AND PRODUTO = 'D6040041'</v>
      </c>
    </row>
    <row r="33" spans="1:7" x14ac:dyDescent="0.25">
      <c r="A33" s="2" t="s">
        <v>80</v>
      </c>
      <c r="B33" s="2" t="s">
        <v>15</v>
      </c>
      <c r="C33" s="2" t="s">
        <v>7</v>
      </c>
      <c r="D33" s="2" t="s">
        <v>46</v>
      </c>
      <c r="E33" s="2" t="s">
        <v>47</v>
      </c>
      <c r="F33" t="str">
        <f t="shared" si="0"/>
        <v>EN_11</v>
      </c>
      <c r="G33" t="str">
        <f t="shared" si="1"/>
        <v>UPDATE ESTOQUE_PROD1_ENT SET QTDE = 1, EN_11 = 1 WHERE ROMANEIO_PRODUTO = '3388784 ' AND FILIAL = 'FRANCISCO MORATO' AND PRODUTO = 'D6040041'</v>
      </c>
    </row>
    <row r="34" spans="1:7" x14ac:dyDescent="0.25">
      <c r="A34" s="2" t="s">
        <v>81</v>
      </c>
      <c r="B34" s="2" t="s">
        <v>2</v>
      </c>
      <c r="C34" s="2" t="s">
        <v>14</v>
      </c>
      <c r="D34" s="2" t="s">
        <v>46</v>
      </c>
      <c r="E34" s="2" t="s">
        <v>47</v>
      </c>
      <c r="F34" t="str">
        <f t="shared" si="0"/>
        <v>EN_13</v>
      </c>
      <c r="G34" t="str">
        <f t="shared" si="1"/>
        <v>UPDATE ESTOQUE_PROD1_ENT SET QTDE = 1, EN_13 = 1 WHERE ROMANEIO_PRODUTO = '3389252 ' AND FILIAL = 'FRANCO DA ROCHA' AND PRODUTO = 'D8020046'</v>
      </c>
    </row>
    <row r="35" spans="1:7" x14ac:dyDescent="0.25">
      <c r="A35" s="2" t="s">
        <v>82</v>
      </c>
      <c r="B35" s="2" t="s">
        <v>15</v>
      </c>
      <c r="C35" s="2" t="s">
        <v>18</v>
      </c>
      <c r="D35" s="2" t="s">
        <v>46</v>
      </c>
      <c r="E35" s="2" t="s">
        <v>47</v>
      </c>
      <c r="F35" t="str">
        <f t="shared" si="0"/>
        <v>EN_12</v>
      </c>
      <c r="G35" t="str">
        <f t="shared" si="1"/>
        <v>UPDATE ESTOQUE_PROD1_ENT SET QTDE = 1, EN_12 = 1 WHERE ROMANEIO_PRODUTO = '3389453 ' AND FILIAL = 'FRANCISCO MORATO' AND PRODUTO = 'D6040041'</v>
      </c>
    </row>
    <row r="36" spans="1:7" x14ac:dyDescent="0.25">
      <c r="A36" s="2" t="s">
        <v>83</v>
      </c>
      <c r="B36" s="2" t="s">
        <v>27</v>
      </c>
      <c r="C36" s="2" t="s">
        <v>34</v>
      </c>
      <c r="D36" s="2" t="s">
        <v>46</v>
      </c>
      <c r="E36" s="2" t="s">
        <v>47</v>
      </c>
      <c r="F36" t="str">
        <f t="shared" si="0"/>
        <v>EN_11</v>
      </c>
      <c r="G36" t="str">
        <f t="shared" si="1"/>
        <v>UPDATE ESTOQUE_PROD1_ENT SET QTDE = 1, EN_11 = 1 WHERE ROMANEIO_PRODUTO = '3390721 ' AND FILIAL = 'ITAPEVI' AND PRODUTO = 'D6040040'</v>
      </c>
    </row>
    <row r="37" spans="1:7" x14ac:dyDescent="0.25">
      <c r="A37" s="2" t="s">
        <v>84</v>
      </c>
      <c r="B37" s="2" t="s">
        <v>15</v>
      </c>
      <c r="C37" s="2" t="s">
        <v>18</v>
      </c>
      <c r="D37" s="2" t="s">
        <v>46</v>
      </c>
      <c r="E37" s="2" t="s">
        <v>47</v>
      </c>
      <c r="F37" t="str">
        <f t="shared" si="0"/>
        <v>EN_12</v>
      </c>
      <c r="G37" t="str">
        <f t="shared" si="1"/>
        <v>UPDATE ESTOQUE_PROD1_ENT SET QTDE = 1, EN_12 = 1 WHERE ROMANEIO_PRODUTO = '3393273 ' AND FILIAL = 'FRANCISCO MORATO' AND PRODUTO = 'D6040041'</v>
      </c>
    </row>
    <row r="38" spans="1:7" x14ac:dyDescent="0.25">
      <c r="A38" s="2" t="s">
        <v>85</v>
      </c>
      <c r="B38" s="2" t="s">
        <v>22</v>
      </c>
      <c r="C38" s="2" t="s">
        <v>14</v>
      </c>
      <c r="D38" s="2" t="s">
        <v>46</v>
      </c>
      <c r="E38" s="2" t="s">
        <v>47</v>
      </c>
      <c r="F38" t="str">
        <f t="shared" si="0"/>
        <v>EN_13</v>
      </c>
      <c r="G38" t="str">
        <f t="shared" si="1"/>
        <v>UPDATE ESTOQUE_PROD1_ENT SET QTDE = 1, EN_13 = 1 WHERE ROMANEIO_PRODUTO = '3394813 ' AND FILIAL = 'SAO MATHEUS' AND PRODUTO = 'D8020046'</v>
      </c>
    </row>
    <row r="39" spans="1:7" x14ac:dyDescent="0.25">
      <c r="A39" s="2" t="s">
        <v>86</v>
      </c>
      <c r="B39" s="2" t="s">
        <v>25</v>
      </c>
      <c r="C39" s="2" t="s">
        <v>35</v>
      </c>
      <c r="D39" s="2" t="s">
        <v>46</v>
      </c>
      <c r="E39" s="2" t="s">
        <v>47</v>
      </c>
      <c r="F39" t="str">
        <f t="shared" si="0"/>
        <v>EN_12</v>
      </c>
      <c r="G39" t="str">
        <f t="shared" si="1"/>
        <v>UPDATE ESTOQUE_PROD1_ENT SET QTDE = 1, EN_12 = 1 WHERE ROMANEIO_PRODUTO = '3395769 ' AND FILIAL = 'VARZEA PAULISTA' AND PRODUTO = 'D6040040'</v>
      </c>
    </row>
    <row r="40" spans="1:7" x14ac:dyDescent="0.25">
      <c r="A40" s="2" t="s">
        <v>87</v>
      </c>
      <c r="B40" s="2" t="s">
        <v>2</v>
      </c>
      <c r="C40" s="2" t="s">
        <v>88</v>
      </c>
      <c r="D40" s="2" t="s">
        <v>46</v>
      </c>
      <c r="E40" s="2" t="s">
        <v>47</v>
      </c>
      <c r="F40" t="str">
        <f t="shared" si="0"/>
        <v>EN_11</v>
      </c>
      <c r="G40" t="str">
        <f t="shared" si="1"/>
        <v>UPDATE ESTOQUE_PROD1_ENT SET QTDE = 1, EN_11 = 1 WHERE ROMANEIO_PRODUTO = '3395848 ' AND FILIAL = 'FRANCO DA ROCHA' AND PRODUTO = '76022025'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Guelfi Beira</dc:creator>
  <cp:lastModifiedBy>Paulo Devide</cp:lastModifiedBy>
  <dcterms:created xsi:type="dcterms:W3CDTF">2017-05-17T18:52:50Z</dcterms:created>
  <dcterms:modified xsi:type="dcterms:W3CDTF">2017-05-17T20:21:27Z</dcterms:modified>
</cp:coreProperties>
</file>