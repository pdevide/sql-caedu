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QL\DEPLOY\"/>
    </mc:Choice>
  </mc:AlternateContent>
  <bookViews>
    <workbookView xWindow="0" yWindow="0" windowWidth="15270" windowHeight="6735"/>
  </bookViews>
  <sheets>
    <sheet name="Planilha3" sheetId="3" r:id="rId1"/>
    <sheet name="FORNECEDOR" sheetId="1" r:id="rId2"/>
    <sheet name="PEDIDOS" sheetId="2" r:id="rId3"/>
  </sheets>
  <definedNames>
    <definedName name="_xlnm._FilterDatabase" localSheetId="1" hidden="1">FORNECEDOR!$A$1:$F$2489</definedName>
    <definedName name="_xlnm._FilterDatabase" localSheetId="2" hidden="1">PEDIDOS!$A$1:$D$1618</definedName>
  </definedNames>
  <calcPr calcId="171027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97" i="3" l="1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2489" i="1"/>
  <c r="D2489" i="1"/>
  <c r="C2489" i="1"/>
  <c r="E2488" i="1"/>
  <c r="D2488" i="1"/>
  <c r="C2488" i="1"/>
  <c r="E2487" i="1"/>
  <c r="D2487" i="1"/>
  <c r="C2487" i="1"/>
  <c r="E2486" i="1"/>
  <c r="D2486" i="1"/>
  <c r="C2486" i="1"/>
  <c r="E2485" i="1"/>
  <c r="D2485" i="1"/>
  <c r="C2485" i="1"/>
  <c r="E2484" i="1"/>
  <c r="D2484" i="1"/>
  <c r="C2484" i="1"/>
  <c r="E2483" i="1"/>
  <c r="D2483" i="1"/>
  <c r="C2483" i="1"/>
  <c r="E2482" i="1"/>
  <c r="D2482" i="1"/>
  <c r="C2482" i="1"/>
  <c r="E2481" i="1"/>
  <c r="D2481" i="1"/>
  <c r="C2481" i="1"/>
  <c r="E2480" i="1"/>
  <c r="D2480" i="1"/>
  <c r="C2480" i="1"/>
  <c r="E2479" i="1"/>
  <c r="D2479" i="1"/>
  <c r="C2479" i="1"/>
  <c r="E2478" i="1"/>
  <c r="D2478" i="1"/>
  <c r="C2478" i="1"/>
  <c r="E2477" i="1"/>
  <c r="D2477" i="1"/>
  <c r="C2477" i="1"/>
  <c r="E2476" i="1"/>
  <c r="D2476" i="1"/>
  <c r="C2476" i="1"/>
  <c r="E2475" i="1"/>
  <c r="D2475" i="1"/>
  <c r="C2475" i="1"/>
  <c r="E2474" i="1"/>
  <c r="D2474" i="1"/>
  <c r="C2474" i="1"/>
  <c r="E2473" i="1"/>
  <c r="D2473" i="1"/>
  <c r="C2473" i="1"/>
  <c r="E2472" i="1"/>
  <c r="D2472" i="1"/>
  <c r="C2472" i="1"/>
  <c r="E2471" i="1"/>
  <c r="D2471" i="1"/>
  <c r="C2471" i="1"/>
  <c r="E2470" i="1"/>
  <c r="D2470" i="1"/>
  <c r="C2470" i="1"/>
  <c r="E2469" i="1"/>
  <c r="D2469" i="1"/>
  <c r="C2469" i="1"/>
  <c r="E2468" i="1"/>
  <c r="D2468" i="1"/>
  <c r="C2468" i="1"/>
  <c r="E2467" i="1"/>
  <c r="D2467" i="1"/>
  <c r="C2467" i="1"/>
  <c r="E2466" i="1"/>
  <c r="D2466" i="1"/>
  <c r="C2466" i="1"/>
  <c r="E2465" i="1"/>
  <c r="D2465" i="1"/>
  <c r="C2465" i="1"/>
  <c r="E2464" i="1"/>
  <c r="D2464" i="1"/>
  <c r="C2464" i="1"/>
  <c r="E2463" i="1"/>
  <c r="D2463" i="1"/>
  <c r="C2463" i="1"/>
  <c r="E2462" i="1"/>
  <c r="D2462" i="1"/>
  <c r="C2462" i="1"/>
  <c r="E2461" i="1"/>
  <c r="D2461" i="1"/>
  <c r="C2461" i="1"/>
  <c r="E2460" i="1"/>
  <c r="D2460" i="1"/>
  <c r="C2460" i="1"/>
  <c r="E2459" i="1"/>
  <c r="D2459" i="1"/>
  <c r="C2459" i="1"/>
  <c r="E2458" i="1"/>
  <c r="D2458" i="1"/>
  <c r="C2458" i="1"/>
  <c r="E2457" i="1"/>
  <c r="D2457" i="1"/>
  <c r="C2457" i="1"/>
  <c r="E2456" i="1"/>
  <c r="D2456" i="1"/>
  <c r="C2456" i="1"/>
  <c r="E2455" i="1"/>
  <c r="D2455" i="1"/>
  <c r="C2455" i="1"/>
  <c r="E2454" i="1"/>
  <c r="D2454" i="1"/>
  <c r="C2454" i="1"/>
  <c r="E2453" i="1"/>
  <c r="D2453" i="1"/>
  <c r="C2453" i="1"/>
  <c r="E2452" i="1"/>
  <c r="D2452" i="1"/>
  <c r="C2452" i="1"/>
  <c r="E2451" i="1"/>
  <c r="D2451" i="1"/>
  <c r="C2451" i="1"/>
  <c r="E2450" i="1"/>
  <c r="D2450" i="1"/>
  <c r="C2450" i="1"/>
  <c r="E2449" i="1"/>
  <c r="D2449" i="1"/>
  <c r="C2449" i="1"/>
  <c r="E2448" i="1"/>
  <c r="D2448" i="1"/>
  <c r="C2448" i="1"/>
  <c r="E2447" i="1"/>
  <c r="D2447" i="1"/>
  <c r="C2447" i="1"/>
  <c r="E2446" i="1"/>
  <c r="D2446" i="1"/>
  <c r="C2446" i="1"/>
  <c r="E2445" i="1"/>
  <c r="D2445" i="1"/>
  <c r="C2445" i="1"/>
  <c r="E2444" i="1"/>
  <c r="D2444" i="1"/>
  <c r="C2444" i="1"/>
  <c r="E2443" i="1"/>
  <c r="D2443" i="1"/>
  <c r="C2443" i="1"/>
  <c r="E2442" i="1"/>
  <c r="D2442" i="1"/>
  <c r="C2442" i="1"/>
  <c r="E2441" i="1"/>
  <c r="D2441" i="1"/>
  <c r="C2441" i="1"/>
  <c r="E2440" i="1"/>
  <c r="D2440" i="1"/>
  <c r="C2440" i="1"/>
  <c r="E2439" i="1"/>
  <c r="D2439" i="1"/>
  <c r="C2439" i="1"/>
  <c r="E2438" i="1"/>
  <c r="D2438" i="1"/>
  <c r="C2438" i="1"/>
  <c r="E2437" i="1"/>
  <c r="D2437" i="1"/>
  <c r="C2437" i="1"/>
  <c r="E2436" i="1"/>
  <c r="D2436" i="1"/>
  <c r="C2436" i="1"/>
  <c r="E2435" i="1"/>
  <c r="D2435" i="1"/>
  <c r="C2435" i="1"/>
  <c r="E2434" i="1"/>
  <c r="D2434" i="1"/>
  <c r="C2434" i="1"/>
  <c r="E2433" i="1"/>
  <c r="D2433" i="1"/>
  <c r="C2433" i="1"/>
  <c r="E2432" i="1"/>
  <c r="D2432" i="1"/>
  <c r="C2432" i="1"/>
  <c r="E2431" i="1"/>
  <c r="D2431" i="1"/>
  <c r="C2431" i="1"/>
  <c r="E2430" i="1"/>
  <c r="D2430" i="1"/>
  <c r="C2430" i="1"/>
  <c r="E2429" i="1"/>
  <c r="D2429" i="1"/>
  <c r="C2429" i="1"/>
  <c r="E2428" i="1"/>
  <c r="D2428" i="1"/>
  <c r="C2428" i="1"/>
  <c r="E2427" i="1"/>
  <c r="D2427" i="1"/>
  <c r="C2427" i="1"/>
  <c r="E2426" i="1"/>
  <c r="D2426" i="1"/>
  <c r="C2426" i="1"/>
  <c r="E2425" i="1"/>
  <c r="D2425" i="1"/>
  <c r="C2425" i="1"/>
  <c r="E2424" i="1"/>
  <c r="D2424" i="1"/>
  <c r="C2424" i="1"/>
  <c r="E2423" i="1"/>
  <c r="D2423" i="1"/>
  <c r="C2423" i="1"/>
  <c r="E2422" i="1"/>
  <c r="D2422" i="1"/>
  <c r="C2422" i="1"/>
  <c r="E2421" i="1"/>
  <c r="D2421" i="1"/>
  <c r="C2421" i="1"/>
  <c r="E2420" i="1"/>
  <c r="D2420" i="1"/>
  <c r="C2420" i="1"/>
  <c r="E2419" i="1"/>
  <c r="D2419" i="1"/>
  <c r="C2419" i="1"/>
  <c r="E2418" i="1"/>
  <c r="D2418" i="1"/>
  <c r="C2418" i="1"/>
  <c r="E2417" i="1"/>
  <c r="D2417" i="1"/>
  <c r="C2417" i="1"/>
  <c r="E2416" i="1"/>
  <c r="D2416" i="1"/>
  <c r="C2416" i="1"/>
  <c r="E2415" i="1"/>
  <c r="D2415" i="1"/>
  <c r="C2415" i="1"/>
  <c r="E2414" i="1"/>
  <c r="D2414" i="1"/>
  <c r="C2414" i="1"/>
  <c r="E2413" i="1"/>
  <c r="D2413" i="1"/>
  <c r="C2413" i="1"/>
  <c r="E2412" i="1"/>
  <c r="D2412" i="1"/>
  <c r="C2412" i="1"/>
  <c r="E2411" i="1"/>
  <c r="D2411" i="1"/>
  <c r="C2411" i="1"/>
  <c r="E2410" i="1"/>
  <c r="D2410" i="1"/>
  <c r="C2410" i="1"/>
  <c r="E2409" i="1"/>
  <c r="D2409" i="1"/>
  <c r="C2409" i="1"/>
  <c r="E2408" i="1"/>
  <c r="D2408" i="1"/>
  <c r="C2408" i="1"/>
  <c r="E2407" i="1"/>
  <c r="D2407" i="1"/>
  <c r="C2407" i="1"/>
  <c r="E2406" i="1"/>
  <c r="D2406" i="1"/>
  <c r="C2406" i="1"/>
  <c r="E2405" i="1"/>
  <c r="D2405" i="1"/>
  <c r="C2405" i="1"/>
  <c r="E2404" i="1"/>
  <c r="D2404" i="1"/>
  <c r="C2404" i="1"/>
  <c r="E2403" i="1"/>
  <c r="D2403" i="1"/>
  <c r="C2403" i="1"/>
  <c r="E2402" i="1"/>
  <c r="D2402" i="1"/>
  <c r="C2402" i="1"/>
  <c r="E2401" i="1"/>
  <c r="D2401" i="1"/>
  <c r="C2401" i="1"/>
  <c r="E2400" i="1"/>
  <c r="D2400" i="1"/>
  <c r="C2400" i="1"/>
  <c r="E2399" i="1"/>
  <c r="D2399" i="1"/>
  <c r="C2399" i="1"/>
  <c r="E2398" i="1"/>
  <c r="D2398" i="1"/>
  <c r="C2398" i="1"/>
  <c r="E2397" i="1"/>
  <c r="D2397" i="1"/>
  <c r="C2397" i="1"/>
  <c r="E2396" i="1"/>
  <c r="D2396" i="1"/>
  <c r="C2396" i="1"/>
  <c r="E2395" i="1"/>
  <c r="D2395" i="1"/>
  <c r="C2395" i="1"/>
  <c r="E2394" i="1"/>
  <c r="D2394" i="1"/>
  <c r="C2394" i="1"/>
  <c r="E2393" i="1"/>
  <c r="D2393" i="1"/>
  <c r="C2393" i="1"/>
  <c r="E2392" i="1"/>
  <c r="D2392" i="1"/>
  <c r="C2392" i="1"/>
  <c r="E2391" i="1"/>
  <c r="D2391" i="1"/>
  <c r="C2391" i="1"/>
  <c r="E2390" i="1"/>
  <c r="D2390" i="1"/>
  <c r="C2390" i="1"/>
  <c r="E2389" i="1"/>
  <c r="D2389" i="1"/>
  <c r="C2389" i="1"/>
  <c r="E2388" i="1"/>
  <c r="D2388" i="1"/>
  <c r="C2388" i="1"/>
  <c r="E2387" i="1"/>
  <c r="D2387" i="1"/>
  <c r="C2387" i="1"/>
  <c r="E2386" i="1"/>
  <c r="D2386" i="1"/>
  <c r="C2386" i="1"/>
  <c r="E2385" i="1"/>
  <c r="D2385" i="1"/>
  <c r="C2385" i="1"/>
  <c r="E2384" i="1"/>
  <c r="D2384" i="1"/>
  <c r="C2384" i="1"/>
  <c r="E2383" i="1"/>
  <c r="D2383" i="1"/>
  <c r="C2383" i="1"/>
  <c r="E2382" i="1"/>
  <c r="D2382" i="1"/>
  <c r="C2382" i="1"/>
  <c r="E2381" i="1"/>
  <c r="D2381" i="1"/>
  <c r="C2381" i="1"/>
  <c r="E2380" i="1"/>
  <c r="D2380" i="1"/>
  <c r="C2380" i="1"/>
  <c r="E2379" i="1"/>
  <c r="D2379" i="1"/>
  <c r="C2379" i="1"/>
  <c r="E2378" i="1"/>
  <c r="D2378" i="1"/>
  <c r="C2378" i="1"/>
  <c r="E2377" i="1"/>
  <c r="D2377" i="1"/>
  <c r="C2377" i="1"/>
  <c r="E2376" i="1"/>
  <c r="D2376" i="1"/>
  <c r="C2376" i="1"/>
  <c r="E2375" i="1"/>
  <c r="D2375" i="1"/>
  <c r="C2375" i="1"/>
  <c r="E2374" i="1"/>
  <c r="D2374" i="1"/>
  <c r="C2374" i="1"/>
  <c r="E2373" i="1"/>
  <c r="D2373" i="1"/>
  <c r="C2373" i="1"/>
  <c r="E2372" i="1"/>
  <c r="D2372" i="1"/>
  <c r="C2372" i="1"/>
  <c r="E2371" i="1"/>
  <c r="D2371" i="1"/>
  <c r="C2371" i="1"/>
  <c r="E2370" i="1"/>
  <c r="D2370" i="1"/>
  <c r="C2370" i="1"/>
  <c r="E2369" i="1"/>
  <c r="D2369" i="1"/>
  <c r="C2369" i="1"/>
  <c r="E2368" i="1"/>
  <c r="D2368" i="1"/>
  <c r="C2368" i="1"/>
  <c r="E2367" i="1"/>
  <c r="D2367" i="1"/>
  <c r="C2367" i="1"/>
  <c r="E2366" i="1"/>
  <c r="D2366" i="1"/>
  <c r="C2366" i="1"/>
  <c r="E2365" i="1"/>
  <c r="D2365" i="1"/>
  <c r="C2365" i="1"/>
  <c r="E2364" i="1"/>
  <c r="D2364" i="1"/>
  <c r="C2364" i="1"/>
  <c r="E2363" i="1"/>
  <c r="D2363" i="1"/>
  <c r="C2363" i="1"/>
  <c r="E2362" i="1"/>
  <c r="D2362" i="1"/>
  <c r="C2362" i="1"/>
  <c r="E2361" i="1"/>
  <c r="D2361" i="1"/>
  <c r="C2361" i="1"/>
  <c r="E2360" i="1"/>
  <c r="D2360" i="1"/>
  <c r="C2360" i="1"/>
  <c r="E2359" i="1"/>
  <c r="D2359" i="1"/>
  <c r="C2359" i="1"/>
  <c r="E2358" i="1"/>
  <c r="D2358" i="1"/>
  <c r="C2358" i="1"/>
  <c r="E2357" i="1"/>
  <c r="D2357" i="1"/>
  <c r="C2357" i="1"/>
  <c r="E2356" i="1"/>
  <c r="D2356" i="1"/>
  <c r="C2356" i="1"/>
  <c r="E2355" i="1"/>
  <c r="D2355" i="1"/>
  <c r="C2355" i="1"/>
  <c r="E2354" i="1"/>
  <c r="D2354" i="1"/>
  <c r="C2354" i="1"/>
  <c r="E2353" i="1"/>
  <c r="D2353" i="1"/>
  <c r="C2353" i="1"/>
  <c r="E2352" i="1"/>
  <c r="D2352" i="1"/>
  <c r="C2352" i="1"/>
  <c r="E2351" i="1"/>
  <c r="D2351" i="1"/>
  <c r="C2351" i="1"/>
  <c r="E2350" i="1"/>
  <c r="D2350" i="1"/>
  <c r="C2350" i="1"/>
  <c r="E2349" i="1"/>
  <c r="D2349" i="1"/>
  <c r="C2349" i="1"/>
  <c r="E2348" i="1"/>
  <c r="D2348" i="1"/>
  <c r="C2348" i="1"/>
  <c r="E2347" i="1"/>
  <c r="D2347" i="1"/>
  <c r="C2347" i="1"/>
  <c r="E2346" i="1"/>
  <c r="D2346" i="1"/>
  <c r="C2346" i="1"/>
  <c r="E2345" i="1"/>
  <c r="D2345" i="1"/>
  <c r="C2345" i="1"/>
  <c r="E2344" i="1"/>
  <c r="D2344" i="1"/>
  <c r="C2344" i="1"/>
  <c r="E2343" i="1"/>
  <c r="D2343" i="1"/>
  <c r="C2343" i="1"/>
  <c r="E2342" i="1"/>
  <c r="D2342" i="1"/>
  <c r="C2342" i="1"/>
  <c r="E2341" i="1"/>
  <c r="D2341" i="1"/>
  <c r="C2341" i="1"/>
  <c r="E2340" i="1"/>
  <c r="D2340" i="1"/>
  <c r="C2340" i="1"/>
  <c r="E2339" i="1"/>
  <c r="D2339" i="1"/>
  <c r="C2339" i="1"/>
  <c r="E2338" i="1"/>
  <c r="D2338" i="1"/>
  <c r="C2338" i="1"/>
  <c r="E2337" i="1"/>
  <c r="D2337" i="1"/>
  <c r="C2337" i="1"/>
  <c r="E2336" i="1"/>
  <c r="D2336" i="1"/>
  <c r="C2336" i="1"/>
  <c r="E2335" i="1"/>
  <c r="D2335" i="1"/>
  <c r="C2335" i="1"/>
  <c r="E2334" i="1"/>
  <c r="D2334" i="1"/>
  <c r="C2334" i="1"/>
  <c r="E2333" i="1"/>
  <c r="D2333" i="1"/>
  <c r="C2333" i="1"/>
  <c r="E2332" i="1"/>
  <c r="D2332" i="1"/>
  <c r="C2332" i="1"/>
  <c r="E2331" i="1"/>
  <c r="D2331" i="1"/>
  <c r="C2331" i="1"/>
  <c r="E2330" i="1"/>
  <c r="D2330" i="1"/>
  <c r="C2330" i="1"/>
  <c r="E2329" i="1"/>
  <c r="D2329" i="1"/>
  <c r="C2329" i="1"/>
  <c r="E2328" i="1"/>
  <c r="D2328" i="1"/>
  <c r="C2328" i="1"/>
  <c r="E2327" i="1"/>
  <c r="D2327" i="1"/>
  <c r="C2327" i="1"/>
  <c r="E2326" i="1"/>
  <c r="D2326" i="1"/>
  <c r="C2326" i="1"/>
  <c r="E2325" i="1"/>
  <c r="D2325" i="1"/>
  <c r="C2325" i="1"/>
  <c r="E2324" i="1"/>
  <c r="D2324" i="1"/>
  <c r="C2324" i="1"/>
  <c r="E2323" i="1"/>
  <c r="D2323" i="1"/>
  <c r="C2323" i="1"/>
  <c r="E2322" i="1"/>
  <c r="D2322" i="1"/>
  <c r="C2322" i="1"/>
  <c r="E2321" i="1"/>
  <c r="D2321" i="1"/>
  <c r="C2321" i="1"/>
  <c r="E2320" i="1"/>
  <c r="D2320" i="1"/>
  <c r="C2320" i="1"/>
  <c r="E2319" i="1"/>
  <c r="D2319" i="1"/>
  <c r="C2319" i="1"/>
  <c r="E2318" i="1"/>
  <c r="D2318" i="1"/>
  <c r="C2318" i="1"/>
  <c r="E2317" i="1"/>
  <c r="D2317" i="1"/>
  <c r="C2317" i="1"/>
  <c r="E2316" i="1"/>
  <c r="D2316" i="1"/>
  <c r="C2316" i="1"/>
  <c r="E2315" i="1"/>
  <c r="D2315" i="1"/>
  <c r="C2315" i="1"/>
  <c r="E2314" i="1"/>
  <c r="D2314" i="1"/>
  <c r="C2314" i="1"/>
  <c r="E2313" i="1"/>
  <c r="D2313" i="1"/>
  <c r="C2313" i="1"/>
  <c r="E2312" i="1"/>
  <c r="D2312" i="1"/>
  <c r="C2312" i="1"/>
  <c r="E2311" i="1"/>
  <c r="D2311" i="1"/>
  <c r="C2311" i="1"/>
  <c r="E2310" i="1"/>
  <c r="D2310" i="1"/>
  <c r="C2310" i="1"/>
  <c r="E2309" i="1"/>
  <c r="D2309" i="1"/>
  <c r="C2309" i="1"/>
  <c r="E2308" i="1"/>
  <c r="D2308" i="1"/>
  <c r="C2308" i="1"/>
  <c r="E2307" i="1"/>
  <c r="D2307" i="1"/>
  <c r="C2307" i="1"/>
  <c r="E2306" i="1"/>
  <c r="D2306" i="1"/>
  <c r="C2306" i="1"/>
  <c r="E2305" i="1"/>
  <c r="D2305" i="1"/>
  <c r="C2305" i="1"/>
  <c r="E2304" i="1"/>
  <c r="D2304" i="1"/>
  <c r="C2304" i="1"/>
  <c r="E2303" i="1"/>
  <c r="D2303" i="1"/>
  <c r="C2303" i="1"/>
  <c r="E2302" i="1"/>
  <c r="D2302" i="1"/>
  <c r="C2302" i="1"/>
  <c r="E2301" i="1"/>
  <c r="D2301" i="1"/>
  <c r="C2301" i="1"/>
  <c r="E2300" i="1"/>
  <c r="D2300" i="1"/>
  <c r="C2300" i="1"/>
  <c r="E2299" i="1"/>
  <c r="D2299" i="1"/>
  <c r="C2299" i="1"/>
  <c r="E2298" i="1"/>
  <c r="D2298" i="1"/>
  <c r="C2298" i="1"/>
  <c r="E2297" i="1"/>
  <c r="D2297" i="1"/>
  <c r="C2297" i="1"/>
  <c r="E2296" i="1"/>
  <c r="D2296" i="1"/>
  <c r="C2296" i="1"/>
  <c r="E2295" i="1"/>
  <c r="D2295" i="1"/>
  <c r="C2295" i="1"/>
  <c r="E2294" i="1"/>
  <c r="D2294" i="1"/>
  <c r="C2294" i="1"/>
  <c r="E2293" i="1"/>
  <c r="D2293" i="1"/>
  <c r="C2293" i="1"/>
  <c r="E2292" i="1"/>
  <c r="D2292" i="1"/>
  <c r="C2292" i="1"/>
  <c r="E2291" i="1"/>
  <c r="D2291" i="1"/>
  <c r="C2291" i="1"/>
  <c r="E2290" i="1"/>
  <c r="D2290" i="1"/>
  <c r="C2290" i="1"/>
  <c r="E2289" i="1"/>
  <c r="D2289" i="1"/>
  <c r="C2289" i="1"/>
  <c r="E2288" i="1"/>
  <c r="D2288" i="1"/>
  <c r="C2288" i="1"/>
  <c r="E2287" i="1"/>
  <c r="D2287" i="1"/>
  <c r="C2287" i="1"/>
  <c r="E2286" i="1"/>
  <c r="D2286" i="1"/>
  <c r="C2286" i="1"/>
  <c r="E2285" i="1"/>
  <c r="D2285" i="1"/>
  <c r="C2285" i="1"/>
  <c r="E2284" i="1"/>
  <c r="D2284" i="1"/>
  <c r="C2284" i="1"/>
  <c r="E2283" i="1"/>
  <c r="D2283" i="1"/>
  <c r="C2283" i="1"/>
  <c r="E2282" i="1"/>
  <c r="D2282" i="1"/>
  <c r="C2282" i="1"/>
  <c r="E2281" i="1"/>
  <c r="D2281" i="1"/>
  <c r="C2281" i="1"/>
  <c r="E2280" i="1"/>
  <c r="D2280" i="1"/>
  <c r="C2280" i="1"/>
  <c r="E2279" i="1"/>
  <c r="D2279" i="1"/>
  <c r="C2279" i="1"/>
  <c r="E2278" i="1"/>
  <c r="D2278" i="1"/>
  <c r="C2278" i="1"/>
  <c r="E2277" i="1"/>
  <c r="D2277" i="1"/>
  <c r="C2277" i="1"/>
  <c r="E2276" i="1"/>
  <c r="D2276" i="1"/>
  <c r="C2276" i="1"/>
  <c r="E2275" i="1"/>
  <c r="D2275" i="1"/>
  <c r="C2275" i="1"/>
  <c r="E2274" i="1"/>
  <c r="D2274" i="1"/>
  <c r="C2274" i="1"/>
  <c r="E2273" i="1"/>
  <c r="D2273" i="1"/>
  <c r="C2273" i="1"/>
  <c r="E2272" i="1"/>
  <c r="D2272" i="1"/>
  <c r="C2272" i="1"/>
  <c r="E2271" i="1"/>
  <c r="D2271" i="1"/>
  <c r="C2271" i="1"/>
  <c r="E2270" i="1"/>
  <c r="D2270" i="1"/>
  <c r="C2270" i="1"/>
  <c r="E2269" i="1"/>
  <c r="D2269" i="1"/>
  <c r="C2269" i="1"/>
  <c r="E2268" i="1"/>
  <c r="D2268" i="1"/>
  <c r="C2268" i="1"/>
  <c r="E2267" i="1"/>
  <c r="D2267" i="1"/>
  <c r="C2267" i="1"/>
  <c r="E2266" i="1"/>
  <c r="D2266" i="1"/>
  <c r="C2266" i="1"/>
  <c r="E2265" i="1"/>
  <c r="D2265" i="1"/>
  <c r="C2265" i="1"/>
  <c r="E2264" i="1"/>
  <c r="D2264" i="1"/>
  <c r="C2264" i="1"/>
  <c r="E2263" i="1"/>
  <c r="D2263" i="1"/>
  <c r="C2263" i="1"/>
  <c r="E2262" i="1"/>
  <c r="D2262" i="1"/>
  <c r="C2262" i="1"/>
  <c r="E2261" i="1"/>
  <c r="D2261" i="1"/>
  <c r="C2261" i="1"/>
  <c r="E2260" i="1"/>
  <c r="D2260" i="1"/>
  <c r="C2260" i="1"/>
  <c r="E2259" i="1"/>
  <c r="D2259" i="1"/>
  <c r="C2259" i="1"/>
  <c r="E2258" i="1"/>
  <c r="D2258" i="1"/>
  <c r="C2258" i="1"/>
  <c r="E2257" i="1"/>
  <c r="D2257" i="1"/>
  <c r="C2257" i="1"/>
  <c r="E2256" i="1"/>
  <c r="D2256" i="1"/>
  <c r="C2256" i="1"/>
  <c r="E2255" i="1"/>
  <c r="D2255" i="1"/>
  <c r="C2255" i="1"/>
  <c r="E2254" i="1"/>
  <c r="D2254" i="1"/>
  <c r="C2254" i="1"/>
  <c r="E2253" i="1"/>
  <c r="D2253" i="1"/>
  <c r="C2253" i="1"/>
  <c r="E2252" i="1"/>
  <c r="D2252" i="1"/>
  <c r="C2252" i="1"/>
  <c r="E2251" i="1"/>
  <c r="D2251" i="1"/>
  <c r="C2251" i="1"/>
  <c r="E2250" i="1"/>
  <c r="D2250" i="1"/>
  <c r="C2250" i="1"/>
  <c r="E2249" i="1"/>
  <c r="D2249" i="1"/>
  <c r="C2249" i="1"/>
  <c r="E2248" i="1"/>
  <c r="D2248" i="1"/>
  <c r="C2248" i="1"/>
  <c r="E2247" i="1"/>
  <c r="D2247" i="1"/>
  <c r="C2247" i="1"/>
  <c r="E2246" i="1"/>
  <c r="D2246" i="1"/>
  <c r="C2246" i="1"/>
  <c r="E2245" i="1"/>
  <c r="D2245" i="1"/>
  <c r="C2245" i="1"/>
  <c r="E2244" i="1"/>
  <c r="D2244" i="1"/>
  <c r="C2244" i="1"/>
  <c r="E2243" i="1"/>
  <c r="D2243" i="1"/>
  <c r="C2243" i="1"/>
  <c r="E2242" i="1"/>
  <c r="D2242" i="1"/>
  <c r="C2242" i="1"/>
  <c r="E2241" i="1"/>
  <c r="D2241" i="1"/>
  <c r="C2241" i="1"/>
  <c r="E2240" i="1"/>
  <c r="D2240" i="1"/>
  <c r="C2240" i="1"/>
  <c r="E2239" i="1"/>
  <c r="D2239" i="1"/>
  <c r="C2239" i="1"/>
  <c r="E2238" i="1"/>
  <c r="D2238" i="1"/>
  <c r="C2238" i="1"/>
  <c r="E2237" i="1"/>
  <c r="D2237" i="1"/>
  <c r="C2237" i="1"/>
  <c r="E2236" i="1"/>
  <c r="D2236" i="1"/>
  <c r="C2236" i="1"/>
  <c r="E2235" i="1"/>
  <c r="D2235" i="1"/>
  <c r="C2235" i="1"/>
  <c r="E2234" i="1"/>
  <c r="D2234" i="1"/>
  <c r="C2234" i="1"/>
  <c r="E2233" i="1"/>
  <c r="D2233" i="1"/>
  <c r="C2233" i="1"/>
  <c r="E2232" i="1"/>
  <c r="D2232" i="1"/>
  <c r="C2232" i="1"/>
  <c r="E2231" i="1"/>
  <c r="D2231" i="1"/>
  <c r="C2231" i="1"/>
  <c r="E2230" i="1"/>
  <c r="D2230" i="1"/>
  <c r="C2230" i="1"/>
  <c r="E2229" i="1"/>
  <c r="D2229" i="1"/>
  <c r="C2229" i="1"/>
  <c r="E2228" i="1"/>
  <c r="D2228" i="1"/>
  <c r="C2228" i="1"/>
  <c r="E2227" i="1"/>
  <c r="D2227" i="1"/>
  <c r="C2227" i="1"/>
  <c r="E2226" i="1"/>
  <c r="D2226" i="1"/>
  <c r="C2226" i="1"/>
  <c r="E2225" i="1"/>
  <c r="D2225" i="1"/>
  <c r="C2225" i="1"/>
  <c r="E2224" i="1"/>
  <c r="D2224" i="1"/>
  <c r="C2224" i="1"/>
  <c r="E2223" i="1"/>
  <c r="D2223" i="1"/>
  <c r="C2223" i="1"/>
  <c r="E2222" i="1"/>
  <c r="D2222" i="1"/>
  <c r="C2222" i="1"/>
  <c r="E2221" i="1"/>
  <c r="D2221" i="1"/>
  <c r="C2221" i="1"/>
  <c r="E2220" i="1"/>
  <c r="D2220" i="1"/>
  <c r="C2220" i="1"/>
  <c r="E2219" i="1"/>
  <c r="D2219" i="1"/>
  <c r="C2219" i="1"/>
  <c r="E2218" i="1"/>
  <c r="D2218" i="1"/>
  <c r="C2218" i="1"/>
  <c r="E2217" i="1"/>
  <c r="D2217" i="1"/>
  <c r="C2217" i="1"/>
  <c r="E2216" i="1"/>
  <c r="D2216" i="1"/>
  <c r="C2216" i="1"/>
  <c r="E2215" i="1"/>
  <c r="D2215" i="1"/>
  <c r="C2215" i="1"/>
  <c r="E2214" i="1"/>
  <c r="D2214" i="1"/>
  <c r="C2214" i="1"/>
  <c r="E2213" i="1"/>
  <c r="D2213" i="1"/>
  <c r="C2213" i="1"/>
  <c r="E2212" i="1"/>
  <c r="D2212" i="1"/>
  <c r="C2212" i="1"/>
  <c r="E2211" i="1"/>
  <c r="D2211" i="1"/>
  <c r="C2211" i="1"/>
  <c r="E2210" i="1"/>
  <c r="D2210" i="1"/>
  <c r="C2210" i="1"/>
  <c r="E2209" i="1"/>
  <c r="D2209" i="1"/>
  <c r="C2209" i="1"/>
  <c r="E2208" i="1"/>
  <c r="D2208" i="1"/>
  <c r="C2208" i="1"/>
  <c r="E2207" i="1"/>
  <c r="D2207" i="1"/>
  <c r="C2207" i="1"/>
  <c r="E2206" i="1"/>
  <c r="D2206" i="1"/>
  <c r="C2206" i="1"/>
  <c r="E2205" i="1"/>
  <c r="D2205" i="1"/>
  <c r="C2205" i="1"/>
  <c r="E2204" i="1"/>
  <c r="D2204" i="1"/>
  <c r="C2204" i="1"/>
  <c r="E2203" i="1"/>
  <c r="D2203" i="1"/>
  <c r="C2203" i="1"/>
  <c r="E2202" i="1"/>
  <c r="D2202" i="1"/>
  <c r="C2202" i="1"/>
  <c r="E2201" i="1"/>
  <c r="D2201" i="1"/>
  <c r="C2201" i="1"/>
  <c r="E2200" i="1"/>
  <c r="D2200" i="1"/>
  <c r="C2200" i="1"/>
  <c r="E2199" i="1"/>
  <c r="D2199" i="1"/>
  <c r="C2199" i="1"/>
  <c r="E2198" i="1"/>
  <c r="D2198" i="1"/>
  <c r="C2198" i="1"/>
  <c r="E2197" i="1"/>
  <c r="D2197" i="1"/>
  <c r="C2197" i="1"/>
  <c r="E2196" i="1"/>
  <c r="D2196" i="1"/>
  <c r="C2196" i="1"/>
  <c r="E2195" i="1"/>
  <c r="D2195" i="1"/>
  <c r="C2195" i="1"/>
  <c r="E2194" i="1"/>
  <c r="D2194" i="1"/>
  <c r="C2194" i="1"/>
  <c r="E2193" i="1"/>
  <c r="D2193" i="1"/>
  <c r="C2193" i="1"/>
  <c r="E2192" i="1"/>
  <c r="D2192" i="1"/>
  <c r="C2192" i="1"/>
  <c r="E2191" i="1"/>
  <c r="D2191" i="1"/>
  <c r="C2191" i="1"/>
  <c r="E2190" i="1"/>
  <c r="D2190" i="1"/>
  <c r="C2190" i="1"/>
  <c r="E2189" i="1"/>
  <c r="D2189" i="1"/>
  <c r="C2189" i="1"/>
  <c r="E2188" i="1"/>
  <c r="D2188" i="1"/>
  <c r="C2188" i="1"/>
  <c r="E2187" i="1"/>
  <c r="D2187" i="1"/>
  <c r="C2187" i="1"/>
  <c r="E2186" i="1"/>
  <c r="D2186" i="1"/>
  <c r="C2186" i="1"/>
  <c r="E2185" i="1"/>
  <c r="D2185" i="1"/>
  <c r="C2185" i="1"/>
  <c r="E2184" i="1"/>
  <c r="D2184" i="1"/>
  <c r="C2184" i="1"/>
  <c r="E2183" i="1"/>
  <c r="D2183" i="1"/>
  <c r="C2183" i="1"/>
  <c r="E2182" i="1"/>
  <c r="D2182" i="1"/>
  <c r="C2182" i="1"/>
  <c r="E2181" i="1"/>
  <c r="D2181" i="1"/>
  <c r="C2181" i="1"/>
  <c r="E2180" i="1"/>
  <c r="D2180" i="1"/>
  <c r="C2180" i="1"/>
  <c r="E2179" i="1"/>
  <c r="D2179" i="1"/>
  <c r="C2179" i="1"/>
  <c r="E2178" i="1"/>
  <c r="D2178" i="1"/>
  <c r="C2178" i="1"/>
  <c r="E2177" i="1"/>
  <c r="D2177" i="1"/>
  <c r="C2177" i="1"/>
  <c r="E2176" i="1"/>
  <c r="D2176" i="1"/>
  <c r="C2176" i="1"/>
  <c r="E2175" i="1"/>
  <c r="D2175" i="1"/>
  <c r="C2175" i="1"/>
  <c r="E2174" i="1"/>
  <c r="D2174" i="1"/>
  <c r="C2174" i="1"/>
  <c r="E2173" i="1"/>
  <c r="D2173" i="1"/>
  <c r="C2173" i="1"/>
  <c r="E2172" i="1"/>
  <c r="D2172" i="1"/>
  <c r="C2172" i="1"/>
  <c r="E2171" i="1"/>
  <c r="D2171" i="1"/>
  <c r="C2171" i="1"/>
  <c r="E2170" i="1"/>
  <c r="D2170" i="1"/>
  <c r="C2170" i="1"/>
  <c r="E2169" i="1"/>
  <c r="D2169" i="1"/>
  <c r="C2169" i="1"/>
  <c r="E2168" i="1"/>
  <c r="D2168" i="1"/>
  <c r="C2168" i="1"/>
  <c r="E2167" i="1"/>
  <c r="D2167" i="1"/>
  <c r="C2167" i="1"/>
  <c r="E2166" i="1"/>
  <c r="D2166" i="1"/>
  <c r="C2166" i="1"/>
  <c r="E2165" i="1"/>
  <c r="D2165" i="1"/>
  <c r="C2165" i="1"/>
  <c r="E2164" i="1"/>
  <c r="D2164" i="1"/>
  <c r="C2164" i="1"/>
  <c r="E2163" i="1"/>
  <c r="D2163" i="1"/>
  <c r="C2163" i="1"/>
  <c r="E2162" i="1"/>
  <c r="D2162" i="1"/>
  <c r="C2162" i="1"/>
  <c r="E2161" i="1"/>
  <c r="D2161" i="1"/>
  <c r="C2161" i="1"/>
  <c r="E2160" i="1"/>
  <c r="D2160" i="1"/>
  <c r="C2160" i="1"/>
  <c r="E2159" i="1"/>
  <c r="D2159" i="1"/>
  <c r="C2159" i="1"/>
  <c r="E2158" i="1"/>
  <c r="D2158" i="1"/>
  <c r="C2158" i="1"/>
  <c r="E2157" i="1"/>
  <c r="D2157" i="1"/>
  <c r="C2157" i="1"/>
  <c r="E2156" i="1"/>
  <c r="D2156" i="1"/>
  <c r="C2156" i="1"/>
  <c r="E2155" i="1"/>
  <c r="D2155" i="1"/>
  <c r="C2155" i="1"/>
  <c r="E2154" i="1"/>
  <c r="D2154" i="1"/>
  <c r="C2154" i="1"/>
  <c r="E2153" i="1"/>
  <c r="D2153" i="1"/>
  <c r="C2153" i="1"/>
  <c r="E2152" i="1"/>
  <c r="D2152" i="1"/>
  <c r="C2152" i="1"/>
  <c r="E2151" i="1"/>
  <c r="D2151" i="1"/>
  <c r="C2151" i="1"/>
  <c r="E2150" i="1"/>
  <c r="D2150" i="1"/>
  <c r="C2150" i="1"/>
  <c r="E2149" i="1"/>
  <c r="D2149" i="1"/>
  <c r="C2149" i="1"/>
  <c r="E2148" i="1"/>
  <c r="D2148" i="1"/>
  <c r="C2148" i="1"/>
  <c r="E2147" i="1"/>
  <c r="D2147" i="1"/>
  <c r="C2147" i="1"/>
  <c r="E2146" i="1"/>
  <c r="D2146" i="1"/>
  <c r="C2146" i="1"/>
  <c r="E2145" i="1"/>
  <c r="D2145" i="1"/>
  <c r="C2145" i="1"/>
  <c r="E2144" i="1"/>
  <c r="D2144" i="1"/>
  <c r="C2144" i="1"/>
  <c r="E2143" i="1"/>
  <c r="D2143" i="1"/>
  <c r="C2143" i="1"/>
  <c r="E2142" i="1"/>
  <c r="D2142" i="1"/>
  <c r="C2142" i="1"/>
  <c r="E2141" i="1"/>
  <c r="D2141" i="1"/>
  <c r="C2141" i="1"/>
  <c r="E2140" i="1"/>
  <c r="D2140" i="1"/>
  <c r="C2140" i="1"/>
  <c r="E2139" i="1"/>
  <c r="D2139" i="1"/>
  <c r="C2139" i="1"/>
  <c r="E2138" i="1"/>
  <c r="D2138" i="1"/>
  <c r="C2138" i="1"/>
  <c r="E2137" i="1"/>
  <c r="D2137" i="1"/>
  <c r="C2137" i="1"/>
  <c r="E2136" i="1"/>
  <c r="D2136" i="1"/>
  <c r="C2136" i="1"/>
  <c r="E2135" i="1"/>
  <c r="D2135" i="1"/>
  <c r="C2135" i="1"/>
  <c r="E2134" i="1"/>
  <c r="D2134" i="1"/>
  <c r="C2134" i="1"/>
  <c r="E2133" i="1"/>
  <c r="D2133" i="1"/>
  <c r="C2133" i="1"/>
  <c r="E2132" i="1"/>
  <c r="D2132" i="1"/>
  <c r="C2132" i="1"/>
  <c r="E2131" i="1"/>
  <c r="D2131" i="1"/>
  <c r="C2131" i="1"/>
  <c r="E2130" i="1"/>
  <c r="D2130" i="1"/>
  <c r="C2130" i="1"/>
  <c r="E2129" i="1"/>
  <c r="D2129" i="1"/>
  <c r="C2129" i="1"/>
  <c r="E2128" i="1"/>
  <c r="D2128" i="1"/>
  <c r="C2128" i="1"/>
  <c r="E2127" i="1"/>
  <c r="D2127" i="1"/>
  <c r="C2127" i="1"/>
  <c r="E2126" i="1"/>
  <c r="D2126" i="1"/>
  <c r="C2126" i="1"/>
  <c r="E2125" i="1"/>
  <c r="D2125" i="1"/>
  <c r="C2125" i="1"/>
  <c r="E2124" i="1"/>
  <c r="D2124" i="1"/>
  <c r="C2124" i="1"/>
  <c r="E2123" i="1"/>
  <c r="D2123" i="1"/>
  <c r="C2123" i="1"/>
  <c r="E2122" i="1"/>
  <c r="D2122" i="1"/>
  <c r="C2122" i="1"/>
  <c r="E2121" i="1"/>
  <c r="D2121" i="1"/>
  <c r="C2121" i="1"/>
  <c r="E2120" i="1"/>
  <c r="D2120" i="1"/>
  <c r="C2120" i="1"/>
  <c r="E2119" i="1"/>
  <c r="D2119" i="1"/>
  <c r="C2119" i="1"/>
  <c r="E2118" i="1"/>
  <c r="D2118" i="1"/>
  <c r="C2118" i="1"/>
  <c r="E2117" i="1"/>
  <c r="D2117" i="1"/>
  <c r="C2117" i="1"/>
  <c r="E2116" i="1"/>
  <c r="D2116" i="1"/>
  <c r="C2116" i="1"/>
  <c r="E2115" i="1"/>
  <c r="D2115" i="1"/>
  <c r="C2115" i="1"/>
  <c r="E2114" i="1"/>
  <c r="D2114" i="1"/>
  <c r="C2114" i="1"/>
  <c r="E2113" i="1"/>
  <c r="D2113" i="1"/>
  <c r="C2113" i="1"/>
  <c r="E2112" i="1"/>
  <c r="D2112" i="1"/>
  <c r="C2112" i="1"/>
  <c r="E2111" i="1"/>
  <c r="D2111" i="1"/>
  <c r="C2111" i="1"/>
  <c r="E2110" i="1"/>
  <c r="D2110" i="1"/>
  <c r="C2110" i="1"/>
  <c r="E2109" i="1"/>
  <c r="D2109" i="1"/>
  <c r="C2109" i="1"/>
  <c r="E2108" i="1"/>
  <c r="D2108" i="1"/>
  <c r="C2108" i="1"/>
  <c r="E2107" i="1"/>
  <c r="D2107" i="1"/>
  <c r="C2107" i="1"/>
  <c r="E2106" i="1"/>
  <c r="D2106" i="1"/>
  <c r="C2106" i="1"/>
  <c r="E2105" i="1"/>
  <c r="D2105" i="1"/>
  <c r="C2105" i="1"/>
  <c r="E2104" i="1"/>
  <c r="D2104" i="1"/>
  <c r="C2104" i="1"/>
  <c r="E2103" i="1"/>
  <c r="D2103" i="1"/>
  <c r="C2103" i="1"/>
  <c r="E2102" i="1"/>
  <c r="D2102" i="1"/>
  <c r="C2102" i="1"/>
  <c r="E2101" i="1"/>
  <c r="D2101" i="1"/>
  <c r="C2101" i="1"/>
  <c r="E2100" i="1"/>
  <c r="D2100" i="1"/>
  <c r="C2100" i="1"/>
  <c r="E2099" i="1"/>
  <c r="D2099" i="1"/>
  <c r="C2099" i="1"/>
  <c r="E2098" i="1"/>
  <c r="D2098" i="1"/>
  <c r="C2098" i="1"/>
  <c r="E2097" i="1"/>
  <c r="D2097" i="1"/>
  <c r="C2097" i="1"/>
  <c r="E2096" i="1"/>
  <c r="D2096" i="1"/>
  <c r="C2096" i="1"/>
  <c r="E2095" i="1"/>
  <c r="D2095" i="1"/>
  <c r="C2095" i="1"/>
  <c r="E2094" i="1"/>
  <c r="D2094" i="1"/>
  <c r="C2094" i="1"/>
  <c r="E2093" i="1"/>
  <c r="D2093" i="1"/>
  <c r="C2093" i="1"/>
  <c r="E2092" i="1"/>
  <c r="D2092" i="1"/>
  <c r="C2092" i="1"/>
  <c r="E2091" i="1"/>
  <c r="D2091" i="1"/>
  <c r="C2091" i="1"/>
  <c r="E2090" i="1"/>
  <c r="D2090" i="1"/>
  <c r="C2090" i="1"/>
  <c r="E2089" i="1"/>
  <c r="D2089" i="1"/>
  <c r="C2089" i="1"/>
  <c r="E2088" i="1"/>
  <c r="D2088" i="1"/>
  <c r="C2088" i="1"/>
  <c r="E2087" i="1"/>
  <c r="D2087" i="1"/>
  <c r="C2087" i="1"/>
  <c r="E2086" i="1"/>
  <c r="D2086" i="1"/>
  <c r="C2086" i="1"/>
  <c r="E2085" i="1"/>
  <c r="D2085" i="1"/>
  <c r="C2085" i="1"/>
  <c r="E2084" i="1"/>
  <c r="D2084" i="1"/>
  <c r="C2084" i="1"/>
  <c r="E2083" i="1"/>
  <c r="D2083" i="1"/>
  <c r="C2083" i="1"/>
  <c r="E2082" i="1"/>
  <c r="D2082" i="1"/>
  <c r="C2082" i="1"/>
  <c r="E2081" i="1"/>
  <c r="D2081" i="1"/>
  <c r="C2081" i="1"/>
  <c r="E2080" i="1"/>
  <c r="D2080" i="1"/>
  <c r="C2080" i="1"/>
  <c r="E2079" i="1"/>
  <c r="D2079" i="1"/>
  <c r="C2079" i="1"/>
  <c r="E2078" i="1"/>
  <c r="D2078" i="1"/>
  <c r="C2078" i="1"/>
  <c r="E2077" i="1"/>
  <c r="D2077" i="1"/>
  <c r="C2077" i="1"/>
  <c r="E2076" i="1"/>
  <c r="D2076" i="1"/>
  <c r="C2076" i="1"/>
  <c r="E2075" i="1"/>
  <c r="D2075" i="1"/>
  <c r="C2075" i="1"/>
  <c r="E2074" i="1"/>
  <c r="D2074" i="1"/>
  <c r="C2074" i="1"/>
  <c r="E2073" i="1"/>
  <c r="D2073" i="1"/>
  <c r="C2073" i="1"/>
  <c r="E2072" i="1"/>
  <c r="D2072" i="1"/>
  <c r="C2072" i="1"/>
  <c r="E2071" i="1"/>
  <c r="D2071" i="1"/>
  <c r="C2071" i="1"/>
  <c r="E2070" i="1"/>
  <c r="D2070" i="1"/>
  <c r="C2070" i="1"/>
  <c r="E2069" i="1"/>
  <c r="D2069" i="1"/>
  <c r="C2069" i="1"/>
  <c r="E2068" i="1"/>
  <c r="D2068" i="1"/>
  <c r="C2068" i="1"/>
  <c r="E2067" i="1"/>
  <c r="D2067" i="1"/>
  <c r="C2067" i="1"/>
  <c r="E2066" i="1"/>
  <c r="D2066" i="1"/>
  <c r="C2066" i="1"/>
  <c r="E2065" i="1"/>
  <c r="D2065" i="1"/>
  <c r="C2065" i="1"/>
  <c r="E2064" i="1"/>
  <c r="D2064" i="1"/>
  <c r="C2064" i="1"/>
  <c r="E2063" i="1"/>
  <c r="D2063" i="1"/>
  <c r="C2063" i="1"/>
  <c r="E2062" i="1"/>
  <c r="D2062" i="1"/>
  <c r="C2062" i="1"/>
  <c r="E2061" i="1"/>
  <c r="D2061" i="1"/>
  <c r="C2061" i="1"/>
  <c r="E2060" i="1"/>
  <c r="D2060" i="1"/>
  <c r="C2060" i="1"/>
  <c r="E2059" i="1"/>
  <c r="D2059" i="1"/>
  <c r="C2059" i="1"/>
  <c r="E2058" i="1"/>
  <c r="D2058" i="1"/>
  <c r="C2058" i="1"/>
  <c r="E2057" i="1"/>
  <c r="D2057" i="1"/>
  <c r="C2057" i="1"/>
  <c r="E2056" i="1"/>
  <c r="D2056" i="1"/>
  <c r="C2056" i="1"/>
  <c r="E2055" i="1"/>
  <c r="D2055" i="1"/>
  <c r="C2055" i="1"/>
  <c r="E2054" i="1"/>
  <c r="D2054" i="1"/>
  <c r="C2054" i="1"/>
  <c r="E2053" i="1"/>
  <c r="D2053" i="1"/>
  <c r="C2053" i="1"/>
  <c r="E2052" i="1"/>
  <c r="D2052" i="1"/>
  <c r="C2052" i="1"/>
  <c r="E2051" i="1"/>
  <c r="D2051" i="1"/>
  <c r="C2051" i="1"/>
  <c r="E2050" i="1"/>
  <c r="D2050" i="1"/>
  <c r="C2050" i="1"/>
  <c r="E2049" i="1"/>
  <c r="D2049" i="1"/>
  <c r="C2049" i="1"/>
  <c r="E2048" i="1"/>
  <c r="D2048" i="1"/>
  <c r="C2048" i="1"/>
  <c r="E2047" i="1"/>
  <c r="D2047" i="1"/>
  <c r="C2047" i="1"/>
  <c r="E2046" i="1"/>
  <c r="D2046" i="1"/>
  <c r="C2046" i="1"/>
  <c r="E2045" i="1"/>
  <c r="D2045" i="1"/>
  <c r="C2045" i="1"/>
  <c r="E2044" i="1"/>
  <c r="D2044" i="1"/>
  <c r="C2044" i="1"/>
  <c r="E2043" i="1"/>
  <c r="D2043" i="1"/>
  <c r="C2043" i="1"/>
  <c r="E2042" i="1"/>
  <c r="D2042" i="1"/>
  <c r="C2042" i="1"/>
  <c r="E2041" i="1"/>
  <c r="D2041" i="1"/>
  <c r="C2041" i="1"/>
  <c r="E2040" i="1"/>
  <c r="D2040" i="1"/>
  <c r="C2040" i="1"/>
  <c r="E2039" i="1"/>
  <c r="D2039" i="1"/>
  <c r="C2039" i="1"/>
  <c r="E2038" i="1"/>
  <c r="D2038" i="1"/>
  <c r="C2038" i="1"/>
  <c r="E2037" i="1"/>
  <c r="D2037" i="1"/>
  <c r="C2037" i="1"/>
  <c r="E2036" i="1"/>
  <c r="D2036" i="1"/>
  <c r="C2036" i="1"/>
  <c r="E2035" i="1"/>
  <c r="D2035" i="1"/>
  <c r="C2035" i="1"/>
  <c r="E2034" i="1"/>
  <c r="D2034" i="1"/>
  <c r="C2034" i="1"/>
  <c r="E2033" i="1"/>
  <c r="D2033" i="1"/>
  <c r="C2033" i="1"/>
  <c r="E2032" i="1"/>
  <c r="D2032" i="1"/>
  <c r="C2032" i="1"/>
  <c r="E2031" i="1"/>
  <c r="D2031" i="1"/>
  <c r="C2031" i="1"/>
  <c r="E2030" i="1"/>
  <c r="D2030" i="1"/>
  <c r="C2030" i="1"/>
  <c r="E2029" i="1"/>
  <c r="D2029" i="1"/>
  <c r="C2029" i="1"/>
  <c r="E2028" i="1"/>
  <c r="D2028" i="1"/>
  <c r="C2028" i="1"/>
  <c r="E2027" i="1"/>
  <c r="D2027" i="1"/>
  <c r="C2027" i="1"/>
  <c r="E2026" i="1"/>
  <c r="D2026" i="1"/>
  <c r="C2026" i="1"/>
  <c r="E2025" i="1"/>
  <c r="D2025" i="1"/>
  <c r="C2025" i="1"/>
  <c r="E2024" i="1"/>
  <c r="D2024" i="1"/>
  <c r="C2024" i="1"/>
  <c r="E2023" i="1"/>
  <c r="D2023" i="1"/>
  <c r="C2023" i="1"/>
  <c r="E2022" i="1"/>
  <c r="D2022" i="1"/>
  <c r="C2022" i="1"/>
  <c r="E2021" i="1"/>
  <c r="D2021" i="1"/>
  <c r="C2021" i="1"/>
  <c r="E2020" i="1"/>
  <c r="D2020" i="1"/>
  <c r="C2020" i="1"/>
  <c r="E2019" i="1"/>
  <c r="D2019" i="1"/>
  <c r="C2019" i="1"/>
  <c r="E2018" i="1"/>
  <c r="D2018" i="1"/>
  <c r="C2018" i="1"/>
  <c r="E2017" i="1"/>
  <c r="D2017" i="1"/>
  <c r="C2017" i="1"/>
  <c r="E2016" i="1"/>
  <c r="D2016" i="1"/>
  <c r="C2016" i="1"/>
  <c r="E2015" i="1"/>
  <c r="D2015" i="1"/>
  <c r="C2015" i="1"/>
  <c r="E2014" i="1"/>
  <c r="D2014" i="1"/>
  <c r="C2014" i="1"/>
  <c r="E2013" i="1"/>
  <c r="D2013" i="1"/>
  <c r="C2013" i="1"/>
  <c r="E2012" i="1"/>
  <c r="D2012" i="1"/>
  <c r="C2012" i="1"/>
  <c r="E2011" i="1"/>
  <c r="D2011" i="1"/>
  <c r="C2011" i="1"/>
  <c r="E2010" i="1"/>
  <c r="D2010" i="1"/>
  <c r="C2010" i="1"/>
  <c r="E2009" i="1"/>
  <c r="D2009" i="1"/>
  <c r="C2009" i="1"/>
  <c r="E2008" i="1"/>
  <c r="D2008" i="1"/>
  <c r="C2008" i="1"/>
  <c r="E2007" i="1"/>
  <c r="D2007" i="1"/>
  <c r="C2007" i="1"/>
  <c r="E2006" i="1"/>
  <c r="D2006" i="1"/>
  <c r="C2006" i="1"/>
  <c r="E2005" i="1"/>
  <c r="D2005" i="1"/>
  <c r="C2005" i="1"/>
  <c r="E2004" i="1"/>
  <c r="D2004" i="1"/>
  <c r="C2004" i="1"/>
  <c r="E2003" i="1"/>
  <c r="D2003" i="1"/>
  <c r="C2003" i="1"/>
  <c r="E2002" i="1"/>
  <c r="D2002" i="1"/>
  <c r="C2002" i="1"/>
  <c r="E2001" i="1"/>
  <c r="D2001" i="1"/>
  <c r="C2001" i="1"/>
  <c r="E2000" i="1"/>
  <c r="D2000" i="1"/>
  <c r="C2000" i="1"/>
  <c r="E1999" i="1"/>
  <c r="D1999" i="1"/>
  <c r="C1999" i="1"/>
  <c r="E1998" i="1"/>
  <c r="D1998" i="1"/>
  <c r="C1998" i="1"/>
  <c r="E1997" i="1"/>
  <c r="D1997" i="1"/>
  <c r="C1997" i="1"/>
  <c r="E1996" i="1"/>
  <c r="D1996" i="1"/>
  <c r="C1996" i="1"/>
  <c r="E1995" i="1"/>
  <c r="D1995" i="1"/>
  <c r="C1995" i="1"/>
  <c r="E1994" i="1"/>
  <c r="D1994" i="1"/>
  <c r="C1994" i="1"/>
  <c r="E1993" i="1"/>
  <c r="D1993" i="1"/>
  <c r="C1993" i="1"/>
  <c r="E1992" i="1"/>
  <c r="D1992" i="1"/>
  <c r="C1992" i="1"/>
  <c r="E1991" i="1"/>
  <c r="D1991" i="1"/>
  <c r="C1991" i="1"/>
  <c r="E1990" i="1"/>
  <c r="D1990" i="1"/>
  <c r="C1990" i="1"/>
  <c r="E1989" i="1"/>
  <c r="D1989" i="1"/>
  <c r="C1989" i="1"/>
  <c r="E1988" i="1"/>
  <c r="D1988" i="1"/>
  <c r="C1988" i="1"/>
  <c r="E1987" i="1"/>
  <c r="D1987" i="1"/>
  <c r="C1987" i="1"/>
  <c r="E1986" i="1"/>
  <c r="D1986" i="1"/>
  <c r="C1986" i="1"/>
  <c r="E1985" i="1"/>
  <c r="D1985" i="1"/>
  <c r="C1985" i="1"/>
  <c r="E1984" i="1"/>
  <c r="D1984" i="1"/>
  <c r="C1984" i="1"/>
  <c r="E1983" i="1"/>
  <c r="D1983" i="1"/>
  <c r="C1983" i="1"/>
  <c r="E1982" i="1"/>
  <c r="D1982" i="1"/>
  <c r="C1982" i="1"/>
  <c r="E1981" i="1"/>
  <c r="D1981" i="1"/>
  <c r="C1981" i="1"/>
  <c r="E1980" i="1"/>
  <c r="D1980" i="1"/>
  <c r="C1980" i="1"/>
  <c r="E1979" i="1"/>
  <c r="D1979" i="1"/>
  <c r="C1979" i="1"/>
  <c r="E1978" i="1"/>
  <c r="D1978" i="1"/>
  <c r="C1978" i="1"/>
  <c r="E1977" i="1"/>
  <c r="D1977" i="1"/>
  <c r="C1977" i="1"/>
  <c r="E1976" i="1"/>
  <c r="D1976" i="1"/>
  <c r="C1976" i="1"/>
  <c r="E1975" i="1"/>
  <c r="D1975" i="1"/>
  <c r="C1975" i="1"/>
  <c r="E1974" i="1"/>
  <c r="D1974" i="1"/>
  <c r="C1974" i="1"/>
  <c r="E1973" i="1"/>
  <c r="D1973" i="1"/>
  <c r="C1973" i="1"/>
  <c r="E1972" i="1"/>
  <c r="D1972" i="1"/>
  <c r="C1972" i="1"/>
  <c r="E1971" i="1"/>
  <c r="D1971" i="1"/>
  <c r="C1971" i="1"/>
  <c r="E1970" i="1"/>
  <c r="D1970" i="1"/>
  <c r="C1970" i="1"/>
  <c r="E1969" i="1"/>
  <c r="D1969" i="1"/>
  <c r="C1969" i="1"/>
  <c r="E1968" i="1"/>
  <c r="D1968" i="1"/>
  <c r="C1968" i="1"/>
  <c r="E1967" i="1"/>
  <c r="D1967" i="1"/>
  <c r="C1967" i="1"/>
  <c r="E1966" i="1"/>
  <c r="D1966" i="1"/>
  <c r="C1966" i="1"/>
  <c r="E1965" i="1"/>
  <c r="D1965" i="1"/>
  <c r="C1965" i="1"/>
  <c r="E1964" i="1"/>
  <c r="D1964" i="1"/>
  <c r="C1964" i="1"/>
  <c r="E1963" i="1"/>
  <c r="D1963" i="1"/>
  <c r="C1963" i="1"/>
  <c r="E1962" i="1"/>
  <c r="D1962" i="1"/>
  <c r="C1962" i="1"/>
  <c r="E1961" i="1"/>
  <c r="D1961" i="1"/>
  <c r="C1961" i="1"/>
  <c r="E1960" i="1"/>
  <c r="D1960" i="1"/>
  <c r="C1960" i="1"/>
  <c r="E1959" i="1"/>
  <c r="D1959" i="1"/>
  <c r="C1959" i="1"/>
  <c r="E1958" i="1"/>
  <c r="D1958" i="1"/>
  <c r="C1958" i="1"/>
  <c r="E1957" i="1"/>
  <c r="D1957" i="1"/>
  <c r="C1957" i="1"/>
  <c r="E1956" i="1"/>
  <c r="D1956" i="1"/>
  <c r="C1956" i="1"/>
  <c r="E1955" i="1"/>
  <c r="D1955" i="1"/>
  <c r="C1955" i="1"/>
  <c r="E1954" i="1"/>
  <c r="D1954" i="1"/>
  <c r="C1954" i="1"/>
  <c r="E1953" i="1"/>
  <c r="D1953" i="1"/>
  <c r="C1953" i="1"/>
  <c r="E1952" i="1"/>
  <c r="D1952" i="1"/>
  <c r="C1952" i="1"/>
  <c r="E1951" i="1"/>
  <c r="D1951" i="1"/>
  <c r="C1951" i="1"/>
  <c r="E1950" i="1"/>
  <c r="D1950" i="1"/>
  <c r="C1950" i="1"/>
  <c r="E1949" i="1"/>
  <c r="D1949" i="1"/>
  <c r="C1949" i="1"/>
  <c r="E1948" i="1"/>
  <c r="D1948" i="1"/>
  <c r="C1948" i="1"/>
  <c r="E1947" i="1"/>
  <c r="D1947" i="1"/>
  <c r="C1947" i="1"/>
  <c r="E1946" i="1"/>
  <c r="D1946" i="1"/>
  <c r="C1946" i="1"/>
  <c r="E1945" i="1"/>
  <c r="D1945" i="1"/>
  <c r="C1945" i="1"/>
  <c r="E1944" i="1"/>
  <c r="D1944" i="1"/>
  <c r="C1944" i="1"/>
  <c r="E1943" i="1"/>
  <c r="D1943" i="1"/>
  <c r="C1943" i="1"/>
  <c r="E1942" i="1"/>
  <c r="D1942" i="1"/>
  <c r="C1942" i="1"/>
  <c r="E1941" i="1"/>
  <c r="D1941" i="1"/>
  <c r="C1941" i="1"/>
  <c r="E1940" i="1"/>
  <c r="D1940" i="1"/>
  <c r="C1940" i="1"/>
  <c r="E1939" i="1"/>
  <c r="D1939" i="1"/>
  <c r="C1939" i="1"/>
  <c r="E1938" i="1"/>
  <c r="D1938" i="1"/>
  <c r="C1938" i="1"/>
  <c r="E1937" i="1"/>
  <c r="D1937" i="1"/>
  <c r="C1937" i="1"/>
  <c r="E1936" i="1"/>
  <c r="D1936" i="1"/>
  <c r="C1936" i="1"/>
  <c r="E1935" i="1"/>
  <c r="D1935" i="1"/>
  <c r="C1935" i="1"/>
  <c r="E1934" i="1"/>
  <c r="D1934" i="1"/>
  <c r="C1934" i="1"/>
  <c r="E1933" i="1"/>
  <c r="D1933" i="1"/>
  <c r="C1933" i="1"/>
  <c r="E1932" i="1"/>
  <c r="D1932" i="1"/>
  <c r="C1932" i="1"/>
  <c r="E1931" i="1"/>
  <c r="D1931" i="1"/>
  <c r="C1931" i="1"/>
  <c r="E1930" i="1"/>
  <c r="D1930" i="1"/>
  <c r="C1930" i="1"/>
  <c r="E1929" i="1"/>
  <c r="D1929" i="1"/>
  <c r="C1929" i="1"/>
  <c r="E1928" i="1"/>
  <c r="D1928" i="1"/>
  <c r="C1928" i="1"/>
  <c r="E1927" i="1"/>
  <c r="D1927" i="1"/>
  <c r="C1927" i="1"/>
  <c r="E1926" i="1"/>
  <c r="D1926" i="1"/>
  <c r="C1926" i="1"/>
  <c r="E1925" i="1"/>
  <c r="D1925" i="1"/>
  <c r="C1925" i="1"/>
  <c r="E1924" i="1"/>
  <c r="D1924" i="1"/>
  <c r="C1924" i="1"/>
  <c r="E1923" i="1"/>
  <c r="D1923" i="1"/>
  <c r="C1923" i="1"/>
  <c r="E1922" i="1"/>
  <c r="D1922" i="1"/>
  <c r="C1922" i="1"/>
  <c r="E1921" i="1"/>
  <c r="D1921" i="1"/>
  <c r="C1921" i="1"/>
  <c r="E1920" i="1"/>
  <c r="D1920" i="1"/>
  <c r="C1920" i="1"/>
  <c r="E1919" i="1"/>
  <c r="D1919" i="1"/>
  <c r="C1919" i="1"/>
  <c r="E1918" i="1"/>
  <c r="D1918" i="1"/>
  <c r="C1918" i="1"/>
  <c r="E1917" i="1"/>
  <c r="D1917" i="1"/>
  <c r="C1917" i="1"/>
  <c r="E1916" i="1"/>
  <c r="D1916" i="1"/>
  <c r="C1916" i="1"/>
  <c r="E1915" i="1"/>
  <c r="D1915" i="1"/>
  <c r="C1915" i="1"/>
  <c r="E1914" i="1"/>
  <c r="D1914" i="1"/>
  <c r="C1914" i="1"/>
  <c r="E1913" i="1"/>
  <c r="D1913" i="1"/>
  <c r="C1913" i="1"/>
  <c r="E1912" i="1"/>
  <c r="D1912" i="1"/>
  <c r="C1912" i="1"/>
  <c r="E1911" i="1"/>
  <c r="D1911" i="1"/>
  <c r="C1911" i="1"/>
  <c r="E1910" i="1"/>
  <c r="D1910" i="1"/>
  <c r="C1910" i="1"/>
  <c r="E1909" i="1"/>
  <c r="D1909" i="1"/>
  <c r="C1909" i="1"/>
  <c r="E1908" i="1"/>
  <c r="D1908" i="1"/>
  <c r="C1908" i="1"/>
  <c r="E1907" i="1"/>
  <c r="D1907" i="1"/>
  <c r="C1907" i="1"/>
  <c r="E1906" i="1"/>
  <c r="D1906" i="1"/>
  <c r="C1906" i="1"/>
  <c r="E1905" i="1"/>
  <c r="D1905" i="1"/>
  <c r="C1905" i="1"/>
  <c r="E1904" i="1"/>
  <c r="D1904" i="1"/>
  <c r="C1904" i="1"/>
  <c r="E1903" i="1"/>
  <c r="D1903" i="1"/>
  <c r="C1903" i="1"/>
  <c r="E1902" i="1"/>
  <c r="D1902" i="1"/>
  <c r="C1902" i="1"/>
  <c r="E1901" i="1"/>
  <c r="D1901" i="1"/>
  <c r="C1901" i="1"/>
  <c r="E1900" i="1"/>
  <c r="D1900" i="1"/>
  <c r="C1900" i="1"/>
  <c r="E1899" i="1"/>
  <c r="D1899" i="1"/>
  <c r="C1899" i="1"/>
  <c r="E1898" i="1"/>
  <c r="D1898" i="1"/>
  <c r="C1898" i="1"/>
  <c r="E1897" i="1"/>
  <c r="D1897" i="1"/>
  <c r="C1897" i="1"/>
  <c r="E1896" i="1"/>
  <c r="D1896" i="1"/>
  <c r="C1896" i="1"/>
  <c r="E1895" i="1"/>
  <c r="D1895" i="1"/>
  <c r="C1895" i="1"/>
  <c r="E1894" i="1"/>
  <c r="D1894" i="1"/>
  <c r="C1894" i="1"/>
  <c r="E1893" i="1"/>
  <c r="D1893" i="1"/>
  <c r="C1893" i="1"/>
  <c r="E1892" i="1"/>
  <c r="D1892" i="1"/>
  <c r="C1892" i="1"/>
  <c r="E1891" i="1"/>
  <c r="D1891" i="1"/>
  <c r="C1891" i="1"/>
  <c r="E1890" i="1"/>
  <c r="D1890" i="1"/>
  <c r="C1890" i="1"/>
  <c r="E1889" i="1"/>
  <c r="D1889" i="1"/>
  <c r="C1889" i="1"/>
  <c r="E1888" i="1"/>
  <c r="D1888" i="1"/>
  <c r="C1888" i="1"/>
  <c r="E1887" i="1"/>
  <c r="D1887" i="1"/>
  <c r="C1887" i="1"/>
  <c r="E1886" i="1"/>
  <c r="D1886" i="1"/>
  <c r="C1886" i="1"/>
  <c r="E1885" i="1"/>
  <c r="D1885" i="1"/>
  <c r="C1885" i="1"/>
  <c r="E1884" i="1"/>
  <c r="D1884" i="1"/>
  <c r="C1884" i="1"/>
  <c r="E1883" i="1"/>
  <c r="D1883" i="1"/>
  <c r="C1883" i="1"/>
  <c r="E1882" i="1"/>
  <c r="D1882" i="1"/>
  <c r="C1882" i="1"/>
  <c r="E1881" i="1"/>
  <c r="D1881" i="1"/>
  <c r="C1881" i="1"/>
  <c r="E1880" i="1"/>
  <c r="D1880" i="1"/>
  <c r="C1880" i="1"/>
  <c r="E1879" i="1"/>
  <c r="D1879" i="1"/>
  <c r="C1879" i="1"/>
  <c r="E1878" i="1"/>
  <c r="D1878" i="1"/>
  <c r="C1878" i="1"/>
  <c r="E1877" i="1"/>
  <c r="D1877" i="1"/>
  <c r="C1877" i="1"/>
  <c r="E1876" i="1"/>
  <c r="D1876" i="1"/>
  <c r="C1876" i="1"/>
  <c r="E1875" i="1"/>
  <c r="D1875" i="1"/>
  <c r="C1875" i="1"/>
  <c r="E1874" i="1"/>
  <c r="D1874" i="1"/>
  <c r="C1874" i="1"/>
  <c r="E1873" i="1"/>
  <c r="D1873" i="1"/>
  <c r="C1873" i="1"/>
  <c r="E1872" i="1"/>
  <c r="D1872" i="1"/>
  <c r="C1872" i="1"/>
  <c r="E1871" i="1"/>
  <c r="D1871" i="1"/>
  <c r="C1871" i="1"/>
  <c r="E1870" i="1"/>
  <c r="D1870" i="1"/>
  <c r="C1870" i="1"/>
  <c r="E1869" i="1"/>
  <c r="D1869" i="1"/>
  <c r="C1869" i="1"/>
  <c r="E1868" i="1"/>
  <c r="D1868" i="1"/>
  <c r="C1868" i="1"/>
  <c r="E1867" i="1"/>
  <c r="D1867" i="1"/>
  <c r="C1867" i="1"/>
  <c r="E1866" i="1"/>
  <c r="D1866" i="1"/>
  <c r="C1866" i="1"/>
  <c r="E1865" i="1"/>
  <c r="D1865" i="1"/>
  <c r="C1865" i="1"/>
  <c r="E1864" i="1"/>
  <c r="D1864" i="1"/>
  <c r="C1864" i="1"/>
  <c r="E1863" i="1"/>
  <c r="D1863" i="1"/>
  <c r="C1863" i="1"/>
  <c r="E1862" i="1"/>
  <c r="D1862" i="1"/>
  <c r="C1862" i="1"/>
  <c r="E1861" i="1"/>
  <c r="D1861" i="1"/>
  <c r="C1861" i="1"/>
  <c r="E1860" i="1"/>
  <c r="D1860" i="1"/>
  <c r="C1860" i="1"/>
  <c r="E1859" i="1"/>
  <c r="D1859" i="1"/>
  <c r="C1859" i="1"/>
  <c r="E1858" i="1"/>
  <c r="D1858" i="1"/>
  <c r="C1858" i="1"/>
  <c r="E1857" i="1"/>
  <c r="D1857" i="1"/>
  <c r="C1857" i="1"/>
  <c r="E1856" i="1"/>
  <c r="D1856" i="1"/>
  <c r="C1856" i="1"/>
  <c r="E1855" i="1"/>
  <c r="D1855" i="1"/>
  <c r="C1855" i="1"/>
  <c r="E1854" i="1"/>
  <c r="D1854" i="1"/>
  <c r="C1854" i="1"/>
  <c r="E1853" i="1"/>
  <c r="D1853" i="1"/>
  <c r="C1853" i="1"/>
  <c r="E1852" i="1"/>
  <c r="D1852" i="1"/>
  <c r="C1852" i="1"/>
  <c r="E1851" i="1"/>
  <c r="D1851" i="1"/>
  <c r="C1851" i="1"/>
  <c r="E1850" i="1"/>
  <c r="D1850" i="1"/>
  <c r="C1850" i="1"/>
  <c r="E1849" i="1"/>
  <c r="D1849" i="1"/>
  <c r="C1849" i="1"/>
  <c r="E1848" i="1"/>
  <c r="D1848" i="1"/>
  <c r="C1848" i="1"/>
  <c r="E1847" i="1"/>
  <c r="D1847" i="1"/>
  <c r="C1847" i="1"/>
  <c r="E1846" i="1"/>
  <c r="D1846" i="1"/>
  <c r="C1846" i="1"/>
  <c r="E1845" i="1"/>
  <c r="D1845" i="1"/>
  <c r="C1845" i="1"/>
  <c r="E1844" i="1"/>
  <c r="D1844" i="1"/>
  <c r="C1844" i="1"/>
  <c r="E1843" i="1"/>
  <c r="D1843" i="1"/>
  <c r="C1843" i="1"/>
  <c r="E1842" i="1"/>
  <c r="D1842" i="1"/>
  <c r="C1842" i="1"/>
  <c r="E1841" i="1"/>
  <c r="D1841" i="1"/>
  <c r="C1841" i="1"/>
  <c r="E1840" i="1"/>
  <c r="D1840" i="1"/>
  <c r="C1840" i="1"/>
  <c r="E1839" i="1"/>
  <c r="D1839" i="1"/>
  <c r="C1839" i="1"/>
  <c r="E1838" i="1"/>
  <c r="D1838" i="1"/>
  <c r="C1838" i="1"/>
  <c r="E1837" i="1"/>
  <c r="D1837" i="1"/>
  <c r="C1837" i="1"/>
  <c r="E1836" i="1"/>
  <c r="D1836" i="1"/>
  <c r="C1836" i="1"/>
  <c r="E1835" i="1"/>
  <c r="D1835" i="1"/>
  <c r="C1835" i="1"/>
  <c r="E1834" i="1"/>
  <c r="D1834" i="1"/>
  <c r="C1834" i="1"/>
  <c r="E1833" i="1"/>
  <c r="D1833" i="1"/>
  <c r="C1833" i="1"/>
  <c r="E1832" i="1"/>
  <c r="D1832" i="1"/>
  <c r="C1832" i="1"/>
  <c r="E1831" i="1"/>
  <c r="D1831" i="1"/>
  <c r="C1831" i="1"/>
  <c r="E1830" i="1"/>
  <c r="D1830" i="1"/>
  <c r="C1830" i="1"/>
  <c r="E1829" i="1"/>
  <c r="D1829" i="1"/>
  <c r="C1829" i="1"/>
  <c r="E1828" i="1"/>
  <c r="D1828" i="1"/>
  <c r="C1828" i="1"/>
  <c r="E1827" i="1"/>
  <c r="D1827" i="1"/>
  <c r="C1827" i="1"/>
  <c r="E1826" i="1"/>
  <c r="D1826" i="1"/>
  <c r="C1826" i="1"/>
  <c r="E1825" i="1"/>
  <c r="D1825" i="1"/>
  <c r="C1825" i="1"/>
  <c r="E1824" i="1"/>
  <c r="D1824" i="1"/>
  <c r="C1824" i="1"/>
  <c r="E1823" i="1"/>
  <c r="D1823" i="1"/>
  <c r="C1823" i="1"/>
  <c r="E1822" i="1"/>
  <c r="D1822" i="1"/>
  <c r="C1822" i="1"/>
  <c r="E1821" i="1"/>
  <c r="D1821" i="1"/>
  <c r="C1821" i="1"/>
  <c r="E1820" i="1"/>
  <c r="D1820" i="1"/>
  <c r="C1820" i="1"/>
  <c r="E1819" i="1"/>
  <c r="D1819" i="1"/>
  <c r="C1819" i="1"/>
  <c r="E1818" i="1"/>
  <c r="D1818" i="1"/>
  <c r="C1818" i="1"/>
  <c r="E1817" i="1"/>
  <c r="D1817" i="1"/>
  <c r="C1817" i="1"/>
  <c r="E1816" i="1"/>
  <c r="D1816" i="1"/>
  <c r="C1816" i="1"/>
  <c r="E1815" i="1"/>
  <c r="D1815" i="1"/>
  <c r="C1815" i="1"/>
  <c r="E1814" i="1"/>
  <c r="D1814" i="1"/>
  <c r="C1814" i="1"/>
  <c r="E1813" i="1"/>
  <c r="D1813" i="1"/>
  <c r="C1813" i="1"/>
  <c r="E1812" i="1"/>
  <c r="D1812" i="1"/>
  <c r="C1812" i="1"/>
  <c r="E1811" i="1"/>
  <c r="D1811" i="1"/>
  <c r="C1811" i="1"/>
  <c r="E1810" i="1"/>
  <c r="D1810" i="1"/>
  <c r="C1810" i="1"/>
  <c r="E1809" i="1"/>
  <c r="D1809" i="1"/>
  <c r="C1809" i="1"/>
  <c r="E1808" i="1"/>
  <c r="D1808" i="1"/>
  <c r="C1808" i="1"/>
  <c r="E1807" i="1"/>
  <c r="D1807" i="1"/>
  <c r="C1807" i="1"/>
  <c r="E1806" i="1"/>
  <c r="D1806" i="1"/>
  <c r="C1806" i="1"/>
  <c r="E1805" i="1"/>
  <c r="D1805" i="1"/>
  <c r="C1805" i="1"/>
  <c r="E1804" i="1"/>
  <c r="D1804" i="1"/>
  <c r="C1804" i="1"/>
  <c r="E1803" i="1"/>
  <c r="D1803" i="1"/>
  <c r="C1803" i="1"/>
  <c r="E1802" i="1"/>
  <c r="D1802" i="1"/>
  <c r="C1802" i="1"/>
  <c r="E1801" i="1"/>
  <c r="D1801" i="1"/>
  <c r="C1801" i="1"/>
  <c r="E1800" i="1"/>
  <c r="D1800" i="1"/>
  <c r="C1800" i="1"/>
  <c r="E1799" i="1"/>
  <c r="D1799" i="1"/>
  <c r="C1799" i="1"/>
  <c r="E1798" i="1"/>
  <c r="D1798" i="1"/>
  <c r="C1798" i="1"/>
  <c r="E1797" i="1"/>
  <c r="D1797" i="1"/>
  <c r="C1797" i="1"/>
  <c r="E1796" i="1"/>
  <c r="D1796" i="1"/>
  <c r="C1796" i="1"/>
  <c r="E1795" i="1"/>
  <c r="D1795" i="1"/>
  <c r="C1795" i="1"/>
  <c r="E1794" i="1"/>
  <c r="D1794" i="1"/>
  <c r="C1794" i="1"/>
  <c r="E1793" i="1"/>
  <c r="D1793" i="1"/>
  <c r="C1793" i="1"/>
  <c r="E1792" i="1"/>
  <c r="D1792" i="1"/>
  <c r="C1792" i="1"/>
  <c r="E1791" i="1"/>
  <c r="D1791" i="1"/>
  <c r="C1791" i="1"/>
  <c r="E1790" i="1"/>
  <c r="D1790" i="1"/>
  <c r="C1790" i="1"/>
  <c r="E1789" i="1"/>
  <c r="D1789" i="1"/>
  <c r="C1789" i="1"/>
  <c r="E1788" i="1"/>
  <c r="D1788" i="1"/>
  <c r="C1788" i="1"/>
  <c r="E1787" i="1"/>
  <c r="D1787" i="1"/>
  <c r="C1787" i="1"/>
  <c r="E1786" i="1"/>
  <c r="D1786" i="1"/>
  <c r="C1786" i="1"/>
  <c r="E1785" i="1"/>
  <c r="D1785" i="1"/>
  <c r="C1785" i="1"/>
  <c r="E1784" i="1"/>
  <c r="D1784" i="1"/>
  <c r="C1784" i="1"/>
  <c r="E1783" i="1"/>
  <c r="D1783" i="1"/>
  <c r="C1783" i="1"/>
  <c r="E1782" i="1"/>
  <c r="D1782" i="1"/>
  <c r="C1782" i="1"/>
  <c r="E1781" i="1"/>
  <c r="D1781" i="1"/>
  <c r="C1781" i="1"/>
  <c r="E1780" i="1"/>
  <c r="D1780" i="1"/>
  <c r="C1780" i="1"/>
  <c r="E1779" i="1"/>
  <c r="D1779" i="1"/>
  <c r="C1779" i="1"/>
  <c r="E1778" i="1"/>
  <c r="D1778" i="1"/>
  <c r="C1778" i="1"/>
  <c r="E1777" i="1"/>
  <c r="D1777" i="1"/>
  <c r="C1777" i="1"/>
  <c r="E1776" i="1"/>
  <c r="D1776" i="1"/>
  <c r="C1776" i="1"/>
  <c r="E1775" i="1"/>
  <c r="D1775" i="1"/>
  <c r="C1775" i="1"/>
  <c r="E1774" i="1"/>
  <c r="D1774" i="1"/>
  <c r="C1774" i="1"/>
  <c r="E1773" i="1"/>
  <c r="D1773" i="1"/>
  <c r="C1773" i="1"/>
  <c r="E1772" i="1"/>
  <c r="D1772" i="1"/>
  <c r="C1772" i="1"/>
  <c r="E1771" i="1"/>
  <c r="D1771" i="1"/>
  <c r="C1771" i="1"/>
  <c r="E1770" i="1"/>
  <c r="D1770" i="1"/>
  <c r="C1770" i="1"/>
  <c r="E1769" i="1"/>
  <c r="D1769" i="1"/>
  <c r="C1769" i="1"/>
  <c r="E1768" i="1"/>
  <c r="D1768" i="1"/>
  <c r="C1768" i="1"/>
  <c r="E1767" i="1"/>
  <c r="D1767" i="1"/>
  <c r="C1767" i="1"/>
  <c r="E1766" i="1"/>
  <c r="D1766" i="1"/>
  <c r="C1766" i="1"/>
  <c r="E1765" i="1"/>
  <c r="D1765" i="1"/>
  <c r="C1765" i="1"/>
  <c r="E1764" i="1"/>
  <c r="D1764" i="1"/>
  <c r="C1764" i="1"/>
  <c r="E1763" i="1"/>
  <c r="D1763" i="1"/>
  <c r="C1763" i="1"/>
  <c r="E1762" i="1"/>
  <c r="D1762" i="1"/>
  <c r="C1762" i="1"/>
  <c r="E1761" i="1"/>
  <c r="D1761" i="1"/>
  <c r="C1761" i="1"/>
  <c r="E1760" i="1"/>
  <c r="D1760" i="1"/>
  <c r="C1760" i="1"/>
  <c r="E1759" i="1"/>
  <c r="D1759" i="1"/>
  <c r="C1759" i="1"/>
  <c r="E1758" i="1"/>
  <c r="D1758" i="1"/>
  <c r="C1758" i="1"/>
  <c r="E1757" i="1"/>
  <c r="D1757" i="1"/>
  <c r="C1757" i="1"/>
  <c r="E1756" i="1"/>
  <c r="D1756" i="1"/>
  <c r="C1756" i="1"/>
  <c r="E1755" i="1"/>
  <c r="D1755" i="1"/>
  <c r="C1755" i="1"/>
  <c r="E1754" i="1"/>
  <c r="D1754" i="1"/>
  <c r="C1754" i="1"/>
  <c r="E1753" i="1"/>
  <c r="D1753" i="1"/>
  <c r="C1753" i="1"/>
  <c r="E1752" i="1"/>
  <c r="D1752" i="1"/>
  <c r="C1752" i="1"/>
  <c r="E1751" i="1"/>
  <c r="D1751" i="1"/>
  <c r="C1751" i="1"/>
  <c r="E1750" i="1"/>
  <c r="D1750" i="1"/>
  <c r="C1750" i="1"/>
  <c r="E1749" i="1"/>
  <c r="D1749" i="1"/>
  <c r="C1749" i="1"/>
  <c r="E1748" i="1"/>
  <c r="D1748" i="1"/>
  <c r="C1748" i="1"/>
  <c r="E1747" i="1"/>
  <c r="D1747" i="1"/>
  <c r="C1747" i="1"/>
  <c r="E1746" i="1"/>
  <c r="D1746" i="1"/>
  <c r="C1746" i="1"/>
  <c r="E1745" i="1"/>
  <c r="D1745" i="1"/>
  <c r="C1745" i="1"/>
  <c r="E1744" i="1"/>
  <c r="D1744" i="1"/>
  <c r="C1744" i="1"/>
  <c r="E1743" i="1"/>
  <c r="D1743" i="1"/>
  <c r="C1743" i="1"/>
  <c r="E1742" i="1"/>
  <c r="D1742" i="1"/>
  <c r="C1742" i="1"/>
  <c r="E1741" i="1"/>
  <c r="D1741" i="1"/>
  <c r="C1741" i="1"/>
  <c r="E1740" i="1"/>
  <c r="D1740" i="1"/>
  <c r="C1740" i="1"/>
  <c r="E1739" i="1"/>
  <c r="D1739" i="1"/>
  <c r="C1739" i="1"/>
  <c r="E1738" i="1"/>
  <c r="D1738" i="1"/>
  <c r="C1738" i="1"/>
  <c r="E1737" i="1"/>
  <c r="D1737" i="1"/>
  <c r="C1737" i="1"/>
  <c r="E1736" i="1"/>
  <c r="D1736" i="1"/>
  <c r="C1736" i="1"/>
  <c r="E1735" i="1"/>
  <c r="D1735" i="1"/>
  <c r="C1735" i="1"/>
  <c r="E1734" i="1"/>
  <c r="D1734" i="1"/>
  <c r="C1734" i="1"/>
  <c r="E1733" i="1"/>
  <c r="D1733" i="1"/>
  <c r="C1733" i="1"/>
  <c r="E1732" i="1"/>
  <c r="D1732" i="1"/>
  <c r="C1732" i="1"/>
  <c r="E1731" i="1"/>
  <c r="D1731" i="1"/>
  <c r="C1731" i="1"/>
  <c r="E1730" i="1"/>
  <c r="D1730" i="1"/>
  <c r="C1730" i="1"/>
  <c r="E1729" i="1"/>
  <c r="D1729" i="1"/>
  <c r="C1729" i="1"/>
  <c r="E1728" i="1"/>
  <c r="D1728" i="1"/>
  <c r="C1728" i="1"/>
  <c r="E1727" i="1"/>
  <c r="D1727" i="1"/>
  <c r="C1727" i="1"/>
  <c r="E1726" i="1"/>
  <c r="D1726" i="1"/>
  <c r="C1726" i="1"/>
  <c r="E1725" i="1"/>
  <c r="D1725" i="1"/>
  <c r="C1725" i="1"/>
  <c r="E1724" i="1"/>
  <c r="D1724" i="1"/>
  <c r="C1724" i="1"/>
  <c r="E1723" i="1"/>
  <c r="D1723" i="1"/>
  <c r="C1723" i="1"/>
  <c r="E1722" i="1"/>
  <c r="D1722" i="1"/>
  <c r="C1722" i="1"/>
  <c r="E1721" i="1"/>
  <c r="D1721" i="1"/>
  <c r="C1721" i="1"/>
  <c r="E1720" i="1"/>
  <c r="D1720" i="1"/>
  <c r="C1720" i="1"/>
  <c r="E1719" i="1"/>
  <c r="D1719" i="1"/>
  <c r="C1719" i="1"/>
  <c r="E1718" i="1"/>
  <c r="D1718" i="1"/>
  <c r="C1718" i="1"/>
  <c r="E1717" i="1"/>
  <c r="D1717" i="1"/>
  <c r="C1717" i="1"/>
  <c r="E1716" i="1"/>
  <c r="D1716" i="1"/>
  <c r="C1716" i="1"/>
  <c r="E1715" i="1"/>
  <c r="D1715" i="1"/>
  <c r="C1715" i="1"/>
  <c r="E1714" i="1"/>
  <c r="D1714" i="1"/>
  <c r="C1714" i="1"/>
  <c r="E1713" i="1"/>
  <c r="D1713" i="1"/>
  <c r="C1713" i="1"/>
  <c r="E1712" i="1"/>
  <c r="D1712" i="1"/>
  <c r="C1712" i="1"/>
  <c r="E1711" i="1"/>
  <c r="D1711" i="1"/>
  <c r="C1711" i="1"/>
  <c r="E1710" i="1"/>
  <c r="D1710" i="1"/>
  <c r="C1710" i="1"/>
  <c r="E1709" i="1"/>
  <c r="D1709" i="1"/>
  <c r="C1709" i="1"/>
  <c r="E1708" i="1"/>
  <c r="D1708" i="1"/>
  <c r="C1708" i="1"/>
  <c r="E1707" i="1"/>
  <c r="D1707" i="1"/>
  <c r="C1707" i="1"/>
  <c r="E1706" i="1"/>
  <c r="D1706" i="1"/>
  <c r="C1706" i="1"/>
  <c r="E1705" i="1"/>
  <c r="D1705" i="1"/>
  <c r="C1705" i="1"/>
  <c r="E1704" i="1"/>
  <c r="D1704" i="1"/>
  <c r="C1704" i="1"/>
  <c r="E1703" i="1"/>
  <c r="D1703" i="1"/>
  <c r="C1703" i="1"/>
  <c r="E1702" i="1"/>
  <c r="D1702" i="1"/>
  <c r="C1702" i="1"/>
  <c r="E1701" i="1"/>
  <c r="D1701" i="1"/>
  <c r="C1701" i="1"/>
  <c r="E1700" i="1"/>
  <c r="D1700" i="1"/>
  <c r="C1700" i="1"/>
  <c r="E1699" i="1"/>
  <c r="D1699" i="1"/>
  <c r="C1699" i="1"/>
  <c r="E1698" i="1"/>
  <c r="D1698" i="1"/>
  <c r="C1698" i="1"/>
  <c r="E1697" i="1"/>
  <c r="D1697" i="1"/>
  <c r="C1697" i="1"/>
  <c r="E1696" i="1"/>
  <c r="D1696" i="1"/>
  <c r="C1696" i="1"/>
  <c r="E1695" i="1"/>
  <c r="D1695" i="1"/>
  <c r="C1695" i="1"/>
  <c r="E1694" i="1"/>
  <c r="D1694" i="1"/>
  <c r="C1694" i="1"/>
  <c r="E1693" i="1"/>
  <c r="D1693" i="1"/>
  <c r="C1693" i="1"/>
  <c r="E1692" i="1"/>
  <c r="D1692" i="1"/>
  <c r="C1692" i="1"/>
  <c r="E1691" i="1"/>
  <c r="D1691" i="1"/>
  <c r="C1691" i="1"/>
  <c r="E1690" i="1"/>
  <c r="D1690" i="1"/>
  <c r="C1690" i="1"/>
  <c r="E1689" i="1"/>
  <c r="D1689" i="1"/>
  <c r="C1689" i="1"/>
  <c r="E1688" i="1"/>
  <c r="D1688" i="1"/>
  <c r="C1688" i="1"/>
  <c r="E1687" i="1"/>
  <c r="D1687" i="1"/>
  <c r="C1687" i="1"/>
  <c r="E1686" i="1"/>
  <c r="D1686" i="1"/>
  <c r="C1686" i="1"/>
  <c r="E1685" i="1"/>
  <c r="D1685" i="1"/>
  <c r="C1685" i="1"/>
  <c r="E1684" i="1"/>
  <c r="D1684" i="1"/>
  <c r="C1684" i="1"/>
  <c r="E1683" i="1"/>
  <c r="D1683" i="1"/>
  <c r="C1683" i="1"/>
  <c r="E1682" i="1"/>
  <c r="D1682" i="1"/>
  <c r="C1682" i="1"/>
  <c r="E1681" i="1"/>
  <c r="D1681" i="1"/>
  <c r="C1681" i="1"/>
  <c r="E1680" i="1"/>
  <c r="D1680" i="1"/>
  <c r="C1680" i="1"/>
  <c r="E1679" i="1"/>
  <c r="D1679" i="1"/>
  <c r="C1679" i="1"/>
  <c r="E1678" i="1"/>
  <c r="D1678" i="1"/>
  <c r="C1678" i="1"/>
  <c r="E1677" i="1"/>
  <c r="D1677" i="1"/>
  <c r="C1677" i="1"/>
  <c r="E1676" i="1"/>
  <c r="D1676" i="1"/>
  <c r="C1676" i="1"/>
  <c r="E1675" i="1"/>
  <c r="D1675" i="1"/>
  <c r="C1675" i="1"/>
  <c r="E1674" i="1"/>
  <c r="D1674" i="1"/>
  <c r="C1674" i="1"/>
  <c r="E1673" i="1"/>
  <c r="D1673" i="1"/>
  <c r="C1673" i="1"/>
  <c r="E1672" i="1"/>
  <c r="D1672" i="1"/>
  <c r="C1672" i="1"/>
  <c r="E1671" i="1"/>
  <c r="D1671" i="1"/>
  <c r="C1671" i="1"/>
  <c r="E1670" i="1"/>
  <c r="D1670" i="1"/>
  <c r="C1670" i="1"/>
  <c r="E1669" i="1"/>
  <c r="D1669" i="1"/>
  <c r="C1669" i="1"/>
  <c r="E1668" i="1"/>
  <c r="D1668" i="1"/>
  <c r="C1668" i="1"/>
  <c r="E1667" i="1"/>
  <c r="D1667" i="1"/>
  <c r="C1667" i="1"/>
  <c r="E1666" i="1"/>
  <c r="D1666" i="1"/>
  <c r="C1666" i="1"/>
  <c r="E1665" i="1"/>
  <c r="D1665" i="1"/>
  <c r="C1665" i="1"/>
  <c r="E1664" i="1"/>
  <c r="D1664" i="1"/>
  <c r="C1664" i="1"/>
  <c r="E1663" i="1"/>
  <c r="D1663" i="1"/>
  <c r="C1663" i="1"/>
  <c r="E1662" i="1"/>
  <c r="D1662" i="1"/>
  <c r="C1662" i="1"/>
  <c r="E1661" i="1"/>
  <c r="D1661" i="1"/>
  <c r="C1661" i="1"/>
  <c r="E1660" i="1"/>
  <c r="D1660" i="1"/>
  <c r="C1660" i="1"/>
  <c r="E1659" i="1"/>
  <c r="D1659" i="1"/>
  <c r="C1659" i="1"/>
  <c r="E1658" i="1"/>
  <c r="D1658" i="1"/>
  <c r="C1658" i="1"/>
  <c r="E1657" i="1"/>
  <c r="D1657" i="1"/>
  <c r="C1657" i="1"/>
  <c r="E1656" i="1"/>
  <c r="D1656" i="1"/>
  <c r="C1656" i="1"/>
  <c r="E1655" i="1"/>
  <c r="D1655" i="1"/>
  <c r="C1655" i="1"/>
  <c r="E1654" i="1"/>
  <c r="D1654" i="1"/>
  <c r="C1654" i="1"/>
  <c r="E1653" i="1"/>
  <c r="D1653" i="1"/>
  <c r="C1653" i="1"/>
  <c r="E1652" i="1"/>
  <c r="D1652" i="1"/>
  <c r="C1652" i="1"/>
  <c r="E1651" i="1"/>
  <c r="D1651" i="1"/>
  <c r="C1651" i="1"/>
  <c r="E1650" i="1"/>
  <c r="D1650" i="1"/>
  <c r="C1650" i="1"/>
  <c r="E1649" i="1"/>
  <c r="D1649" i="1"/>
  <c r="C1649" i="1"/>
  <c r="E1648" i="1"/>
  <c r="D1648" i="1"/>
  <c r="C1648" i="1"/>
  <c r="E1647" i="1"/>
  <c r="D1647" i="1"/>
  <c r="C1647" i="1"/>
  <c r="E1646" i="1"/>
  <c r="D1646" i="1"/>
  <c r="C1646" i="1"/>
  <c r="E1645" i="1"/>
  <c r="D1645" i="1"/>
  <c r="C1645" i="1"/>
  <c r="E1644" i="1"/>
  <c r="D1644" i="1"/>
  <c r="C1644" i="1"/>
  <c r="E1643" i="1"/>
  <c r="D1643" i="1"/>
  <c r="C1643" i="1"/>
  <c r="E1642" i="1"/>
  <c r="D1642" i="1"/>
  <c r="C1642" i="1"/>
  <c r="E1641" i="1"/>
  <c r="D1641" i="1"/>
  <c r="C1641" i="1"/>
  <c r="E1640" i="1"/>
  <c r="D1640" i="1"/>
  <c r="C1640" i="1"/>
  <c r="E1639" i="1"/>
  <c r="D1639" i="1"/>
  <c r="C1639" i="1"/>
  <c r="E1638" i="1"/>
  <c r="D1638" i="1"/>
  <c r="C1638" i="1"/>
  <c r="E1637" i="1"/>
  <c r="D1637" i="1"/>
  <c r="C1637" i="1"/>
  <c r="E1636" i="1"/>
  <c r="D1636" i="1"/>
  <c r="C1636" i="1"/>
  <c r="E1635" i="1"/>
  <c r="D1635" i="1"/>
  <c r="C1635" i="1"/>
  <c r="E1634" i="1"/>
  <c r="D1634" i="1"/>
  <c r="C1634" i="1"/>
  <c r="E1633" i="1"/>
  <c r="D1633" i="1"/>
  <c r="C1633" i="1"/>
  <c r="E1632" i="1"/>
  <c r="D1632" i="1"/>
  <c r="C1632" i="1"/>
  <c r="E1631" i="1"/>
  <c r="D1631" i="1"/>
  <c r="C1631" i="1"/>
  <c r="E1630" i="1"/>
  <c r="D1630" i="1"/>
  <c r="C1630" i="1"/>
  <c r="E1629" i="1"/>
  <c r="D1629" i="1"/>
  <c r="C1629" i="1"/>
  <c r="E1628" i="1"/>
  <c r="D1628" i="1"/>
  <c r="C1628" i="1"/>
  <c r="E1627" i="1"/>
  <c r="D1627" i="1"/>
  <c r="C1627" i="1"/>
  <c r="E1626" i="1"/>
  <c r="D1626" i="1"/>
  <c r="C1626" i="1"/>
  <c r="E1625" i="1"/>
  <c r="D1625" i="1"/>
  <c r="C1625" i="1"/>
  <c r="E1624" i="1"/>
  <c r="D1624" i="1"/>
  <c r="C1624" i="1"/>
  <c r="E1623" i="1"/>
  <c r="D1623" i="1"/>
  <c r="C1623" i="1"/>
  <c r="E1622" i="1"/>
  <c r="D1622" i="1"/>
  <c r="C1622" i="1"/>
  <c r="E1621" i="1"/>
  <c r="D1621" i="1"/>
  <c r="C1621" i="1"/>
  <c r="E1620" i="1"/>
  <c r="D1620" i="1"/>
  <c r="C1620" i="1"/>
  <c r="E1619" i="1"/>
  <c r="D1619" i="1"/>
  <c r="C1619" i="1"/>
  <c r="E1618" i="1"/>
  <c r="D1618" i="1"/>
  <c r="C1618" i="1"/>
  <c r="E1617" i="1"/>
  <c r="D1617" i="1"/>
  <c r="C1617" i="1"/>
  <c r="E1616" i="1"/>
  <c r="D1616" i="1"/>
  <c r="C1616" i="1"/>
  <c r="E1615" i="1"/>
  <c r="D1615" i="1"/>
  <c r="C1615" i="1"/>
  <c r="E1614" i="1"/>
  <c r="D1614" i="1"/>
  <c r="C1614" i="1"/>
  <c r="E1613" i="1"/>
  <c r="D1613" i="1"/>
  <c r="C1613" i="1"/>
  <c r="E1612" i="1"/>
  <c r="D1612" i="1"/>
  <c r="C1612" i="1"/>
  <c r="E1611" i="1"/>
  <c r="D1611" i="1"/>
  <c r="C1611" i="1"/>
  <c r="E1610" i="1"/>
  <c r="D1610" i="1"/>
  <c r="C1610" i="1"/>
  <c r="E1609" i="1"/>
  <c r="D1609" i="1"/>
  <c r="C1609" i="1"/>
  <c r="E1608" i="1"/>
  <c r="D1608" i="1"/>
  <c r="C1608" i="1"/>
  <c r="E1607" i="1"/>
  <c r="D1607" i="1"/>
  <c r="C1607" i="1"/>
  <c r="E1606" i="1"/>
  <c r="D1606" i="1"/>
  <c r="C1606" i="1"/>
  <c r="E1605" i="1"/>
  <c r="D1605" i="1"/>
  <c r="C1605" i="1"/>
  <c r="E1604" i="1"/>
  <c r="D1604" i="1"/>
  <c r="C1604" i="1"/>
  <c r="E1603" i="1"/>
  <c r="D1603" i="1"/>
  <c r="C1603" i="1"/>
  <c r="E1602" i="1"/>
  <c r="D1602" i="1"/>
  <c r="C1602" i="1"/>
  <c r="E1601" i="1"/>
  <c r="D1601" i="1"/>
  <c r="C1601" i="1"/>
  <c r="E1600" i="1"/>
  <c r="D1600" i="1"/>
  <c r="C1600" i="1"/>
  <c r="E1599" i="1"/>
  <c r="D1599" i="1"/>
  <c r="C1599" i="1"/>
  <c r="E1598" i="1"/>
  <c r="D1598" i="1"/>
  <c r="C1598" i="1"/>
  <c r="E1597" i="1"/>
  <c r="D1597" i="1"/>
  <c r="C1597" i="1"/>
  <c r="E1596" i="1"/>
  <c r="D1596" i="1"/>
  <c r="C1596" i="1"/>
  <c r="E1595" i="1"/>
  <c r="D1595" i="1"/>
  <c r="C1595" i="1"/>
  <c r="E1594" i="1"/>
  <c r="D1594" i="1"/>
  <c r="C1594" i="1"/>
  <c r="E1593" i="1"/>
  <c r="D1593" i="1"/>
  <c r="C1593" i="1"/>
  <c r="E1592" i="1"/>
  <c r="D1592" i="1"/>
  <c r="C1592" i="1"/>
  <c r="E1591" i="1"/>
  <c r="D1591" i="1"/>
  <c r="C1591" i="1"/>
  <c r="E1590" i="1"/>
  <c r="D1590" i="1"/>
  <c r="C1590" i="1"/>
  <c r="E1589" i="1"/>
  <c r="D1589" i="1"/>
  <c r="C1589" i="1"/>
  <c r="E1588" i="1"/>
  <c r="D1588" i="1"/>
  <c r="C1588" i="1"/>
  <c r="E1587" i="1"/>
  <c r="D1587" i="1"/>
  <c r="C1587" i="1"/>
  <c r="E1586" i="1"/>
  <c r="D1586" i="1"/>
  <c r="C1586" i="1"/>
  <c r="E1585" i="1"/>
  <c r="D1585" i="1"/>
  <c r="C1585" i="1"/>
  <c r="E1584" i="1"/>
  <c r="D1584" i="1"/>
  <c r="C1584" i="1"/>
  <c r="E1583" i="1"/>
  <c r="D1583" i="1"/>
  <c r="C1583" i="1"/>
  <c r="E1582" i="1"/>
  <c r="D1582" i="1"/>
  <c r="C1582" i="1"/>
  <c r="E1581" i="1"/>
  <c r="D1581" i="1"/>
  <c r="C1581" i="1"/>
  <c r="E1580" i="1"/>
  <c r="D1580" i="1"/>
  <c r="C1580" i="1"/>
  <c r="E1579" i="1"/>
  <c r="D1579" i="1"/>
  <c r="C1579" i="1"/>
  <c r="E1578" i="1"/>
  <c r="D1578" i="1"/>
  <c r="C1578" i="1"/>
  <c r="E1577" i="1"/>
  <c r="D1577" i="1"/>
  <c r="C1577" i="1"/>
  <c r="E1576" i="1"/>
  <c r="D1576" i="1"/>
  <c r="C1576" i="1"/>
  <c r="E1575" i="1"/>
  <c r="D1575" i="1"/>
  <c r="C1575" i="1"/>
  <c r="E1574" i="1"/>
  <c r="D1574" i="1"/>
  <c r="C1574" i="1"/>
  <c r="E1573" i="1"/>
  <c r="D1573" i="1"/>
  <c r="C1573" i="1"/>
  <c r="E1572" i="1"/>
  <c r="D1572" i="1"/>
  <c r="C1572" i="1"/>
  <c r="E1571" i="1"/>
  <c r="D1571" i="1"/>
  <c r="C1571" i="1"/>
  <c r="E1570" i="1"/>
  <c r="D1570" i="1"/>
  <c r="C1570" i="1"/>
  <c r="E1569" i="1"/>
  <c r="D1569" i="1"/>
  <c r="C1569" i="1"/>
  <c r="E1568" i="1"/>
  <c r="D1568" i="1"/>
  <c r="C1568" i="1"/>
  <c r="E1567" i="1"/>
  <c r="D1567" i="1"/>
  <c r="C1567" i="1"/>
  <c r="E1566" i="1"/>
  <c r="D1566" i="1"/>
  <c r="C1566" i="1"/>
  <c r="E1565" i="1"/>
  <c r="D1565" i="1"/>
  <c r="C1565" i="1"/>
  <c r="E1564" i="1"/>
  <c r="D1564" i="1"/>
  <c r="C1564" i="1"/>
  <c r="E1563" i="1"/>
  <c r="D1563" i="1"/>
  <c r="C1563" i="1"/>
  <c r="E1562" i="1"/>
  <c r="D1562" i="1"/>
  <c r="C1562" i="1"/>
  <c r="E1561" i="1"/>
  <c r="D1561" i="1"/>
  <c r="C1561" i="1"/>
  <c r="E1560" i="1"/>
  <c r="D1560" i="1"/>
  <c r="C1560" i="1"/>
  <c r="E1559" i="1"/>
  <c r="D1559" i="1"/>
  <c r="C1559" i="1"/>
  <c r="E1558" i="1"/>
  <c r="D1558" i="1"/>
  <c r="C1558" i="1"/>
  <c r="E1557" i="1"/>
  <c r="D1557" i="1"/>
  <c r="C1557" i="1"/>
  <c r="E1556" i="1"/>
  <c r="D1556" i="1"/>
  <c r="C1556" i="1"/>
  <c r="E1555" i="1"/>
  <c r="D1555" i="1"/>
  <c r="C1555" i="1"/>
  <c r="E1554" i="1"/>
  <c r="D1554" i="1"/>
  <c r="C1554" i="1"/>
  <c r="E1553" i="1"/>
  <c r="D1553" i="1"/>
  <c r="C1553" i="1"/>
  <c r="E1552" i="1"/>
  <c r="D1552" i="1"/>
  <c r="C1552" i="1"/>
  <c r="E1551" i="1"/>
  <c r="D1551" i="1"/>
  <c r="C1551" i="1"/>
  <c r="E1550" i="1"/>
  <c r="D1550" i="1"/>
  <c r="C1550" i="1"/>
  <c r="E1549" i="1"/>
  <c r="D1549" i="1"/>
  <c r="C1549" i="1"/>
  <c r="E1548" i="1"/>
  <c r="D1548" i="1"/>
  <c r="C1548" i="1"/>
  <c r="E1547" i="1"/>
  <c r="D1547" i="1"/>
  <c r="C1547" i="1"/>
  <c r="E1546" i="1"/>
  <c r="D1546" i="1"/>
  <c r="C1546" i="1"/>
  <c r="E1545" i="1"/>
  <c r="D1545" i="1"/>
  <c r="C1545" i="1"/>
  <c r="E1544" i="1"/>
  <c r="D1544" i="1"/>
  <c r="C1544" i="1"/>
  <c r="E1543" i="1"/>
  <c r="D1543" i="1"/>
  <c r="C1543" i="1"/>
  <c r="E1542" i="1"/>
  <c r="D1542" i="1"/>
  <c r="C1542" i="1"/>
  <c r="E1541" i="1"/>
  <c r="D1541" i="1"/>
  <c r="C1541" i="1"/>
  <c r="E1540" i="1"/>
  <c r="D1540" i="1"/>
  <c r="C1540" i="1"/>
  <c r="E1539" i="1"/>
  <c r="D1539" i="1"/>
  <c r="C1539" i="1"/>
  <c r="E1538" i="1"/>
  <c r="D1538" i="1"/>
  <c r="C1538" i="1"/>
  <c r="E1537" i="1"/>
  <c r="D1537" i="1"/>
  <c r="C1537" i="1"/>
  <c r="E1536" i="1"/>
  <c r="D1536" i="1"/>
  <c r="C1536" i="1"/>
  <c r="E1535" i="1"/>
  <c r="D1535" i="1"/>
  <c r="C1535" i="1"/>
  <c r="E1534" i="1"/>
  <c r="D1534" i="1"/>
  <c r="C1534" i="1"/>
  <c r="E1533" i="1"/>
  <c r="D1533" i="1"/>
  <c r="C1533" i="1"/>
  <c r="E1532" i="1"/>
  <c r="D1532" i="1"/>
  <c r="C1532" i="1"/>
  <c r="E1531" i="1"/>
  <c r="D1531" i="1"/>
  <c r="C1531" i="1"/>
  <c r="E1530" i="1"/>
  <c r="D1530" i="1"/>
  <c r="C1530" i="1"/>
  <c r="E1529" i="1"/>
  <c r="D1529" i="1"/>
  <c r="C1529" i="1"/>
  <c r="E1528" i="1"/>
  <c r="D1528" i="1"/>
  <c r="C1528" i="1"/>
  <c r="E1527" i="1"/>
  <c r="D1527" i="1"/>
  <c r="C1527" i="1"/>
  <c r="E1526" i="1"/>
  <c r="D1526" i="1"/>
  <c r="C1526" i="1"/>
  <c r="E1525" i="1"/>
  <c r="D1525" i="1"/>
  <c r="C1525" i="1"/>
  <c r="E1524" i="1"/>
  <c r="D1524" i="1"/>
  <c r="C1524" i="1"/>
  <c r="E1523" i="1"/>
  <c r="D1523" i="1"/>
  <c r="C1523" i="1"/>
  <c r="E1522" i="1"/>
  <c r="D1522" i="1"/>
  <c r="C1522" i="1"/>
  <c r="E1521" i="1"/>
  <c r="D1521" i="1"/>
  <c r="C1521" i="1"/>
  <c r="E1520" i="1"/>
  <c r="D1520" i="1"/>
  <c r="C1520" i="1"/>
  <c r="E1519" i="1"/>
  <c r="D1519" i="1"/>
  <c r="C1519" i="1"/>
  <c r="E1518" i="1"/>
  <c r="D1518" i="1"/>
  <c r="C1518" i="1"/>
  <c r="E1517" i="1"/>
  <c r="D1517" i="1"/>
  <c r="C1517" i="1"/>
  <c r="E1516" i="1"/>
  <c r="D1516" i="1"/>
  <c r="C1516" i="1"/>
  <c r="E1515" i="1"/>
  <c r="D1515" i="1"/>
  <c r="C1515" i="1"/>
  <c r="E1514" i="1"/>
  <c r="D1514" i="1"/>
  <c r="C1514" i="1"/>
  <c r="E1513" i="1"/>
  <c r="D1513" i="1"/>
  <c r="C1513" i="1"/>
  <c r="E1512" i="1"/>
  <c r="D1512" i="1"/>
  <c r="C1512" i="1"/>
  <c r="E1511" i="1"/>
  <c r="D1511" i="1"/>
  <c r="C1511" i="1"/>
  <c r="E1510" i="1"/>
  <c r="D1510" i="1"/>
  <c r="C1510" i="1"/>
  <c r="E1509" i="1"/>
  <c r="D1509" i="1"/>
  <c r="C1509" i="1"/>
  <c r="E1508" i="1"/>
  <c r="D1508" i="1"/>
  <c r="C1508" i="1"/>
  <c r="E1507" i="1"/>
  <c r="D1507" i="1"/>
  <c r="C1507" i="1"/>
  <c r="E1506" i="1"/>
  <c r="D1506" i="1"/>
  <c r="C1506" i="1"/>
  <c r="E1505" i="1"/>
  <c r="D1505" i="1"/>
  <c r="C1505" i="1"/>
  <c r="E1504" i="1"/>
  <c r="D1504" i="1"/>
  <c r="C1504" i="1"/>
  <c r="E1503" i="1"/>
  <c r="D1503" i="1"/>
  <c r="C1503" i="1"/>
  <c r="E1502" i="1"/>
  <c r="D1502" i="1"/>
  <c r="C1502" i="1"/>
  <c r="E1501" i="1"/>
  <c r="D1501" i="1"/>
  <c r="C1501" i="1"/>
  <c r="E1500" i="1"/>
  <c r="D1500" i="1"/>
  <c r="C1500" i="1"/>
  <c r="E1499" i="1"/>
  <c r="D1499" i="1"/>
  <c r="C1499" i="1"/>
  <c r="E1498" i="1"/>
  <c r="D1498" i="1"/>
  <c r="C1498" i="1"/>
  <c r="E1497" i="1"/>
  <c r="D1497" i="1"/>
  <c r="C1497" i="1"/>
  <c r="E1496" i="1"/>
  <c r="D1496" i="1"/>
  <c r="C1496" i="1"/>
  <c r="E1495" i="1"/>
  <c r="D1495" i="1"/>
  <c r="C1495" i="1"/>
  <c r="E1494" i="1"/>
  <c r="D1494" i="1"/>
  <c r="C1494" i="1"/>
  <c r="E1493" i="1"/>
  <c r="D1493" i="1"/>
  <c r="C1493" i="1"/>
  <c r="E1492" i="1"/>
  <c r="D1492" i="1"/>
  <c r="C1492" i="1"/>
  <c r="E1491" i="1"/>
  <c r="D1491" i="1"/>
  <c r="C1491" i="1"/>
  <c r="E1490" i="1"/>
  <c r="D1490" i="1"/>
  <c r="C1490" i="1"/>
  <c r="E1489" i="1"/>
  <c r="D1489" i="1"/>
  <c r="C1489" i="1"/>
  <c r="E1488" i="1"/>
  <c r="D1488" i="1"/>
  <c r="C1488" i="1"/>
  <c r="E1487" i="1"/>
  <c r="D1487" i="1"/>
  <c r="C1487" i="1"/>
  <c r="E1486" i="1"/>
  <c r="D1486" i="1"/>
  <c r="C1486" i="1"/>
  <c r="E1485" i="1"/>
  <c r="D1485" i="1"/>
  <c r="C1485" i="1"/>
  <c r="E1484" i="1"/>
  <c r="D1484" i="1"/>
  <c r="C1484" i="1"/>
  <c r="E1483" i="1"/>
  <c r="D1483" i="1"/>
  <c r="C1483" i="1"/>
  <c r="E1482" i="1"/>
  <c r="D1482" i="1"/>
  <c r="C1482" i="1"/>
  <c r="E1481" i="1"/>
  <c r="D1481" i="1"/>
  <c r="C1481" i="1"/>
  <c r="E1480" i="1"/>
  <c r="D1480" i="1"/>
  <c r="C1480" i="1"/>
  <c r="E1479" i="1"/>
  <c r="D1479" i="1"/>
  <c r="C1479" i="1"/>
  <c r="E1478" i="1"/>
  <c r="D1478" i="1"/>
  <c r="C1478" i="1"/>
  <c r="E1477" i="1"/>
  <c r="D1477" i="1"/>
  <c r="C1477" i="1"/>
  <c r="E1476" i="1"/>
  <c r="D1476" i="1"/>
  <c r="C1476" i="1"/>
  <c r="E1475" i="1"/>
  <c r="D1475" i="1"/>
  <c r="C1475" i="1"/>
  <c r="E1474" i="1"/>
  <c r="D1474" i="1"/>
  <c r="C1474" i="1"/>
  <c r="E1473" i="1"/>
  <c r="D1473" i="1"/>
  <c r="C1473" i="1"/>
  <c r="E1472" i="1"/>
  <c r="D1472" i="1"/>
  <c r="C1472" i="1"/>
  <c r="E1471" i="1"/>
  <c r="D1471" i="1"/>
  <c r="C1471" i="1"/>
  <c r="E1470" i="1"/>
  <c r="D1470" i="1"/>
  <c r="C1470" i="1"/>
  <c r="E1469" i="1"/>
  <c r="D1469" i="1"/>
  <c r="C1469" i="1"/>
  <c r="E1468" i="1"/>
  <c r="D1468" i="1"/>
  <c r="C1468" i="1"/>
  <c r="E1467" i="1"/>
  <c r="D1467" i="1"/>
  <c r="C1467" i="1"/>
  <c r="E1466" i="1"/>
  <c r="D1466" i="1"/>
  <c r="C1466" i="1"/>
  <c r="E1465" i="1"/>
  <c r="D1465" i="1"/>
  <c r="C1465" i="1"/>
  <c r="E1464" i="1"/>
  <c r="D1464" i="1"/>
  <c r="C1464" i="1"/>
  <c r="E1463" i="1"/>
  <c r="D1463" i="1"/>
  <c r="C1463" i="1"/>
  <c r="E1462" i="1"/>
  <c r="D1462" i="1"/>
  <c r="C1462" i="1"/>
  <c r="E1461" i="1"/>
  <c r="D1461" i="1"/>
  <c r="C1461" i="1"/>
  <c r="E1460" i="1"/>
  <c r="D1460" i="1"/>
  <c r="C1460" i="1"/>
  <c r="E1459" i="1"/>
  <c r="D1459" i="1"/>
  <c r="C1459" i="1"/>
  <c r="E1458" i="1"/>
  <c r="D1458" i="1"/>
  <c r="C1458" i="1"/>
  <c r="E1457" i="1"/>
  <c r="D1457" i="1"/>
  <c r="C1457" i="1"/>
  <c r="E1456" i="1"/>
  <c r="D1456" i="1"/>
  <c r="C1456" i="1"/>
  <c r="E1455" i="1"/>
  <c r="D1455" i="1"/>
  <c r="C1455" i="1"/>
  <c r="E1454" i="1"/>
  <c r="D1454" i="1"/>
  <c r="C1454" i="1"/>
  <c r="E1453" i="1"/>
  <c r="D1453" i="1"/>
  <c r="C1453" i="1"/>
  <c r="E1452" i="1"/>
  <c r="D1452" i="1"/>
  <c r="C1452" i="1"/>
  <c r="E1451" i="1"/>
  <c r="D1451" i="1"/>
  <c r="C1451" i="1"/>
  <c r="E1450" i="1"/>
  <c r="D1450" i="1"/>
  <c r="C1450" i="1"/>
  <c r="E1449" i="1"/>
  <c r="D1449" i="1"/>
  <c r="C1449" i="1"/>
  <c r="E1448" i="1"/>
  <c r="D1448" i="1"/>
  <c r="C1448" i="1"/>
  <c r="E1447" i="1"/>
  <c r="D1447" i="1"/>
  <c r="C1447" i="1"/>
  <c r="E1446" i="1"/>
  <c r="D1446" i="1"/>
  <c r="C1446" i="1"/>
  <c r="E1445" i="1"/>
  <c r="D1445" i="1"/>
  <c r="C1445" i="1"/>
  <c r="E1444" i="1"/>
  <c r="D1444" i="1"/>
  <c r="C1444" i="1"/>
  <c r="E1443" i="1"/>
  <c r="D1443" i="1"/>
  <c r="C1443" i="1"/>
  <c r="E1442" i="1"/>
  <c r="D1442" i="1"/>
  <c r="C1442" i="1"/>
  <c r="E1441" i="1"/>
  <c r="D1441" i="1"/>
  <c r="C1441" i="1"/>
  <c r="E1440" i="1"/>
  <c r="D1440" i="1"/>
  <c r="C1440" i="1"/>
  <c r="E1439" i="1"/>
  <c r="D1439" i="1"/>
  <c r="C1439" i="1"/>
  <c r="E1438" i="1"/>
  <c r="D1438" i="1"/>
  <c r="C1438" i="1"/>
  <c r="E1437" i="1"/>
  <c r="D1437" i="1"/>
  <c r="C1437" i="1"/>
  <c r="E1436" i="1"/>
  <c r="D1436" i="1"/>
  <c r="C1436" i="1"/>
  <c r="E1435" i="1"/>
  <c r="D1435" i="1"/>
  <c r="C1435" i="1"/>
  <c r="E1434" i="1"/>
  <c r="D1434" i="1"/>
  <c r="C1434" i="1"/>
  <c r="E1433" i="1"/>
  <c r="D1433" i="1"/>
  <c r="C1433" i="1"/>
  <c r="E1432" i="1"/>
  <c r="D1432" i="1"/>
  <c r="C1432" i="1"/>
  <c r="E1431" i="1"/>
  <c r="D1431" i="1"/>
  <c r="C1431" i="1"/>
  <c r="E1430" i="1"/>
  <c r="D1430" i="1"/>
  <c r="C1430" i="1"/>
  <c r="E1429" i="1"/>
  <c r="D1429" i="1"/>
  <c r="C1429" i="1"/>
  <c r="E1428" i="1"/>
  <c r="D1428" i="1"/>
  <c r="C1428" i="1"/>
  <c r="E1427" i="1"/>
  <c r="D1427" i="1"/>
  <c r="C1427" i="1"/>
  <c r="E1426" i="1"/>
  <c r="D1426" i="1"/>
  <c r="C1426" i="1"/>
  <c r="E1425" i="1"/>
  <c r="D1425" i="1"/>
  <c r="C1425" i="1"/>
  <c r="E1424" i="1"/>
  <c r="D1424" i="1"/>
  <c r="C1424" i="1"/>
  <c r="E1423" i="1"/>
  <c r="D1423" i="1"/>
  <c r="C1423" i="1"/>
  <c r="E1422" i="1"/>
  <c r="D1422" i="1"/>
  <c r="C1422" i="1"/>
  <c r="E1421" i="1"/>
  <c r="D1421" i="1"/>
  <c r="C1421" i="1"/>
  <c r="E1420" i="1"/>
  <c r="D1420" i="1"/>
  <c r="C1420" i="1"/>
  <c r="E1419" i="1"/>
  <c r="D1419" i="1"/>
  <c r="C1419" i="1"/>
  <c r="E1418" i="1"/>
  <c r="D1418" i="1"/>
  <c r="C1418" i="1"/>
  <c r="E1417" i="1"/>
  <c r="D1417" i="1"/>
  <c r="C1417" i="1"/>
  <c r="E1416" i="1"/>
  <c r="D1416" i="1"/>
  <c r="C1416" i="1"/>
  <c r="E1415" i="1"/>
  <c r="D1415" i="1"/>
  <c r="C1415" i="1"/>
  <c r="E1414" i="1"/>
  <c r="D1414" i="1"/>
  <c r="C1414" i="1"/>
  <c r="E1413" i="1"/>
  <c r="D1413" i="1"/>
  <c r="C1413" i="1"/>
  <c r="E1412" i="1"/>
  <c r="D1412" i="1"/>
  <c r="C1412" i="1"/>
  <c r="E1411" i="1"/>
  <c r="D1411" i="1"/>
  <c r="C1411" i="1"/>
  <c r="E1410" i="1"/>
  <c r="D1410" i="1"/>
  <c r="C1410" i="1"/>
  <c r="E1409" i="1"/>
  <c r="D1409" i="1"/>
  <c r="C1409" i="1"/>
  <c r="E1408" i="1"/>
  <c r="D1408" i="1"/>
  <c r="C1408" i="1"/>
  <c r="E1407" i="1"/>
  <c r="D1407" i="1"/>
  <c r="C1407" i="1"/>
  <c r="E1406" i="1"/>
  <c r="D1406" i="1"/>
  <c r="C1406" i="1"/>
  <c r="E1405" i="1"/>
  <c r="D1405" i="1"/>
  <c r="C1405" i="1"/>
  <c r="E1404" i="1"/>
  <c r="D1404" i="1"/>
  <c r="C1404" i="1"/>
  <c r="E1403" i="1"/>
  <c r="D1403" i="1"/>
  <c r="C1403" i="1"/>
  <c r="E1402" i="1"/>
  <c r="D1402" i="1"/>
  <c r="C1402" i="1"/>
  <c r="E1401" i="1"/>
  <c r="D1401" i="1"/>
  <c r="C1401" i="1"/>
  <c r="E1400" i="1"/>
  <c r="D1400" i="1"/>
  <c r="C1400" i="1"/>
  <c r="E1399" i="1"/>
  <c r="D1399" i="1"/>
  <c r="C1399" i="1"/>
  <c r="E1398" i="1"/>
  <c r="D1398" i="1"/>
  <c r="C1398" i="1"/>
  <c r="E1397" i="1"/>
  <c r="D1397" i="1"/>
  <c r="C1397" i="1"/>
  <c r="E1396" i="1"/>
  <c r="D1396" i="1"/>
  <c r="C1396" i="1"/>
  <c r="E1395" i="1"/>
  <c r="D1395" i="1"/>
  <c r="C1395" i="1"/>
  <c r="E1394" i="1"/>
  <c r="D1394" i="1"/>
  <c r="C1394" i="1"/>
  <c r="E1393" i="1"/>
  <c r="D1393" i="1"/>
  <c r="C1393" i="1"/>
  <c r="E1392" i="1"/>
  <c r="D1392" i="1"/>
  <c r="C1392" i="1"/>
  <c r="E1391" i="1"/>
  <c r="D1391" i="1"/>
  <c r="C1391" i="1"/>
  <c r="E1390" i="1"/>
  <c r="D1390" i="1"/>
  <c r="C1390" i="1"/>
  <c r="E1389" i="1"/>
  <c r="D1389" i="1"/>
  <c r="C1389" i="1"/>
  <c r="E1388" i="1"/>
  <c r="D1388" i="1"/>
  <c r="C1388" i="1"/>
  <c r="E1387" i="1"/>
  <c r="D1387" i="1"/>
  <c r="C1387" i="1"/>
  <c r="E1386" i="1"/>
  <c r="D1386" i="1"/>
  <c r="C1386" i="1"/>
  <c r="E1385" i="1"/>
  <c r="D1385" i="1"/>
  <c r="C1385" i="1"/>
  <c r="E1384" i="1"/>
  <c r="D1384" i="1"/>
  <c r="C1384" i="1"/>
  <c r="E1383" i="1"/>
  <c r="D1383" i="1"/>
  <c r="C1383" i="1"/>
  <c r="E1382" i="1"/>
  <c r="D1382" i="1"/>
  <c r="C1382" i="1"/>
  <c r="E1381" i="1"/>
  <c r="D1381" i="1"/>
  <c r="C1381" i="1"/>
  <c r="E1380" i="1"/>
  <c r="D1380" i="1"/>
  <c r="C1380" i="1"/>
  <c r="E1379" i="1"/>
  <c r="D1379" i="1"/>
  <c r="C1379" i="1"/>
  <c r="E1378" i="1"/>
  <c r="D1378" i="1"/>
  <c r="C1378" i="1"/>
  <c r="E1377" i="1"/>
  <c r="D1377" i="1"/>
  <c r="C1377" i="1"/>
  <c r="E1376" i="1"/>
  <c r="D1376" i="1"/>
  <c r="C1376" i="1"/>
  <c r="E1375" i="1"/>
  <c r="D1375" i="1"/>
  <c r="C1375" i="1"/>
  <c r="E1374" i="1"/>
  <c r="D1374" i="1"/>
  <c r="C1374" i="1"/>
  <c r="E1373" i="1"/>
  <c r="D1373" i="1"/>
  <c r="C1373" i="1"/>
  <c r="E1372" i="1"/>
  <c r="D1372" i="1"/>
  <c r="C1372" i="1"/>
  <c r="E1371" i="1"/>
  <c r="D1371" i="1"/>
  <c r="C1371" i="1"/>
  <c r="E1370" i="1"/>
  <c r="D1370" i="1"/>
  <c r="C1370" i="1"/>
  <c r="E1369" i="1"/>
  <c r="D1369" i="1"/>
  <c r="C1369" i="1"/>
  <c r="E1368" i="1"/>
  <c r="D1368" i="1"/>
  <c r="C1368" i="1"/>
  <c r="E1367" i="1"/>
  <c r="D1367" i="1"/>
  <c r="C1367" i="1"/>
  <c r="E1366" i="1"/>
  <c r="D1366" i="1"/>
  <c r="C1366" i="1"/>
  <c r="E1365" i="1"/>
  <c r="D1365" i="1"/>
  <c r="C1365" i="1"/>
  <c r="E1364" i="1"/>
  <c r="D1364" i="1"/>
  <c r="C1364" i="1"/>
  <c r="E1363" i="1"/>
  <c r="D1363" i="1"/>
  <c r="C1363" i="1"/>
  <c r="E1362" i="1"/>
  <c r="D1362" i="1"/>
  <c r="C1362" i="1"/>
  <c r="E1361" i="1"/>
  <c r="D1361" i="1"/>
  <c r="C1361" i="1"/>
  <c r="E1360" i="1"/>
  <c r="D1360" i="1"/>
  <c r="C1360" i="1"/>
  <c r="E1359" i="1"/>
  <c r="D1359" i="1"/>
  <c r="C1359" i="1"/>
  <c r="E1358" i="1"/>
  <c r="D1358" i="1"/>
  <c r="C1358" i="1"/>
  <c r="E1357" i="1"/>
  <c r="D1357" i="1"/>
  <c r="C1357" i="1"/>
  <c r="E1356" i="1"/>
  <c r="D1356" i="1"/>
  <c r="C1356" i="1"/>
  <c r="E1355" i="1"/>
  <c r="D1355" i="1"/>
  <c r="C1355" i="1"/>
  <c r="E1354" i="1"/>
  <c r="D1354" i="1"/>
  <c r="C1354" i="1"/>
  <c r="E1353" i="1"/>
  <c r="D1353" i="1"/>
  <c r="C1353" i="1"/>
  <c r="E1352" i="1"/>
  <c r="D1352" i="1"/>
  <c r="C1352" i="1"/>
  <c r="E1351" i="1"/>
  <c r="D1351" i="1"/>
  <c r="C1351" i="1"/>
  <c r="E1350" i="1"/>
  <c r="D1350" i="1"/>
  <c r="C1350" i="1"/>
  <c r="E1349" i="1"/>
  <c r="D1349" i="1"/>
  <c r="C1349" i="1"/>
  <c r="E1348" i="1"/>
  <c r="D1348" i="1"/>
  <c r="C1348" i="1"/>
  <c r="E1347" i="1"/>
  <c r="D1347" i="1"/>
  <c r="C1347" i="1"/>
  <c r="E1346" i="1"/>
  <c r="D1346" i="1"/>
  <c r="C1346" i="1"/>
  <c r="E1345" i="1"/>
  <c r="D1345" i="1"/>
  <c r="C1345" i="1"/>
  <c r="E1344" i="1"/>
  <c r="D1344" i="1"/>
  <c r="C1344" i="1"/>
  <c r="E1343" i="1"/>
  <c r="D1343" i="1"/>
  <c r="C1343" i="1"/>
  <c r="E1342" i="1"/>
  <c r="D1342" i="1"/>
  <c r="C1342" i="1"/>
  <c r="E1341" i="1"/>
  <c r="D1341" i="1"/>
  <c r="C1341" i="1"/>
  <c r="E1340" i="1"/>
  <c r="D1340" i="1"/>
  <c r="C1340" i="1"/>
  <c r="E1339" i="1"/>
  <c r="D1339" i="1"/>
  <c r="C1339" i="1"/>
  <c r="E1338" i="1"/>
  <c r="D1338" i="1"/>
  <c r="C1338" i="1"/>
  <c r="E1337" i="1"/>
  <c r="D1337" i="1"/>
  <c r="C1337" i="1"/>
  <c r="E1336" i="1"/>
  <c r="D1336" i="1"/>
  <c r="C1336" i="1"/>
  <c r="E1335" i="1"/>
  <c r="D1335" i="1"/>
  <c r="C1335" i="1"/>
  <c r="E1334" i="1"/>
  <c r="D1334" i="1"/>
  <c r="C1334" i="1"/>
  <c r="E1333" i="1"/>
  <c r="D1333" i="1"/>
  <c r="C1333" i="1"/>
  <c r="E1332" i="1"/>
  <c r="D1332" i="1"/>
  <c r="C1332" i="1"/>
  <c r="E1331" i="1"/>
  <c r="D1331" i="1"/>
  <c r="C1331" i="1"/>
  <c r="E1330" i="1"/>
  <c r="D1330" i="1"/>
  <c r="C1330" i="1"/>
  <c r="E1329" i="1"/>
  <c r="D1329" i="1"/>
  <c r="C1329" i="1"/>
  <c r="E1328" i="1"/>
  <c r="D1328" i="1"/>
  <c r="C1328" i="1"/>
  <c r="E1327" i="1"/>
  <c r="D1327" i="1"/>
  <c r="C1327" i="1"/>
  <c r="E1326" i="1"/>
  <c r="D1326" i="1"/>
  <c r="C1326" i="1"/>
  <c r="E1325" i="1"/>
  <c r="D1325" i="1"/>
  <c r="C1325" i="1"/>
  <c r="E1324" i="1"/>
  <c r="D1324" i="1"/>
  <c r="C1324" i="1"/>
  <c r="E1323" i="1"/>
  <c r="D1323" i="1"/>
  <c r="C1323" i="1"/>
  <c r="E1322" i="1"/>
  <c r="D1322" i="1"/>
  <c r="C1322" i="1"/>
  <c r="E1321" i="1"/>
  <c r="D1321" i="1"/>
  <c r="C1321" i="1"/>
  <c r="E1320" i="1"/>
  <c r="D1320" i="1"/>
  <c r="C1320" i="1"/>
  <c r="E1319" i="1"/>
  <c r="D1319" i="1"/>
  <c r="C1319" i="1"/>
  <c r="E1318" i="1"/>
  <c r="D1318" i="1"/>
  <c r="C1318" i="1"/>
  <c r="E1317" i="1"/>
  <c r="D1317" i="1"/>
  <c r="C1317" i="1"/>
  <c r="E1316" i="1"/>
  <c r="D1316" i="1"/>
  <c r="C1316" i="1"/>
  <c r="E1315" i="1"/>
  <c r="D1315" i="1"/>
  <c r="C1315" i="1"/>
  <c r="E1314" i="1"/>
  <c r="D1314" i="1"/>
  <c r="C1314" i="1"/>
  <c r="E1313" i="1"/>
  <c r="D1313" i="1"/>
  <c r="C1313" i="1"/>
  <c r="E1312" i="1"/>
  <c r="D1312" i="1"/>
  <c r="C1312" i="1"/>
  <c r="E1311" i="1"/>
  <c r="D1311" i="1"/>
  <c r="C1311" i="1"/>
  <c r="E1310" i="1"/>
  <c r="D1310" i="1"/>
  <c r="C1310" i="1"/>
  <c r="E1309" i="1"/>
  <c r="D1309" i="1"/>
  <c r="C1309" i="1"/>
  <c r="E1308" i="1"/>
  <c r="D1308" i="1"/>
  <c r="C1308" i="1"/>
  <c r="E1307" i="1"/>
  <c r="D1307" i="1"/>
  <c r="C1307" i="1"/>
  <c r="E1306" i="1"/>
  <c r="D1306" i="1"/>
  <c r="C1306" i="1"/>
  <c r="E1305" i="1"/>
  <c r="D1305" i="1"/>
  <c r="C1305" i="1"/>
  <c r="E1304" i="1"/>
  <c r="D1304" i="1"/>
  <c r="C1304" i="1"/>
  <c r="E1303" i="1"/>
  <c r="D1303" i="1"/>
  <c r="C1303" i="1"/>
  <c r="E1302" i="1"/>
  <c r="D1302" i="1"/>
  <c r="C1302" i="1"/>
  <c r="E1301" i="1"/>
  <c r="D1301" i="1"/>
  <c r="C1301" i="1"/>
  <c r="E1300" i="1"/>
  <c r="D1300" i="1"/>
  <c r="C1300" i="1"/>
  <c r="E1299" i="1"/>
  <c r="D1299" i="1"/>
  <c r="C1299" i="1"/>
  <c r="E1298" i="1"/>
  <c r="D1298" i="1"/>
  <c r="C1298" i="1"/>
  <c r="E1297" i="1"/>
  <c r="D1297" i="1"/>
  <c r="C1297" i="1"/>
  <c r="E1296" i="1"/>
  <c r="D1296" i="1"/>
  <c r="C1296" i="1"/>
  <c r="E1295" i="1"/>
  <c r="D1295" i="1"/>
  <c r="C1295" i="1"/>
  <c r="E1294" i="1"/>
  <c r="D1294" i="1"/>
  <c r="C1294" i="1"/>
  <c r="E1293" i="1"/>
  <c r="D1293" i="1"/>
  <c r="C1293" i="1"/>
  <c r="E1292" i="1"/>
  <c r="D1292" i="1"/>
  <c r="C1292" i="1"/>
  <c r="E1291" i="1"/>
  <c r="D1291" i="1"/>
  <c r="C1291" i="1"/>
  <c r="E1290" i="1"/>
  <c r="D1290" i="1"/>
  <c r="C1290" i="1"/>
  <c r="E1289" i="1"/>
  <c r="D1289" i="1"/>
  <c r="C1289" i="1"/>
  <c r="E1288" i="1"/>
  <c r="D1288" i="1"/>
  <c r="C1288" i="1"/>
  <c r="E1287" i="1"/>
  <c r="D1287" i="1"/>
  <c r="C1287" i="1"/>
  <c r="E1286" i="1"/>
  <c r="D1286" i="1"/>
  <c r="C1286" i="1"/>
  <c r="E1285" i="1"/>
  <c r="D1285" i="1"/>
  <c r="C1285" i="1"/>
  <c r="E1284" i="1"/>
  <c r="D1284" i="1"/>
  <c r="C1284" i="1"/>
  <c r="E1283" i="1"/>
  <c r="D1283" i="1"/>
  <c r="C1283" i="1"/>
  <c r="E1282" i="1"/>
  <c r="D1282" i="1"/>
  <c r="C1282" i="1"/>
  <c r="E1281" i="1"/>
  <c r="D1281" i="1"/>
  <c r="C1281" i="1"/>
  <c r="E1280" i="1"/>
  <c r="D1280" i="1"/>
  <c r="C1280" i="1"/>
  <c r="E1279" i="1"/>
  <c r="D1279" i="1"/>
  <c r="C1279" i="1"/>
  <c r="E1278" i="1"/>
  <c r="D1278" i="1"/>
  <c r="C1278" i="1"/>
  <c r="E1277" i="1"/>
  <c r="D1277" i="1"/>
  <c r="C1277" i="1"/>
  <c r="E1276" i="1"/>
  <c r="D1276" i="1"/>
  <c r="C1276" i="1"/>
  <c r="E1275" i="1"/>
  <c r="D1275" i="1"/>
  <c r="C1275" i="1"/>
  <c r="E1274" i="1"/>
  <c r="D1274" i="1"/>
  <c r="C1274" i="1"/>
  <c r="E1273" i="1"/>
  <c r="D1273" i="1"/>
  <c r="C1273" i="1"/>
  <c r="E1272" i="1"/>
  <c r="D1272" i="1"/>
  <c r="C1272" i="1"/>
  <c r="E1271" i="1"/>
  <c r="D1271" i="1"/>
  <c r="C1271" i="1"/>
  <c r="E1270" i="1"/>
  <c r="D1270" i="1"/>
  <c r="C1270" i="1"/>
  <c r="E1269" i="1"/>
  <c r="D1269" i="1"/>
  <c r="C1269" i="1"/>
  <c r="E1268" i="1"/>
  <c r="D1268" i="1"/>
  <c r="C1268" i="1"/>
  <c r="E1267" i="1"/>
  <c r="D1267" i="1"/>
  <c r="C1267" i="1"/>
  <c r="E1266" i="1"/>
  <c r="D1266" i="1"/>
  <c r="C1266" i="1"/>
  <c r="E1265" i="1"/>
  <c r="D1265" i="1"/>
  <c r="C1265" i="1"/>
  <c r="E1264" i="1"/>
  <c r="D1264" i="1"/>
  <c r="C1264" i="1"/>
  <c r="E1263" i="1"/>
  <c r="D1263" i="1"/>
  <c r="C1263" i="1"/>
  <c r="E1262" i="1"/>
  <c r="D1262" i="1"/>
  <c r="C1262" i="1"/>
  <c r="E1261" i="1"/>
  <c r="D1261" i="1"/>
  <c r="C1261" i="1"/>
  <c r="E1260" i="1"/>
  <c r="D1260" i="1"/>
  <c r="C1260" i="1"/>
  <c r="E1259" i="1"/>
  <c r="D1259" i="1"/>
  <c r="C1259" i="1"/>
  <c r="E1258" i="1"/>
  <c r="D1258" i="1"/>
  <c r="C1258" i="1"/>
  <c r="E1257" i="1"/>
  <c r="D1257" i="1"/>
  <c r="C1257" i="1"/>
  <c r="E1256" i="1"/>
  <c r="D1256" i="1"/>
  <c r="C1256" i="1"/>
  <c r="E1255" i="1"/>
  <c r="D1255" i="1"/>
  <c r="C1255" i="1"/>
  <c r="E1254" i="1"/>
  <c r="D1254" i="1"/>
  <c r="C1254" i="1"/>
  <c r="E1253" i="1"/>
  <c r="D1253" i="1"/>
  <c r="C1253" i="1"/>
  <c r="E1252" i="1"/>
  <c r="D1252" i="1"/>
  <c r="C1252" i="1"/>
  <c r="E1251" i="1"/>
  <c r="D1251" i="1"/>
  <c r="C1251" i="1"/>
  <c r="E1250" i="1"/>
  <c r="D1250" i="1"/>
  <c r="C1250" i="1"/>
  <c r="E1249" i="1"/>
  <c r="D1249" i="1"/>
  <c r="C1249" i="1"/>
  <c r="E1248" i="1"/>
  <c r="D1248" i="1"/>
  <c r="C1248" i="1"/>
  <c r="E1247" i="1"/>
  <c r="D1247" i="1"/>
  <c r="C1247" i="1"/>
  <c r="E1246" i="1"/>
  <c r="D1246" i="1"/>
  <c r="C1246" i="1"/>
  <c r="E1245" i="1"/>
  <c r="D1245" i="1"/>
  <c r="C1245" i="1"/>
  <c r="E1244" i="1"/>
  <c r="D1244" i="1"/>
  <c r="C1244" i="1"/>
  <c r="E1243" i="1"/>
  <c r="D1243" i="1"/>
  <c r="C1243" i="1"/>
  <c r="E1242" i="1"/>
  <c r="D1242" i="1"/>
  <c r="C1242" i="1"/>
  <c r="E1241" i="1"/>
  <c r="D1241" i="1"/>
  <c r="C1241" i="1"/>
  <c r="E1240" i="1"/>
  <c r="D1240" i="1"/>
  <c r="C1240" i="1"/>
  <c r="E1239" i="1"/>
  <c r="D1239" i="1"/>
  <c r="C1239" i="1"/>
  <c r="E1238" i="1"/>
  <c r="D1238" i="1"/>
  <c r="C1238" i="1"/>
  <c r="E1237" i="1"/>
  <c r="D1237" i="1"/>
  <c r="C1237" i="1"/>
  <c r="E1236" i="1"/>
  <c r="D1236" i="1"/>
  <c r="C1236" i="1"/>
  <c r="E1235" i="1"/>
  <c r="D1235" i="1"/>
  <c r="C1235" i="1"/>
  <c r="E1234" i="1"/>
  <c r="D1234" i="1"/>
  <c r="C1234" i="1"/>
  <c r="E1233" i="1"/>
  <c r="D1233" i="1"/>
  <c r="C1233" i="1"/>
  <c r="E1232" i="1"/>
  <c r="D1232" i="1"/>
  <c r="C1232" i="1"/>
  <c r="E1231" i="1"/>
  <c r="D1231" i="1"/>
  <c r="C1231" i="1"/>
  <c r="E1230" i="1"/>
  <c r="D1230" i="1"/>
  <c r="C1230" i="1"/>
  <c r="E1229" i="1"/>
  <c r="D1229" i="1"/>
  <c r="C1229" i="1"/>
  <c r="E1228" i="1"/>
  <c r="D1228" i="1"/>
  <c r="C1228" i="1"/>
  <c r="E1227" i="1"/>
  <c r="D1227" i="1"/>
  <c r="C1227" i="1"/>
  <c r="E1226" i="1"/>
  <c r="D1226" i="1"/>
  <c r="C1226" i="1"/>
  <c r="E1225" i="1"/>
  <c r="D1225" i="1"/>
  <c r="C1225" i="1"/>
  <c r="E1224" i="1"/>
  <c r="D1224" i="1"/>
  <c r="C1224" i="1"/>
  <c r="E1223" i="1"/>
  <c r="D1223" i="1"/>
  <c r="C1223" i="1"/>
  <c r="E1222" i="1"/>
  <c r="D1222" i="1"/>
  <c r="C1222" i="1"/>
  <c r="E1221" i="1"/>
  <c r="D1221" i="1"/>
  <c r="C1221" i="1"/>
  <c r="E1220" i="1"/>
  <c r="D1220" i="1"/>
  <c r="C1220" i="1"/>
  <c r="E1219" i="1"/>
  <c r="D1219" i="1"/>
  <c r="C1219" i="1"/>
  <c r="E1218" i="1"/>
  <c r="D1218" i="1"/>
  <c r="C1218" i="1"/>
  <c r="E1217" i="1"/>
  <c r="D1217" i="1"/>
  <c r="C1217" i="1"/>
  <c r="E1216" i="1"/>
  <c r="D1216" i="1"/>
  <c r="C1216" i="1"/>
  <c r="E1215" i="1"/>
  <c r="D1215" i="1"/>
  <c r="C1215" i="1"/>
  <c r="E1214" i="1"/>
  <c r="D1214" i="1"/>
  <c r="C1214" i="1"/>
  <c r="E1213" i="1"/>
  <c r="D1213" i="1"/>
  <c r="C1213" i="1"/>
  <c r="E1212" i="1"/>
  <c r="D1212" i="1"/>
  <c r="C1212" i="1"/>
  <c r="E1211" i="1"/>
  <c r="D1211" i="1"/>
  <c r="C1211" i="1"/>
  <c r="E1210" i="1"/>
  <c r="D1210" i="1"/>
  <c r="C1210" i="1"/>
  <c r="E1209" i="1"/>
  <c r="D1209" i="1"/>
  <c r="C1209" i="1"/>
  <c r="E1208" i="1"/>
  <c r="D1208" i="1"/>
  <c r="C1208" i="1"/>
  <c r="E1207" i="1"/>
  <c r="D1207" i="1"/>
  <c r="C1207" i="1"/>
  <c r="E1206" i="1"/>
  <c r="D1206" i="1"/>
  <c r="C1206" i="1"/>
  <c r="E1205" i="1"/>
  <c r="D1205" i="1"/>
  <c r="C1205" i="1"/>
  <c r="E1204" i="1"/>
  <c r="D1204" i="1"/>
  <c r="C1204" i="1"/>
  <c r="E1203" i="1"/>
  <c r="D1203" i="1"/>
  <c r="C1203" i="1"/>
  <c r="E1202" i="1"/>
  <c r="D1202" i="1"/>
  <c r="C1202" i="1"/>
  <c r="E1201" i="1"/>
  <c r="D1201" i="1"/>
  <c r="C1201" i="1"/>
  <c r="E1200" i="1"/>
  <c r="D1200" i="1"/>
  <c r="C1200" i="1"/>
  <c r="E1199" i="1"/>
  <c r="D1199" i="1"/>
  <c r="C1199" i="1"/>
  <c r="E1198" i="1"/>
  <c r="D1198" i="1"/>
  <c r="C1198" i="1"/>
  <c r="E1197" i="1"/>
  <c r="D1197" i="1"/>
  <c r="C1197" i="1"/>
  <c r="E1196" i="1"/>
  <c r="D1196" i="1"/>
  <c r="C1196" i="1"/>
  <c r="E1195" i="1"/>
  <c r="D1195" i="1"/>
  <c r="C1195" i="1"/>
  <c r="E1194" i="1"/>
  <c r="D1194" i="1"/>
  <c r="C1194" i="1"/>
  <c r="E1193" i="1"/>
  <c r="D1193" i="1"/>
  <c r="C1193" i="1"/>
  <c r="E1192" i="1"/>
  <c r="D1192" i="1"/>
  <c r="C1192" i="1"/>
  <c r="E1191" i="1"/>
  <c r="D1191" i="1"/>
  <c r="C1191" i="1"/>
  <c r="E1190" i="1"/>
  <c r="D1190" i="1"/>
  <c r="C1190" i="1"/>
  <c r="E1189" i="1"/>
  <c r="D1189" i="1"/>
  <c r="C1189" i="1"/>
  <c r="E1188" i="1"/>
  <c r="D1188" i="1"/>
  <c r="C1188" i="1"/>
  <c r="E1187" i="1"/>
  <c r="D1187" i="1"/>
  <c r="C1187" i="1"/>
  <c r="E1186" i="1"/>
  <c r="D1186" i="1"/>
  <c r="C1186" i="1"/>
  <c r="E1185" i="1"/>
  <c r="D1185" i="1"/>
  <c r="C1185" i="1"/>
  <c r="E1184" i="1"/>
  <c r="D1184" i="1"/>
  <c r="C1184" i="1"/>
  <c r="E1183" i="1"/>
  <c r="D1183" i="1"/>
  <c r="C1183" i="1"/>
  <c r="E1182" i="1"/>
  <c r="D1182" i="1"/>
  <c r="C1182" i="1"/>
  <c r="E1181" i="1"/>
  <c r="D1181" i="1"/>
  <c r="C1181" i="1"/>
  <c r="E1180" i="1"/>
  <c r="D1180" i="1"/>
  <c r="C1180" i="1"/>
  <c r="E1179" i="1"/>
  <c r="D1179" i="1"/>
  <c r="C1179" i="1"/>
  <c r="E1178" i="1"/>
  <c r="D1178" i="1"/>
  <c r="C1178" i="1"/>
  <c r="E1177" i="1"/>
  <c r="D1177" i="1"/>
  <c r="C1177" i="1"/>
  <c r="E1176" i="1"/>
  <c r="D1176" i="1"/>
  <c r="C1176" i="1"/>
  <c r="E1175" i="1"/>
  <c r="D1175" i="1"/>
  <c r="C1175" i="1"/>
  <c r="E1174" i="1"/>
  <c r="D1174" i="1"/>
  <c r="C1174" i="1"/>
  <c r="E1173" i="1"/>
  <c r="D1173" i="1"/>
  <c r="C1173" i="1"/>
  <c r="E1172" i="1"/>
  <c r="D1172" i="1"/>
  <c r="C1172" i="1"/>
  <c r="E1171" i="1"/>
  <c r="D1171" i="1"/>
  <c r="C1171" i="1"/>
  <c r="E1170" i="1"/>
  <c r="D1170" i="1"/>
  <c r="C1170" i="1"/>
  <c r="E1169" i="1"/>
  <c r="D1169" i="1"/>
  <c r="C1169" i="1"/>
  <c r="E1168" i="1"/>
  <c r="D1168" i="1"/>
  <c r="C1168" i="1"/>
  <c r="E1167" i="1"/>
  <c r="D1167" i="1"/>
  <c r="C1167" i="1"/>
  <c r="E1166" i="1"/>
  <c r="D1166" i="1"/>
  <c r="C1166" i="1"/>
  <c r="E1165" i="1"/>
  <c r="D1165" i="1"/>
  <c r="C1165" i="1"/>
  <c r="E1164" i="1"/>
  <c r="D1164" i="1"/>
  <c r="C1164" i="1"/>
  <c r="E1163" i="1"/>
  <c r="D1163" i="1"/>
  <c r="C1163" i="1"/>
  <c r="E1162" i="1"/>
  <c r="D1162" i="1"/>
  <c r="C1162" i="1"/>
  <c r="E1161" i="1"/>
  <c r="D1161" i="1"/>
  <c r="C1161" i="1"/>
  <c r="E1160" i="1"/>
  <c r="D1160" i="1"/>
  <c r="C1160" i="1"/>
  <c r="E1159" i="1"/>
  <c r="D1159" i="1"/>
  <c r="C1159" i="1"/>
  <c r="E1158" i="1"/>
  <c r="D1158" i="1"/>
  <c r="C1158" i="1"/>
  <c r="E1157" i="1"/>
  <c r="D1157" i="1"/>
  <c r="C1157" i="1"/>
  <c r="E1156" i="1"/>
  <c r="D1156" i="1"/>
  <c r="C1156" i="1"/>
  <c r="E1155" i="1"/>
  <c r="D1155" i="1"/>
  <c r="C1155" i="1"/>
  <c r="E1154" i="1"/>
  <c r="D1154" i="1"/>
  <c r="C1154" i="1"/>
  <c r="E1153" i="1"/>
  <c r="D1153" i="1"/>
  <c r="C1153" i="1"/>
  <c r="E1152" i="1"/>
  <c r="D1152" i="1"/>
  <c r="C1152" i="1"/>
  <c r="E1151" i="1"/>
  <c r="D1151" i="1"/>
  <c r="C1151" i="1"/>
  <c r="E1150" i="1"/>
  <c r="D1150" i="1"/>
  <c r="C1150" i="1"/>
  <c r="E1149" i="1"/>
  <c r="D1149" i="1"/>
  <c r="C1149" i="1"/>
  <c r="E1148" i="1"/>
  <c r="D1148" i="1"/>
  <c r="C1148" i="1"/>
  <c r="E1147" i="1"/>
  <c r="D1147" i="1"/>
  <c r="C1147" i="1"/>
  <c r="E1146" i="1"/>
  <c r="D1146" i="1"/>
  <c r="C1146" i="1"/>
  <c r="E1145" i="1"/>
  <c r="D1145" i="1"/>
  <c r="C1145" i="1"/>
  <c r="E1144" i="1"/>
  <c r="D1144" i="1"/>
  <c r="C1144" i="1"/>
  <c r="E1143" i="1"/>
  <c r="D1143" i="1"/>
  <c r="C1143" i="1"/>
  <c r="E1142" i="1"/>
  <c r="D1142" i="1"/>
  <c r="C1142" i="1"/>
  <c r="E1141" i="1"/>
  <c r="D1141" i="1"/>
  <c r="C1141" i="1"/>
  <c r="E1140" i="1"/>
  <c r="D1140" i="1"/>
  <c r="C1140" i="1"/>
  <c r="E1139" i="1"/>
  <c r="D1139" i="1"/>
  <c r="C1139" i="1"/>
  <c r="E1138" i="1"/>
  <c r="D1138" i="1"/>
  <c r="C1138" i="1"/>
  <c r="E1137" i="1"/>
  <c r="D1137" i="1"/>
  <c r="C1137" i="1"/>
  <c r="E1136" i="1"/>
  <c r="D1136" i="1"/>
  <c r="C1136" i="1"/>
  <c r="E1135" i="1"/>
  <c r="D1135" i="1"/>
  <c r="C1135" i="1"/>
  <c r="E1134" i="1"/>
  <c r="D1134" i="1"/>
  <c r="C1134" i="1"/>
  <c r="E1133" i="1"/>
  <c r="D1133" i="1"/>
  <c r="C1133" i="1"/>
  <c r="E1132" i="1"/>
  <c r="D1132" i="1"/>
  <c r="C1132" i="1"/>
  <c r="E1131" i="1"/>
  <c r="D1131" i="1"/>
  <c r="C1131" i="1"/>
  <c r="E1130" i="1"/>
  <c r="D1130" i="1"/>
  <c r="C1130" i="1"/>
  <c r="E1129" i="1"/>
  <c r="D1129" i="1"/>
  <c r="C1129" i="1"/>
  <c r="E1128" i="1"/>
  <c r="D1128" i="1"/>
  <c r="C1128" i="1"/>
  <c r="E1127" i="1"/>
  <c r="D1127" i="1"/>
  <c r="C1127" i="1"/>
  <c r="E1126" i="1"/>
  <c r="D1126" i="1"/>
  <c r="C1126" i="1"/>
  <c r="E1125" i="1"/>
  <c r="D1125" i="1"/>
  <c r="C1125" i="1"/>
  <c r="E1124" i="1"/>
  <c r="D1124" i="1"/>
  <c r="C1124" i="1"/>
  <c r="E1123" i="1"/>
  <c r="D1123" i="1"/>
  <c r="C1123" i="1"/>
  <c r="E1122" i="1"/>
  <c r="D1122" i="1"/>
  <c r="C1122" i="1"/>
  <c r="E1121" i="1"/>
  <c r="D1121" i="1"/>
  <c r="C1121" i="1"/>
  <c r="E1120" i="1"/>
  <c r="D1120" i="1"/>
  <c r="C1120" i="1"/>
  <c r="E1119" i="1"/>
  <c r="D1119" i="1"/>
  <c r="C1119" i="1"/>
  <c r="E1118" i="1"/>
  <c r="D1118" i="1"/>
  <c r="C1118" i="1"/>
  <c r="E1117" i="1"/>
  <c r="D1117" i="1"/>
  <c r="C1117" i="1"/>
  <c r="E1116" i="1"/>
  <c r="D1116" i="1"/>
  <c r="C1116" i="1"/>
  <c r="E1115" i="1"/>
  <c r="D1115" i="1"/>
  <c r="C1115" i="1"/>
  <c r="E1114" i="1"/>
  <c r="D1114" i="1"/>
  <c r="C1114" i="1"/>
  <c r="E1113" i="1"/>
  <c r="D1113" i="1"/>
  <c r="C1113" i="1"/>
  <c r="E1112" i="1"/>
  <c r="D1112" i="1"/>
  <c r="C1112" i="1"/>
  <c r="E1111" i="1"/>
  <c r="D1111" i="1"/>
  <c r="C1111" i="1"/>
  <c r="E1110" i="1"/>
  <c r="D1110" i="1"/>
  <c r="C1110" i="1"/>
  <c r="E1109" i="1"/>
  <c r="D1109" i="1"/>
  <c r="C1109" i="1"/>
  <c r="E1108" i="1"/>
  <c r="D1108" i="1"/>
  <c r="C1108" i="1"/>
  <c r="E1107" i="1"/>
  <c r="D1107" i="1"/>
  <c r="C1107" i="1"/>
  <c r="E1106" i="1"/>
  <c r="D1106" i="1"/>
  <c r="C1106" i="1"/>
  <c r="E1105" i="1"/>
  <c r="D1105" i="1"/>
  <c r="C1105" i="1"/>
  <c r="E1104" i="1"/>
  <c r="D1104" i="1"/>
  <c r="C1104" i="1"/>
  <c r="E1103" i="1"/>
  <c r="D1103" i="1"/>
  <c r="C1103" i="1"/>
  <c r="E1102" i="1"/>
  <c r="D1102" i="1"/>
  <c r="C1102" i="1"/>
  <c r="E1101" i="1"/>
  <c r="D1101" i="1"/>
  <c r="C1101" i="1"/>
  <c r="E1100" i="1"/>
  <c r="D1100" i="1"/>
  <c r="C1100" i="1"/>
  <c r="E1099" i="1"/>
  <c r="D1099" i="1"/>
  <c r="C1099" i="1"/>
  <c r="E1098" i="1"/>
  <c r="D1098" i="1"/>
  <c r="C1098" i="1"/>
  <c r="E1097" i="1"/>
  <c r="D1097" i="1"/>
  <c r="C1097" i="1"/>
  <c r="E1096" i="1"/>
  <c r="D1096" i="1"/>
  <c r="C1096" i="1"/>
  <c r="E1095" i="1"/>
  <c r="D1095" i="1"/>
  <c r="C1095" i="1"/>
  <c r="E1094" i="1"/>
  <c r="D1094" i="1"/>
  <c r="C1094" i="1"/>
  <c r="E1093" i="1"/>
  <c r="D1093" i="1"/>
  <c r="C1093" i="1"/>
  <c r="E1092" i="1"/>
  <c r="D1092" i="1"/>
  <c r="C1092" i="1"/>
  <c r="E1091" i="1"/>
  <c r="D1091" i="1"/>
  <c r="C1091" i="1"/>
  <c r="E1090" i="1"/>
  <c r="D1090" i="1"/>
  <c r="C1090" i="1"/>
  <c r="E1089" i="1"/>
  <c r="D1089" i="1"/>
  <c r="C1089" i="1"/>
  <c r="E1088" i="1"/>
  <c r="D1088" i="1"/>
  <c r="C1088" i="1"/>
  <c r="E1087" i="1"/>
  <c r="D1087" i="1"/>
  <c r="C1087" i="1"/>
  <c r="E1086" i="1"/>
  <c r="D1086" i="1"/>
  <c r="C1086" i="1"/>
  <c r="E1085" i="1"/>
  <c r="D1085" i="1"/>
  <c r="C1085" i="1"/>
  <c r="E1084" i="1"/>
  <c r="D1084" i="1"/>
  <c r="C1084" i="1"/>
  <c r="E1083" i="1"/>
  <c r="D1083" i="1"/>
  <c r="C1083" i="1"/>
  <c r="E1082" i="1"/>
  <c r="D1082" i="1"/>
  <c r="C1082" i="1"/>
  <c r="E1081" i="1"/>
  <c r="D1081" i="1"/>
  <c r="C1081" i="1"/>
  <c r="E1080" i="1"/>
  <c r="D1080" i="1"/>
  <c r="C1080" i="1"/>
  <c r="E1079" i="1"/>
  <c r="D1079" i="1"/>
  <c r="C1079" i="1"/>
  <c r="E1078" i="1"/>
  <c r="D1078" i="1"/>
  <c r="C1078" i="1"/>
  <c r="E1077" i="1"/>
  <c r="D1077" i="1"/>
  <c r="C1077" i="1"/>
  <c r="E1076" i="1"/>
  <c r="D1076" i="1"/>
  <c r="C1076" i="1"/>
  <c r="E1075" i="1"/>
  <c r="D1075" i="1"/>
  <c r="C1075" i="1"/>
  <c r="E1074" i="1"/>
  <c r="D1074" i="1"/>
  <c r="C1074" i="1"/>
  <c r="E1073" i="1"/>
  <c r="D1073" i="1"/>
  <c r="C1073" i="1"/>
  <c r="E1072" i="1"/>
  <c r="D1072" i="1"/>
  <c r="C1072" i="1"/>
  <c r="E1071" i="1"/>
  <c r="D1071" i="1"/>
  <c r="C1071" i="1"/>
  <c r="E1070" i="1"/>
  <c r="D1070" i="1"/>
  <c r="C1070" i="1"/>
  <c r="E1069" i="1"/>
  <c r="D1069" i="1"/>
  <c r="C1069" i="1"/>
  <c r="E1068" i="1"/>
  <c r="D1068" i="1"/>
  <c r="C1068" i="1"/>
  <c r="E1067" i="1"/>
  <c r="D1067" i="1"/>
  <c r="C1067" i="1"/>
  <c r="E1066" i="1"/>
  <c r="D1066" i="1"/>
  <c r="C1066" i="1"/>
  <c r="E1065" i="1"/>
  <c r="D1065" i="1"/>
  <c r="C1065" i="1"/>
  <c r="E1064" i="1"/>
  <c r="D1064" i="1"/>
  <c r="C1064" i="1"/>
  <c r="E1063" i="1"/>
  <c r="D1063" i="1"/>
  <c r="C1063" i="1"/>
  <c r="E1062" i="1"/>
  <c r="D1062" i="1"/>
  <c r="C1062" i="1"/>
  <c r="E1061" i="1"/>
  <c r="D1061" i="1"/>
  <c r="C1061" i="1"/>
  <c r="E1060" i="1"/>
  <c r="D1060" i="1"/>
  <c r="C1060" i="1"/>
  <c r="E1059" i="1"/>
  <c r="D1059" i="1"/>
  <c r="C1059" i="1"/>
  <c r="E1058" i="1"/>
  <c r="D1058" i="1"/>
  <c r="C1058" i="1"/>
  <c r="E1057" i="1"/>
  <c r="D1057" i="1"/>
  <c r="C1057" i="1"/>
  <c r="E1056" i="1"/>
  <c r="D1056" i="1"/>
  <c r="C1056" i="1"/>
  <c r="E1055" i="1"/>
  <c r="D1055" i="1"/>
  <c r="C1055" i="1"/>
  <c r="E1054" i="1"/>
  <c r="D1054" i="1"/>
  <c r="C1054" i="1"/>
  <c r="E1053" i="1"/>
  <c r="D1053" i="1"/>
  <c r="C1053" i="1"/>
  <c r="E1052" i="1"/>
  <c r="D1052" i="1"/>
  <c r="C1052" i="1"/>
  <c r="E1051" i="1"/>
  <c r="D1051" i="1"/>
  <c r="C1051" i="1"/>
  <c r="E1050" i="1"/>
  <c r="D1050" i="1"/>
  <c r="C1050" i="1"/>
  <c r="E1049" i="1"/>
  <c r="D1049" i="1"/>
  <c r="C1049" i="1"/>
  <c r="E1048" i="1"/>
  <c r="D1048" i="1"/>
  <c r="C1048" i="1"/>
  <c r="E1047" i="1"/>
  <c r="D1047" i="1"/>
  <c r="C1047" i="1"/>
  <c r="E1046" i="1"/>
  <c r="D1046" i="1"/>
  <c r="C1046" i="1"/>
  <c r="E1045" i="1"/>
  <c r="D1045" i="1"/>
  <c r="C1045" i="1"/>
  <c r="E1044" i="1"/>
  <c r="D1044" i="1"/>
  <c r="C1044" i="1"/>
  <c r="E1043" i="1"/>
  <c r="D1043" i="1"/>
  <c r="C1043" i="1"/>
  <c r="E1042" i="1"/>
  <c r="D1042" i="1"/>
  <c r="C1042" i="1"/>
  <c r="E1041" i="1"/>
  <c r="D1041" i="1"/>
  <c r="C1041" i="1"/>
  <c r="E1040" i="1"/>
  <c r="D1040" i="1"/>
  <c r="C1040" i="1"/>
  <c r="E1039" i="1"/>
  <c r="D1039" i="1"/>
  <c r="C1039" i="1"/>
  <c r="E1038" i="1"/>
  <c r="D1038" i="1"/>
  <c r="C1038" i="1"/>
  <c r="E1037" i="1"/>
  <c r="D1037" i="1"/>
  <c r="C1037" i="1"/>
  <c r="E1036" i="1"/>
  <c r="D1036" i="1"/>
  <c r="C1036" i="1"/>
  <c r="E1035" i="1"/>
  <c r="D1035" i="1"/>
  <c r="C1035" i="1"/>
  <c r="E1034" i="1"/>
  <c r="D1034" i="1"/>
  <c r="C1034" i="1"/>
  <c r="E1033" i="1"/>
  <c r="D1033" i="1"/>
  <c r="C1033" i="1"/>
  <c r="E1032" i="1"/>
  <c r="D1032" i="1"/>
  <c r="C1032" i="1"/>
  <c r="E1031" i="1"/>
  <c r="D1031" i="1"/>
  <c r="C1031" i="1"/>
  <c r="E1030" i="1"/>
  <c r="D1030" i="1"/>
  <c r="C1030" i="1"/>
  <c r="E1029" i="1"/>
  <c r="D1029" i="1"/>
  <c r="C1029" i="1"/>
  <c r="E1028" i="1"/>
  <c r="D1028" i="1"/>
  <c r="C1028" i="1"/>
  <c r="E1027" i="1"/>
  <c r="D1027" i="1"/>
  <c r="C1027" i="1"/>
  <c r="E1026" i="1"/>
  <c r="D1026" i="1"/>
  <c r="C1026" i="1"/>
  <c r="E1025" i="1"/>
  <c r="D1025" i="1"/>
  <c r="C1025" i="1"/>
  <c r="E1024" i="1"/>
  <c r="D1024" i="1"/>
  <c r="C1024" i="1"/>
  <c r="E1023" i="1"/>
  <c r="D1023" i="1"/>
  <c r="C1023" i="1"/>
  <c r="E1022" i="1"/>
  <c r="D1022" i="1"/>
  <c r="C1022" i="1"/>
  <c r="E1021" i="1"/>
  <c r="D1021" i="1"/>
  <c r="C1021" i="1"/>
  <c r="E1020" i="1"/>
  <c r="D1020" i="1"/>
  <c r="C1020" i="1"/>
  <c r="E1019" i="1"/>
  <c r="D1019" i="1"/>
  <c r="C1019" i="1"/>
  <c r="E1018" i="1"/>
  <c r="D1018" i="1"/>
  <c r="C1018" i="1"/>
  <c r="E1017" i="1"/>
  <c r="D1017" i="1"/>
  <c r="C1017" i="1"/>
  <c r="E1016" i="1"/>
  <c r="D1016" i="1"/>
  <c r="C1016" i="1"/>
  <c r="E1015" i="1"/>
  <c r="D1015" i="1"/>
  <c r="C1015" i="1"/>
  <c r="E1014" i="1"/>
  <c r="D1014" i="1"/>
  <c r="C1014" i="1"/>
  <c r="E1013" i="1"/>
  <c r="D1013" i="1"/>
  <c r="C1013" i="1"/>
  <c r="E1012" i="1"/>
  <c r="D1012" i="1"/>
  <c r="C1012" i="1"/>
  <c r="E1011" i="1"/>
  <c r="D1011" i="1"/>
  <c r="C1011" i="1"/>
  <c r="E1010" i="1"/>
  <c r="D1010" i="1"/>
  <c r="C1010" i="1"/>
  <c r="E1009" i="1"/>
  <c r="D1009" i="1"/>
  <c r="C1009" i="1"/>
  <c r="E1008" i="1"/>
  <c r="D1008" i="1"/>
  <c r="C1008" i="1"/>
  <c r="E1007" i="1"/>
  <c r="D1007" i="1"/>
  <c r="C1007" i="1"/>
  <c r="E1006" i="1"/>
  <c r="D1006" i="1"/>
  <c r="C1006" i="1"/>
  <c r="E1005" i="1"/>
  <c r="D1005" i="1"/>
  <c r="C1005" i="1"/>
  <c r="E1004" i="1"/>
  <c r="D1004" i="1"/>
  <c r="C1004" i="1"/>
  <c r="E1003" i="1"/>
  <c r="D1003" i="1"/>
  <c r="C1003" i="1"/>
  <c r="E1002" i="1"/>
  <c r="D1002" i="1"/>
  <c r="C1002" i="1"/>
  <c r="E1001" i="1"/>
  <c r="D1001" i="1"/>
  <c r="C1001" i="1"/>
  <c r="E1000" i="1"/>
  <c r="D1000" i="1"/>
  <c r="C1000" i="1"/>
  <c r="E999" i="1"/>
  <c r="D999" i="1"/>
  <c r="C999" i="1"/>
  <c r="E998" i="1"/>
  <c r="D998" i="1"/>
  <c r="C998" i="1"/>
  <c r="E997" i="1"/>
  <c r="D997" i="1"/>
  <c r="C997" i="1"/>
  <c r="E996" i="1"/>
  <c r="D996" i="1"/>
  <c r="C996" i="1"/>
  <c r="E995" i="1"/>
  <c r="D995" i="1"/>
  <c r="C995" i="1"/>
  <c r="E994" i="1"/>
  <c r="D994" i="1"/>
  <c r="C994" i="1"/>
  <c r="E993" i="1"/>
  <c r="D993" i="1"/>
  <c r="C993" i="1"/>
  <c r="E992" i="1"/>
  <c r="D992" i="1"/>
  <c r="C992" i="1"/>
  <c r="E991" i="1"/>
  <c r="D991" i="1"/>
  <c r="C991" i="1"/>
  <c r="E990" i="1"/>
  <c r="D990" i="1"/>
  <c r="C990" i="1"/>
  <c r="E989" i="1"/>
  <c r="D989" i="1"/>
  <c r="C989" i="1"/>
  <c r="E988" i="1"/>
  <c r="D988" i="1"/>
  <c r="C988" i="1"/>
  <c r="E987" i="1"/>
  <c r="D987" i="1"/>
  <c r="C987" i="1"/>
  <c r="E986" i="1"/>
  <c r="D986" i="1"/>
  <c r="C986" i="1"/>
  <c r="E985" i="1"/>
  <c r="D985" i="1"/>
  <c r="C985" i="1"/>
  <c r="E984" i="1"/>
  <c r="D984" i="1"/>
  <c r="C984" i="1"/>
  <c r="E983" i="1"/>
  <c r="D983" i="1"/>
  <c r="C983" i="1"/>
  <c r="E982" i="1"/>
  <c r="D982" i="1"/>
  <c r="C982" i="1"/>
  <c r="E981" i="1"/>
  <c r="D981" i="1"/>
  <c r="C981" i="1"/>
  <c r="E980" i="1"/>
  <c r="D980" i="1"/>
  <c r="C980" i="1"/>
  <c r="E979" i="1"/>
  <c r="D979" i="1"/>
  <c r="C979" i="1"/>
  <c r="E978" i="1"/>
  <c r="D978" i="1"/>
  <c r="C978" i="1"/>
  <c r="E977" i="1"/>
  <c r="D977" i="1"/>
  <c r="C977" i="1"/>
  <c r="E976" i="1"/>
  <c r="D976" i="1"/>
  <c r="C976" i="1"/>
  <c r="E975" i="1"/>
  <c r="D975" i="1"/>
  <c r="C975" i="1"/>
  <c r="E974" i="1"/>
  <c r="D974" i="1"/>
  <c r="C974" i="1"/>
  <c r="E973" i="1"/>
  <c r="D973" i="1"/>
  <c r="C973" i="1"/>
  <c r="E972" i="1"/>
  <c r="D972" i="1"/>
  <c r="C972" i="1"/>
  <c r="E971" i="1"/>
  <c r="D971" i="1"/>
  <c r="C971" i="1"/>
  <c r="E970" i="1"/>
  <c r="D970" i="1"/>
  <c r="C970" i="1"/>
  <c r="E969" i="1"/>
  <c r="D969" i="1"/>
  <c r="C969" i="1"/>
  <c r="E968" i="1"/>
  <c r="D968" i="1"/>
  <c r="C968" i="1"/>
  <c r="E967" i="1"/>
  <c r="D967" i="1"/>
  <c r="C967" i="1"/>
  <c r="E966" i="1"/>
  <c r="D966" i="1"/>
  <c r="C966" i="1"/>
  <c r="E965" i="1"/>
  <c r="D965" i="1"/>
  <c r="C965" i="1"/>
  <c r="E964" i="1"/>
  <c r="D964" i="1"/>
  <c r="C964" i="1"/>
  <c r="E963" i="1"/>
  <c r="D963" i="1"/>
  <c r="C963" i="1"/>
  <c r="E962" i="1"/>
  <c r="D962" i="1"/>
  <c r="C962" i="1"/>
  <c r="E961" i="1"/>
  <c r="D961" i="1"/>
  <c r="C961" i="1"/>
  <c r="E960" i="1"/>
  <c r="D960" i="1"/>
  <c r="C960" i="1"/>
  <c r="E959" i="1"/>
  <c r="D959" i="1"/>
  <c r="C959" i="1"/>
  <c r="E958" i="1"/>
  <c r="D958" i="1"/>
  <c r="C958" i="1"/>
  <c r="E957" i="1"/>
  <c r="D957" i="1"/>
  <c r="C957" i="1"/>
  <c r="E956" i="1"/>
  <c r="D956" i="1"/>
  <c r="C956" i="1"/>
  <c r="E955" i="1"/>
  <c r="D955" i="1"/>
  <c r="C955" i="1"/>
  <c r="E954" i="1"/>
  <c r="D954" i="1"/>
  <c r="C954" i="1"/>
  <c r="E953" i="1"/>
  <c r="D953" i="1"/>
  <c r="C953" i="1"/>
  <c r="E952" i="1"/>
  <c r="D952" i="1"/>
  <c r="C952" i="1"/>
  <c r="E951" i="1"/>
  <c r="D951" i="1"/>
  <c r="C951" i="1"/>
  <c r="E950" i="1"/>
  <c r="D950" i="1"/>
  <c r="C950" i="1"/>
  <c r="E949" i="1"/>
  <c r="D949" i="1"/>
  <c r="C949" i="1"/>
  <c r="E948" i="1"/>
  <c r="D948" i="1"/>
  <c r="C948" i="1"/>
  <c r="E947" i="1"/>
  <c r="D947" i="1"/>
  <c r="C947" i="1"/>
  <c r="E946" i="1"/>
  <c r="D946" i="1"/>
  <c r="C946" i="1"/>
  <c r="E945" i="1"/>
  <c r="D945" i="1"/>
  <c r="C945" i="1"/>
  <c r="E944" i="1"/>
  <c r="D944" i="1"/>
  <c r="C944" i="1"/>
  <c r="E943" i="1"/>
  <c r="D943" i="1"/>
  <c r="C943" i="1"/>
  <c r="E942" i="1"/>
  <c r="D942" i="1"/>
  <c r="C942" i="1"/>
  <c r="E941" i="1"/>
  <c r="D941" i="1"/>
  <c r="C941" i="1"/>
  <c r="E940" i="1"/>
  <c r="D940" i="1"/>
  <c r="C940" i="1"/>
  <c r="E939" i="1"/>
  <c r="D939" i="1"/>
  <c r="C939" i="1"/>
  <c r="E938" i="1"/>
  <c r="D938" i="1"/>
  <c r="C938" i="1"/>
  <c r="E937" i="1"/>
  <c r="D937" i="1"/>
  <c r="C937" i="1"/>
  <c r="E936" i="1"/>
  <c r="D936" i="1"/>
  <c r="C936" i="1"/>
  <c r="E935" i="1"/>
  <c r="D935" i="1"/>
  <c r="C935" i="1"/>
  <c r="E934" i="1"/>
  <c r="D934" i="1"/>
  <c r="C934" i="1"/>
  <c r="E933" i="1"/>
  <c r="D933" i="1"/>
  <c r="C933" i="1"/>
  <c r="E932" i="1"/>
  <c r="D932" i="1"/>
  <c r="C932" i="1"/>
  <c r="E931" i="1"/>
  <c r="D931" i="1"/>
  <c r="C931" i="1"/>
  <c r="E930" i="1"/>
  <c r="D930" i="1"/>
  <c r="C930" i="1"/>
  <c r="E929" i="1"/>
  <c r="D929" i="1"/>
  <c r="C929" i="1"/>
  <c r="E928" i="1"/>
  <c r="D928" i="1"/>
  <c r="C928" i="1"/>
  <c r="E927" i="1"/>
  <c r="D927" i="1"/>
  <c r="C927" i="1"/>
  <c r="E926" i="1"/>
  <c r="D926" i="1"/>
  <c r="C926" i="1"/>
  <c r="E925" i="1"/>
  <c r="D925" i="1"/>
  <c r="C925" i="1"/>
  <c r="E924" i="1"/>
  <c r="D924" i="1"/>
  <c r="C924" i="1"/>
  <c r="E923" i="1"/>
  <c r="D923" i="1"/>
  <c r="C923" i="1"/>
  <c r="E922" i="1"/>
  <c r="D922" i="1"/>
  <c r="C922" i="1"/>
  <c r="E921" i="1"/>
  <c r="D921" i="1"/>
  <c r="C921" i="1"/>
  <c r="E920" i="1"/>
  <c r="D920" i="1"/>
  <c r="C920" i="1"/>
  <c r="E919" i="1"/>
  <c r="D919" i="1"/>
  <c r="C919" i="1"/>
  <c r="E918" i="1"/>
  <c r="D918" i="1"/>
  <c r="C918" i="1"/>
  <c r="E917" i="1"/>
  <c r="D917" i="1"/>
  <c r="C917" i="1"/>
  <c r="E916" i="1"/>
  <c r="D916" i="1"/>
  <c r="C916" i="1"/>
  <c r="E915" i="1"/>
  <c r="D915" i="1"/>
  <c r="C915" i="1"/>
  <c r="E914" i="1"/>
  <c r="D914" i="1"/>
  <c r="C914" i="1"/>
  <c r="E913" i="1"/>
  <c r="D913" i="1"/>
  <c r="C913" i="1"/>
  <c r="E912" i="1"/>
  <c r="D912" i="1"/>
  <c r="C912" i="1"/>
  <c r="E911" i="1"/>
  <c r="D911" i="1"/>
  <c r="C911" i="1"/>
  <c r="E910" i="1"/>
  <c r="D910" i="1"/>
  <c r="C910" i="1"/>
  <c r="E909" i="1"/>
  <c r="D909" i="1"/>
  <c r="C909" i="1"/>
  <c r="E908" i="1"/>
  <c r="D908" i="1"/>
  <c r="C908" i="1"/>
  <c r="E907" i="1"/>
  <c r="D907" i="1"/>
  <c r="C907" i="1"/>
  <c r="E906" i="1"/>
  <c r="D906" i="1"/>
  <c r="C906" i="1"/>
  <c r="E905" i="1"/>
  <c r="D905" i="1"/>
  <c r="C905" i="1"/>
  <c r="E904" i="1"/>
  <c r="D904" i="1"/>
  <c r="C904" i="1"/>
  <c r="E903" i="1"/>
  <c r="D903" i="1"/>
  <c r="C903" i="1"/>
  <c r="E902" i="1"/>
  <c r="D902" i="1"/>
  <c r="C902" i="1"/>
  <c r="E901" i="1"/>
  <c r="D901" i="1"/>
  <c r="C901" i="1"/>
  <c r="E900" i="1"/>
  <c r="D900" i="1"/>
  <c r="C900" i="1"/>
  <c r="E899" i="1"/>
  <c r="D899" i="1"/>
  <c r="C899" i="1"/>
  <c r="E898" i="1"/>
  <c r="D898" i="1"/>
  <c r="C898" i="1"/>
  <c r="E897" i="1"/>
  <c r="D897" i="1"/>
  <c r="C897" i="1"/>
  <c r="E896" i="1"/>
  <c r="D896" i="1"/>
  <c r="C896" i="1"/>
  <c r="E895" i="1"/>
  <c r="D895" i="1"/>
  <c r="C895" i="1"/>
  <c r="E894" i="1"/>
  <c r="D894" i="1"/>
  <c r="C894" i="1"/>
  <c r="E893" i="1"/>
  <c r="D893" i="1"/>
  <c r="C893" i="1"/>
  <c r="E892" i="1"/>
  <c r="D892" i="1"/>
  <c r="C892" i="1"/>
  <c r="E891" i="1"/>
  <c r="D891" i="1"/>
  <c r="C891" i="1"/>
  <c r="E890" i="1"/>
  <c r="D890" i="1"/>
  <c r="C890" i="1"/>
  <c r="E889" i="1"/>
  <c r="D889" i="1"/>
  <c r="C889" i="1"/>
  <c r="E888" i="1"/>
  <c r="D888" i="1"/>
  <c r="C888" i="1"/>
  <c r="E887" i="1"/>
  <c r="D887" i="1"/>
  <c r="C887" i="1"/>
  <c r="E886" i="1"/>
  <c r="D886" i="1"/>
  <c r="C886" i="1"/>
  <c r="E885" i="1"/>
  <c r="D885" i="1"/>
  <c r="C885" i="1"/>
  <c r="E884" i="1"/>
  <c r="D884" i="1"/>
  <c r="C884" i="1"/>
  <c r="E883" i="1"/>
  <c r="D883" i="1"/>
  <c r="C883" i="1"/>
  <c r="E882" i="1"/>
  <c r="D882" i="1"/>
  <c r="C882" i="1"/>
  <c r="E881" i="1"/>
  <c r="D881" i="1"/>
  <c r="C881" i="1"/>
  <c r="E880" i="1"/>
  <c r="D880" i="1"/>
  <c r="C880" i="1"/>
  <c r="E879" i="1"/>
  <c r="D879" i="1"/>
  <c r="C879" i="1"/>
  <c r="E878" i="1"/>
  <c r="D878" i="1"/>
  <c r="C878" i="1"/>
  <c r="E877" i="1"/>
  <c r="D877" i="1"/>
  <c r="C877" i="1"/>
  <c r="E876" i="1"/>
  <c r="D876" i="1"/>
  <c r="C876" i="1"/>
  <c r="E875" i="1"/>
  <c r="D875" i="1"/>
  <c r="C875" i="1"/>
  <c r="E874" i="1"/>
  <c r="D874" i="1"/>
  <c r="C874" i="1"/>
  <c r="E873" i="1"/>
  <c r="D873" i="1"/>
  <c r="C873" i="1"/>
  <c r="E872" i="1"/>
  <c r="D872" i="1"/>
  <c r="C872" i="1"/>
  <c r="E871" i="1"/>
  <c r="D871" i="1"/>
  <c r="C871" i="1"/>
  <c r="E870" i="1"/>
  <c r="D870" i="1"/>
  <c r="C870" i="1"/>
  <c r="E869" i="1"/>
  <c r="D869" i="1"/>
  <c r="C869" i="1"/>
  <c r="E868" i="1"/>
  <c r="D868" i="1"/>
  <c r="C868" i="1"/>
  <c r="E867" i="1"/>
  <c r="D867" i="1"/>
  <c r="C867" i="1"/>
  <c r="E866" i="1"/>
  <c r="D866" i="1"/>
  <c r="C866" i="1"/>
  <c r="E865" i="1"/>
  <c r="D865" i="1"/>
  <c r="C865" i="1"/>
  <c r="E864" i="1"/>
  <c r="D864" i="1"/>
  <c r="C864" i="1"/>
  <c r="E863" i="1"/>
  <c r="D863" i="1"/>
  <c r="C863" i="1"/>
  <c r="E862" i="1"/>
  <c r="D862" i="1"/>
  <c r="C862" i="1"/>
  <c r="E861" i="1"/>
  <c r="D861" i="1"/>
  <c r="C861" i="1"/>
  <c r="E860" i="1"/>
  <c r="D860" i="1"/>
  <c r="C860" i="1"/>
  <c r="E859" i="1"/>
  <c r="D859" i="1"/>
  <c r="C859" i="1"/>
  <c r="E858" i="1"/>
  <c r="D858" i="1"/>
  <c r="C858" i="1"/>
  <c r="E857" i="1"/>
  <c r="D857" i="1"/>
  <c r="C857" i="1"/>
  <c r="E856" i="1"/>
  <c r="D856" i="1"/>
  <c r="C856" i="1"/>
  <c r="E855" i="1"/>
  <c r="D855" i="1"/>
  <c r="C855" i="1"/>
  <c r="E854" i="1"/>
  <c r="D854" i="1"/>
  <c r="C854" i="1"/>
  <c r="E853" i="1"/>
  <c r="D853" i="1"/>
  <c r="C853" i="1"/>
  <c r="E852" i="1"/>
  <c r="D852" i="1"/>
  <c r="C852" i="1"/>
  <c r="E851" i="1"/>
  <c r="D851" i="1"/>
  <c r="C851" i="1"/>
  <c r="E850" i="1"/>
  <c r="D850" i="1"/>
  <c r="C850" i="1"/>
  <c r="E849" i="1"/>
  <c r="D849" i="1"/>
  <c r="C849" i="1"/>
  <c r="E848" i="1"/>
  <c r="D848" i="1"/>
  <c r="C848" i="1"/>
  <c r="E847" i="1"/>
  <c r="D847" i="1"/>
  <c r="C847" i="1"/>
  <c r="E846" i="1"/>
  <c r="D846" i="1"/>
  <c r="C846" i="1"/>
  <c r="E845" i="1"/>
  <c r="D845" i="1"/>
  <c r="C845" i="1"/>
  <c r="E844" i="1"/>
  <c r="D844" i="1"/>
  <c r="C844" i="1"/>
  <c r="E843" i="1"/>
  <c r="D843" i="1"/>
  <c r="C843" i="1"/>
  <c r="E842" i="1"/>
  <c r="D842" i="1"/>
  <c r="C842" i="1"/>
  <c r="E841" i="1"/>
  <c r="D841" i="1"/>
  <c r="C841" i="1"/>
  <c r="E840" i="1"/>
  <c r="D840" i="1"/>
  <c r="C840" i="1"/>
  <c r="E839" i="1"/>
  <c r="D839" i="1"/>
  <c r="C839" i="1"/>
  <c r="E838" i="1"/>
  <c r="D838" i="1"/>
  <c r="C838" i="1"/>
  <c r="E837" i="1"/>
  <c r="D837" i="1"/>
  <c r="C837" i="1"/>
  <c r="E836" i="1"/>
  <c r="D836" i="1"/>
  <c r="C836" i="1"/>
  <c r="E835" i="1"/>
  <c r="D835" i="1"/>
  <c r="C835" i="1"/>
  <c r="E834" i="1"/>
  <c r="D834" i="1"/>
  <c r="C834" i="1"/>
  <c r="E833" i="1"/>
  <c r="D833" i="1"/>
  <c r="C833" i="1"/>
  <c r="E832" i="1"/>
  <c r="D832" i="1"/>
  <c r="C832" i="1"/>
  <c r="E831" i="1"/>
  <c r="D831" i="1"/>
  <c r="C831" i="1"/>
  <c r="E830" i="1"/>
  <c r="D830" i="1"/>
  <c r="C830" i="1"/>
  <c r="E829" i="1"/>
  <c r="D829" i="1"/>
  <c r="C829" i="1"/>
  <c r="E828" i="1"/>
  <c r="D828" i="1"/>
  <c r="C828" i="1"/>
  <c r="E827" i="1"/>
  <c r="D827" i="1"/>
  <c r="C827" i="1"/>
  <c r="E826" i="1"/>
  <c r="D826" i="1"/>
  <c r="C826" i="1"/>
  <c r="E825" i="1"/>
  <c r="D825" i="1"/>
  <c r="C825" i="1"/>
  <c r="E824" i="1"/>
  <c r="D824" i="1"/>
  <c r="C824" i="1"/>
  <c r="E823" i="1"/>
  <c r="D823" i="1"/>
  <c r="C823" i="1"/>
  <c r="E822" i="1"/>
  <c r="D822" i="1"/>
  <c r="C822" i="1"/>
  <c r="E821" i="1"/>
  <c r="D821" i="1"/>
  <c r="C821" i="1"/>
  <c r="E820" i="1"/>
  <c r="D820" i="1"/>
  <c r="C820" i="1"/>
  <c r="E819" i="1"/>
  <c r="D819" i="1"/>
  <c r="C819" i="1"/>
  <c r="E818" i="1"/>
  <c r="D818" i="1"/>
  <c r="C818" i="1"/>
  <c r="E817" i="1"/>
  <c r="D817" i="1"/>
  <c r="C817" i="1"/>
  <c r="E816" i="1"/>
  <c r="D816" i="1"/>
  <c r="C816" i="1"/>
  <c r="E815" i="1"/>
  <c r="D815" i="1"/>
  <c r="C815" i="1"/>
  <c r="E814" i="1"/>
  <c r="D814" i="1"/>
  <c r="C814" i="1"/>
  <c r="E813" i="1"/>
  <c r="D813" i="1"/>
  <c r="C813" i="1"/>
  <c r="E812" i="1"/>
  <c r="D812" i="1"/>
  <c r="C812" i="1"/>
  <c r="E811" i="1"/>
  <c r="D811" i="1"/>
  <c r="C811" i="1"/>
  <c r="E810" i="1"/>
  <c r="D810" i="1"/>
  <c r="C810" i="1"/>
  <c r="E809" i="1"/>
  <c r="D809" i="1"/>
  <c r="C809" i="1"/>
  <c r="E808" i="1"/>
  <c r="D808" i="1"/>
  <c r="C808" i="1"/>
  <c r="E807" i="1"/>
  <c r="D807" i="1"/>
  <c r="C807" i="1"/>
  <c r="E806" i="1"/>
  <c r="D806" i="1"/>
  <c r="C806" i="1"/>
  <c r="E805" i="1"/>
  <c r="D805" i="1"/>
  <c r="C805" i="1"/>
  <c r="E804" i="1"/>
  <c r="D804" i="1"/>
  <c r="C804" i="1"/>
  <c r="E803" i="1"/>
  <c r="D803" i="1"/>
  <c r="C803" i="1"/>
  <c r="E802" i="1"/>
  <c r="D802" i="1"/>
  <c r="C802" i="1"/>
  <c r="E801" i="1"/>
  <c r="D801" i="1"/>
  <c r="C801" i="1"/>
  <c r="E800" i="1"/>
  <c r="D800" i="1"/>
  <c r="C800" i="1"/>
  <c r="E799" i="1"/>
  <c r="D799" i="1"/>
  <c r="C799" i="1"/>
  <c r="E798" i="1"/>
  <c r="D798" i="1"/>
  <c r="C798" i="1"/>
  <c r="E797" i="1"/>
  <c r="D797" i="1"/>
  <c r="C797" i="1"/>
  <c r="E796" i="1"/>
  <c r="D796" i="1"/>
  <c r="C796" i="1"/>
  <c r="E795" i="1"/>
  <c r="D795" i="1"/>
  <c r="C795" i="1"/>
  <c r="E794" i="1"/>
  <c r="D794" i="1"/>
  <c r="C794" i="1"/>
  <c r="E793" i="1"/>
  <c r="D793" i="1"/>
  <c r="C793" i="1"/>
  <c r="E792" i="1"/>
  <c r="D792" i="1"/>
  <c r="C792" i="1"/>
  <c r="E791" i="1"/>
  <c r="D791" i="1"/>
  <c r="C791" i="1"/>
  <c r="E790" i="1"/>
  <c r="D790" i="1"/>
  <c r="C790" i="1"/>
  <c r="E789" i="1"/>
  <c r="D789" i="1"/>
  <c r="C789" i="1"/>
  <c r="E788" i="1"/>
  <c r="D788" i="1"/>
  <c r="C788" i="1"/>
  <c r="E787" i="1"/>
  <c r="D787" i="1"/>
  <c r="C787" i="1"/>
  <c r="E786" i="1"/>
  <c r="D786" i="1"/>
  <c r="C786" i="1"/>
  <c r="E785" i="1"/>
  <c r="D785" i="1"/>
  <c r="C785" i="1"/>
  <c r="E784" i="1"/>
  <c r="D784" i="1"/>
  <c r="C784" i="1"/>
  <c r="E783" i="1"/>
  <c r="D783" i="1"/>
  <c r="C783" i="1"/>
  <c r="E782" i="1"/>
  <c r="D782" i="1"/>
  <c r="C782" i="1"/>
  <c r="E781" i="1"/>
  <c r="D781" i="1"/>
  <c r="C781" i="1"/>
  <c r="E780" i="1"/>
  <c r="D780" i="1"/>
  <c r="C780" i="1"/>
  <c r="E779" i="1"/>
  <c r="D779" i="1"/>
  <c r="C779" i="1"/>
  <c r="E778" i="1"/>
  <c r="D778" i="1"/>
  <c r="C778" i="1"/>
  <c r="E777" i="1"/>
  <c r="D777" i="1"/>
  <c r="C777" i="1"/>
  <c r="E776" i="1"/>
  <c r="D776" i="1"/>
  <c r="C776" i="1"/>
  <c r="E775" i="1"/>
  <c r="D775" i="1"/>
  <c r="C775" i="1"/>
  <c r="E774" i="1"/>
  <c r="D774" i="1"/>
  <c r="C774" i="1"/>
  <c r="E773" i="1"/>
  <c r="D773" i="1"/>
  <c r="C773" i="1"/>
  <c r="E772" i="1"/>
  <c r="D772" i="1"/>
  <c r="C772" i="1"/>
  <c r="E771" i="1"/>
  <c r="D771" i="1"/>
  <c r="C771" i="1"/>
  <c r="E770" i="1"/>
  <c r="D770" i="1"/>
  <c r="C770" i="1"/>
  <c r="E769" i="1"/>
  <c r="D769" i="1"/>
  <c r="C769" i="1"/>
  <c r="E768" i="1"/>
  <c r="D768" i="1"/>
  <c r="C768" i="1"/>
  <c r="E767" i="1"/>
  <c r="D767" i="1"/>
  <c r="C767" i="1"/>
  <c r="E766" i="1"/>
  <c r="D766" i="1"/>
  <c r="C766" i="1"/>
  <c r="E765" i="1"/>
  <c r="D765" i="1"/>
  <c r="C765" i="1"/>
  <c r="E764" i="1"/>
  <c r="D764" i="1"/>
  <c r="C764" i="1"/>
  <c r="E763" i="1"/>
  <c r="D763" i="1"/>
  <c r="C763" i="1"/>
  <c r="E762" i="1"/>
  <c r="D762" i="1"/>
  <c r="C762" i="1"/>
  <c r="E761" i="1"/>
  <c r="D761" i="1"/>
  <c r="C761" i="1"/>
  <c r="E760" i="1"/>
  <c r="D760" i="1"/>
  <c r="C760" i="1"/>
  <c r="E759" i="1"/>
  <c r="D759" i="1"/>
  <c r="C759" i="1"/>
  <c r="E758" i="1"/>
  <c r="D758" i="1"/>
  <c r="C758" i="1"/>
  <c r="E757" i="1"/>
  <c r="D757" i="1"/>
  <c r="C757" i="1"/>
  <c r="E756" i="1"/>
  <c r="D756" i="1"/>
  <c r="C756" i="1"/>
  <c r="E755" i="1"/>
  <c r="D755" i="1"/>
  <c r="C755" i="1"/>
  <c r="E754" i="1"/>
  <c r="D754" i="1"/>
  <c r="C754" i="1"/>
  <c r="E753" i="1"/>
  <c r="D753" i="1"/>
  <c r="C753" i="1"/>
  <c r="E752" i="1"/>
  <c r="D752" i="1"/>
  <c r="C752" i="1"/>
  <c r="E751" i="1"/>
  <c r="D751" i="1"/>
  <c r="C751" i="1"/>
  <c r="E750" i="1"/>
  <c r="D750" i="1"/>
  <c r="C750" i="1"/>
  <c r="E749" i="1"/>
  <c r="D749" i="1"/>
  <c r="C749" i="1"/>
  <c r="E748" i="1"/>
  <c r="D748" i="1"/>
  <c r="C748" i="1"/>
  <c r="E747" i="1"/>
  <c r="D747" i="1"/>
  <c r="C747" i="1"/>
  <c r="E746" i="1"/>
  <c r="D746" i="1"/>
  <c r="C746" i="1"/>
  <c r="E745" i="1"/>
  <c r="D745" i="1"/>
  <c r="C745" i="1"/>
  <c r="E744" i="1"/>
  <c r="D744" i="1"/>
  <c r="C744" i="1"/>
  <c r="E743" i="1"/>
  <c r="D743" i="1"/>
  <c r="C743" i="1"/>
  <c r="E742" i="1"/>
  <c r="D742" i="1"/>
  <c r="C742" i="1"/>
  <c r="E741" i="1"/>
  <c r="D741" i="1"/>
  <c r="C741" i="1"/>
  <c r="E740" i="1"/>
  <c r="D740" i="1"/>
  <c r="C740" i="1"/>
  <c r="E739" i="1"/>
  <c r="D739" i="1"/>
  <c r="C739" i="1"/>
  <c r="E738" i="1"/>
  <c r="D738" i="1"/>
  <c r="C738" i="1"/>
  <c r="E737" i="1"/>
  <c r="D737" i="1"/>
  <c r="C737" i="1"/>
  <c r="E736" i="1"/>
  <c r="D736" i="1"/>
  <c r="C736" i="1"/>
  <c r="E735" i="1"/>
  <c r="D735" i="1"/>
  <c r="C735" i="1"/>
  <c r="E734" i="1"/>
  <c r="D734" i="1"/>
  <c r="C734" i="1"/>
  <c r="E733" i="1"/>
  <c r="D733" i="1"/>
  <c r="C733" i="1"/>
  <c r="E732" i="1"/>
  <c r="D732" i="1"/>
  <c r="C732" i="1"/>
  <c r="E731" i="1"/>
  <c r="D731" i="1"/>
  <c r="C731" i="1"/>
  <c r="E730" i="1"/>
  <c r="D730" i="1"/>
  <c r="C730" i="1"/>
  <c r="E729" i="1"/>
  <c r="D729" i="1"/>
  <c r="C729" i="1"/>
  <c r="E728" i="1"/>
  <c r="D728" i="1"/>
  <c r="C728" i="1"/>
  <c r="E727" i="1"/>
  <c r="D727" i="1"/>
  <c r="C727" i="1"/>
  <c r="E726" i="1"/>
  <c r="D726" i="1"/>
  <c r="C726" i="1"/>
  <c r="E725" i="1"/>
  <c r="D725" i="1"/>
  <c r="C725" i="1"/>
  <c r="E724" i="1"/>
  <c r="D724" i="1"/>
  <c r="C724" i="1"/>
  <c r="E723" i="1"/>
  <c r="D723" i="1"/>
  <c r="C723" i="1"/>
  <c r="E722" i="1"/>
  <c r="D722" i="1"/>
  <c r="C722" i="1"/>
  <c r="E721" i="1"/>
  <c r="D721" i="1"/>
  <c r="C721" i="1"/>
  <c r="E720" i="1"/>
  <c r="D720" i="1"/>
  <c r="C720" i="1"/>
  <c r="E719" i="1"/>
  <c r="D719" i="1"/>
  <c r="C719" i="1"/>
  <c r="E718" i="1"/>
  <c r="D718" i="1"/>
  <c r="C718" i="1"/>
  <c r="E717" i="1"/>
  <c r="D717" i="1"/>
  <c r="C717" i="1"/>
  <c r="E716" i="1"/>
  <c r="D716" i="1"/>
  <c r="C716" i="1"/>
  <c r="E715" i="1"/>
  <c r="D715" i="1"/>
  <c r="C715" i="1"/>
  <c r="E714" i="1"/>
  <c r="D714" i="1"/>
  <c r="C714" i="1"/>
  <c r="E713" i="1"/>
  <c r="D713" i="1"/>
  <c r="C713" i="1"/>
  <c r="E712" i="1"/>
  <c r="D712" i="1"/>
  <c r="C712" i="1"/>
  <c r="E711" i="1"/>
  <c r="D711" i="1"/>
  <c r="C711" i="1"/>
  <c r="E710" i="1"/>
  <c r="D710" i="1"/>
  <c r="C710" i="1"/>
  <c r="E709" i="1"/>
  <c r="D709" i="1"/>
  <c r="C709" i="1"/>
  <c r="E708" i="1"/>
  <c r="D708" i="1"/>
  <c r="C708" i="1"/>
  <c r="E707" i="1"/>
  <c r="D707" i="1"/>
  <c r="C707" i="1"/>
  <c r="E706" i="1"/>
  <c r="D706" i="1"/>
  <c r="C706" i="1"/>
  <c r="E705" i="1"/>
  <c r="D705" i="1"/>
  <c r="C705" i="1"/>
  <c r="E704" i="1"/>
  <c r="D704" i="1"/>
  <c r="C704" i="1"/>
  <c r="E703" i="1"/>
  <c r="D703" i="1"/>
  <c r="C703" i="1"/>
  <c r="E702" i="1"/>
  <c r="D702" i="1"/>
  <c r="C702" i="1"/>
  <c r="E701" i="1"/>
  <c r="D701" i="1"/>
  <c r="C701" i="1"/>
  <c r="E700" i="1"/>
  <c r="D700" i="1"/>
  <c r="C700" i="1"/>
  <c r="E699" i="1"/>
  <c r="D699" i="1"/>
  <c r="C699" i="1"/>
  <c r="E698" i="1"/>
  <c r="D698" i="1"/>
  <c r="C698" i="1"/>
  <c r="E697" i="1"/>
  <c r="D697" i="1"/>
  <c r="C697" i="1"/>
  <c r="E696" i="1"/>
  <c r="D696" i="1"/>
  <c r="C696" i="1"/>
  <c r="E695" i="1"/>
  <c r="D695" i="1"/>
  <c r="C695" i="1"/>
  <c r="E694" i="1"/>
  <c r="D694" i="1"/>
  <c r="C694" i="1"/>
  <c r="E693" i="1"/>
  <c r="D693" i="1"/>
  <c r="C693" i="1"/>
  <c r="E692" i="1"/>
  <c r="D692" i="1"/>
  <c r="C692" i="1"/>
  <c r="E691" i="1"/>
  <c r="D691" i="1"/>
  <c r="C691" i="1"/>
  <c r="E690" i="1"/>
  <c r="D690" i="1"/>
  <c r="C690" i="1"/>
  <c r="E689" i="1"/>
  <c r="D689" i="1"/>
  <c r="C689" i="1"/>
  <c r="E688" i="1"/>
  <c r="D688" i="1"/>
  <c r="C688" i="1"/>
  <c r="E687" i="1"/>
  <c r="D687" i="1"/>
  <c r="C687" i="1"/>
  <c r="E686" i="1"/>
  <c r="D686" i="1"/>
  <c r="C686" i="1"/>
  <c r="E685" i="1"/>
  <c r="D685" i="1"/>
  <c r="C685" i="1"/>
  <c r="E684" i="1"/>
  <c r="D684" i="1"/>
  <c r="C684" i="1"/>
  <c r="E683" i="1"/>
  <c r="D683" i="1"/>
  <c r="C683" i="1"/>
  <c r="E682" i="1"/>
  <c r="D682" i="1"/>
  <c r="C682" i="1"/>
  <c r="E681" i="1"/>
  <c r="D681" i="1"/>
  <c r="C681" i="1"/>
  <c r="E680" i="1"/>
  <c r="D680" i="1"/>
  <c r="C680" i="1"/>
  <c r="E679" i="1"/>
  <c r="D679" i="1"/>
  <c r="C679" i="1"/>
  <c r="E678" i="1"/>
  <c r="D678" i="1"/>
  <c r="C678" i="1"/>
  <c r="E677" i="1"/>
  <c r="D677" i="1"/>
  <c r="C677" i="1"/>
  <c r="E676" i="1"/>
  <c r="D676" i="1"/>
  <c r="C676" i="1"/>
  <c r="E675" i="1"/>
  <c r="D675" i="1"/>
  <c r="C675" i="1"/>
  <c r="E674" i="1"/>
  <c r="D674" i="1"/>
  <c r="C674" i="1"/>
  <c r="E673" i="1"/>
  <c r="D673" i="1"/>
  <c r="C673" i="1"/>
  <c r="E672" i="1"/>
  <c r="D672" i="1"/>
  <c r="C672" i="1"/>
  <c r="E671" i="1"/>
  <c r="D671" i="1"/>
  <c r="C671" i="1"/>
  <c r="E670" i="1"/>
  <c r="D670" i="1"/>
  <c r="C670" i="1"/>
  <c r="E669" i="1"/>
  <c r="D669" i="1"/>
  <c r="C669" i="1"/>
  <c r="E668" i="1"/>
  <c r="D668" i="1"/>
  <c r="C668" i="1"/>
  <c r="E667" i="1"/>
  <c r="D667" i="1"/>
  <c r="C667" i="1"/>
  <c r="E666" i="1"/>
  <c r="D666" i="1"/>
  <c r="C666" i="1"/>
  <c r="E665" i="1"/>
  <c r="D665" i="1"/>
  <c r="C665" i="1"/>
  <c r="E664" i="1"/>
  <c r="D664" i="1"/>
  <c r="C664" i="1"/>
  <c r="E663" i="1"/>
  <c r="D663" i="1"/>
  <c r="C663" i="1"/>
  <c r="E662" i="1"/>
  <c r="D662" i="1"/>
  <c r="C662" i="1"/>
  <c r="E661" i="1"/>
  <c r="D661" i="1"/>
  <c r="C661" i="1"/>
  <c r="E660" i="1"/>
  <c r="D660" i="1"/>
  <c r="C660" i="1"/>
  <c r="E659" i="1"/>
  <c r="D659" i="1"/>
  <c r="C659" i="1"/>
  <c r="E658" i="1"/>
  <c r="D658" i="1"/>
  <c r="C658" i="1"/>
  <c r="E657" i="1"/>
  <c r="D657" i="1"/>
  <c r="C657" i="1"/>
  <c r="E656" i="1"/>
  <c r="D656" i="1"/>
  <c r="C656" i="1"/>
  <c r="E655" i="1"/>
  <c r="D655" i="1"/>
  <c r="C655" i="1"/>
  <c r="E654" i="1"/>
  <c r="D654" i="1"/>
  <c r="C654" i="1"/>
  <c r="E653" i="1"/>
  <c r="D653" i="1"/>
  <c r="C653" i="1"/>
  <c r="E652" i="1"/>
  <c r="D652" i="1"/>
  <c r="C652" i="1"/>
  <c r="E651" i="1"/>
  <c r="D651" i="1"/>
  <c r="C651" i="1"/>
  <c r="E650" i="1"/>
  <c r="D650" i="1"/>
  <c r="C650" i="1"/>
  <c r="E649" i="1"/>
  <c r="D649" i="1"/>
  <c r="C649" i="1"/>
  <c r="E648" i="1"/>
  <c r="D648" i="1"/>
  <c r="C648" i="1"/>
  <c r="E647" i="1"/>
  <c r="D647" i="1"/>
  <c r="C647" i="1"/>
  <c r="E646" i="1"/>
  <c r="D646" i="1"/>
  <c r="C646" i="1"/>
  <c r="E645" i="1"/>
  <c r="D645" i="1"/>
  <c r="C645" i="1"/>
  <c r="E644" i="1"/>
  <c r="D644" i="1"/>
  <c r="C644" i="1"/>
  <c r="E643" i="1"/>
  <c r="D643" i="1"/>
  <c r="C643" i="1"/>
  <c r="E642" i="1"/>
  <c r="D642" i="1"/>
  <c r="C642" i="1"/>
  <c r="E641" i="1"/>
  <c r="D641" i="1"/>
  <c r="C641" i="1"/>
  <c r="E640" i="1"/>
  <c r="D640" i="1"/>
  <c r="C640" i="1"/>
  <c r="E639" i="1"/>
  <c r="D639" i="1"/>
  <c r="C639" i="1"/>
  <c r="E638" i="1"/>
  <c r="D638" i="1"/>
  <c r="C638" i="1"/>
  <c r="E637" i="1"/>
  <c r="D637" i="1"/>
  <c r="C637" i="1"/>
  <c r="E636" i="1"/>
  <c r="D636" i="1"/>
  <c r="C636" i="1"/>
  <c r="E635" i="1"/>
  <c r="D635" i="1"/>
  <c r="C635" i="1"/>
  <c r="E634" i="1"/>
  <c r="D634" i="1"/>
  <c r="C634" i="1"/>
  <c r="E633" i="1"/>
  <c r="D633" i="1"/>
  <c r="C633" i="1"/>
  <c r="E632" i="1"/>
  <c r="D632" i="1"/>
  <c r="C632" i="1"/>
  <c r="E631" i="1"/>
  <c r="D631" i="1"/>
  <c r="C631" i="1"/>
  <c r="E630" i="1"/>
  <c r="D630" i="1"/>
  <c r="C630" i="1"/>
  <c r="E629" i="1"/>
  <c r="D629" i="1"/>
  <c r="C629" i="1"/>
  <c r="E628" i="1"/>
  <c r="D628" i="1"/>
  <c r="C628" i="1"/>
  <c r="E627" i="1"/>
  <c r="D627" i="1"/>
  <c r="C627" i="1"/>
  <c r="E626" i="1"/>
  <c r="D626" i="1"/>
  <c r="C626" i="1"/>
  <c r="E625" i="1"/>
  <c r="D625" i="1"/>
  <c r="C625" i="1"/>
  <c r="E624" i="1"/>
  <c r="D624" i="1"/>
  <c r="C624" i="1"/>
  <c r="E623" i="1"/>
  <c r="D623" i="1"/>
  <c r="C623" i="1"/>
  <c r="E622" i="1"/>
  <c r="D622" i="1"/>
  <c r="C622" i="1"/>
  <c r="E621" i="1"/>
  <c r="D621" i="1"/>
  <c r="C621" i="1"/>
  <c r="E620" i="1"/>
  <c r="D620" i="1"/>
  <c r="C620" i="1"/>
  <c r="E619" i="1"/>
  <c r="D619" i="1"/>
  <c r="C619" i="1"/>
  <c r="E618" i="1"/>
  <c r="D618" i="1"/>
  <c r="C618" i="1"/>
  <c r="E617" i="1"/>
  <c r="D617" i="1"/>
  <c r="C617" i="1"/>
  <c r="E616" i="1"/>
  <c r="D616" i="1"/>
  <c r="C616" i="1"/>
  <c r="E615" i="1"/>
  <c r="D615" i="1"/>
  <c r="C615" i="1"/>
  <c r="E614" i="1"/>
  <c r="D614" i="1"/>
  <c r="C614" i="1"/>
  <c r="E613" i="1"/>
  <c r="D613" i="1"/>
  <c r="C613" i="1"/>
  <c r="E612" i="1"/>
  <c r="D612" i="1"/>
  <c r="C612" i="1"/>
  <c r="E611" i="1"/>
  <c r="D611" i="1"/>
  <c r="C611" i="1"/>
  <c r="E610" i="1"/>
  <c r="D610" i="1"/>
  <c r="C610" i="1"/>
  <c r="E609" i="1"/>
  <c r="D609" i="1"/>
  <c r="C609" i="1"/>
  <c r="E608" i="1"/>
  <c r="D608" i="1"/>
  <c r="C608" i="1"/>
  <c r="E607" i="1"/>
  <c r="D607" i="1"/>
  <c r="C607" i="1"/>
  <c r="E606" i="1"/>
  <c r="D606" i="1"/>
  <c r="C606" i="1"/>
  <c r="E605" i="1"/>
  <c r="D605" i="1"/>
  <c r="C605" i="1"/>
  <c r="E604" i="1"/>
  <c r="D604" i="1"/>
  <c r="C604" i="1"/>
  <c r="E603" i="1"/>
  <c r="D603" i="1"/>
  <c r="C603" i="1"/>
  <c r="E602" i="1"/>
  <c r="D602" i="1"/>
  <c r="C602" i="1"/>
  <c r="E601" i="1"/>
  <c r="D601" i="1"/>
  <c r="C601" i="1"/>
  <c r="E600" i="1"/>
  <c r="D600" i="1"/>
  <c r="C600" i="1"/>
  <c r="E599" i="1"/>
  <c r="D599" i="1"/>
  <c r="C599" i="1"/>
  <c r="E598" i="1"/>
  <c r="D598" i="1"/>
  <c r="C598" i="1"/>
  <c r="E597" i="1"/>
  <c r="D597" i="1"/>
  <c r="C597" i="1"/>
  <c r="E596" i="1"/>
  <c r="D596" i="1"/>
  <c r="C596" i="1"/>
  <c r="E595" i="1"/>
  <c r="D595" i="1"/>
  <c r="C595" i="1"/>
  <c r="E594" i="1"/>
  <c r="D594" i="1"/>
  <c r="C594" i="1"/>
  <c r="E593" i="1"/>
  <c r="D593" i="1"/>
  <c r="C593" i="1"/>
  <c r="E592" i="1"/>
  <c r="D592" i="1"/>
  <c r="C592" i="1"/>
  <c r="E591" i="1"/>
  <c r="D591" i="1"/>
  <c r="C591" i="1"/>
  <c r="E590" i="1"/>
  <c r="D590" i="1"/>
  <c r="C590" i="1"/>
  <c r="E589" i="1"/>
  <c r="D589" i="1"/>
  <c r="C589" i="1"/>
  <c r="E588" i="1"/>
  <c r="D588" i="1"/>
  <c r="C588" i="1"/>
  <c r="E587" i="1"/>
  <c r="D587" i="1"/>
  <c r="C587" i="1"/>
  <c r="E586" i="1"/>
  <c r="D586" i="1"/>
  <c r="C586" i="1"/>
  <c r="E585" i="1"/>
  <c r="D585" i="1"/>
  <c r="C585" i="1"/>
  <c r="E584" i="1"/>
  <c r="D584" i="1"/>
  <c r="C584" i="1"/>
  <c r="E583" i="1"/>
  <c r="D583" i="1"/>
  <c r="C583" i="1"/>
  <c r="E582" i="1"/>
  <c r="D582" i="1"/>
  <c r="C582" i="1"/>
  <c r="E581" i="1"/>
  <c r="D581" i="1"/>
  <c r="C581" i="1"/>
  <c r="E580" i="1"/>
  <c r="D580" i="1"/>
  <c r="C580" i="1"/>
  <c r="E579" i="1"/>
  <c r="D579" i="1"/>
  <c r="C579" i="1"/>
  <c r="E578" i="1"/>
  <c r="D578" i="1"/>
  <c r="C578" i="1"/>
  <c r="E577" i="1"/>
  <c r="D577" i="1"/>
  <c r="C577" i="1"/>
  <c r="E576" i="1"/>
  <c r="D576" i="1"/>
  <c r="C576" i="1"/>
  <c r="E575" i="1"/>
  <c r="D575" i="1"/>
  <c r="C575" i="1"/>
  <c r="E574" i="1"/>
  <c r="D574" i="1"/>
  <c r="C574" i="1"/>
  <c r="E573" i="1"/>
  <c r="D573" i="1"/>
  <c r="C573" i="1"/>
  <c r="E572" i="1"/>
  <c r="D572" i="1"/>
  <c r="C572" i="1"/>
  <c r="E571" i="1"/>
  <c r="D571" i="1"/>
  <c r="C571" i="1"/>
  <c r="E570" i="1"/>
  <c r="D570" i="1"/>
  <c r="C570" i="1"/>
  <c r="E569" i="1"/>
  <c r="D569" i="1"/>
  <c r="C569" i="1"/>
  <c r="E568" i="1"/>
  <c r="D568" i="1"/>
  <c r="C568" i="1"/>
  <c r="E567" i="1"/>
  <c r="D567" i="1"/>
  <c r="C567" i="1"/>
  <c r="E566" i="1"/>
  <c r="D566" i="1"/>
  <c r="C566" i="1"/>
  <c r="E565" i="1"/>
  <c r="D565" i="1"/>
  <c r="C565" i="1"/>
  <c r="E564" i="1"/>
  <c r="D564" i="1"/>
  <c r="C564" i="1"/>
  <c r="E563" i="1"/>
  <c r="D563" i="1"/>
  <c r="C563" i="1"/>
  <c r="E562" i="1"/>
  <c r="D562" i="1"/>
  <c r="C562" i="1"/>
  <c r="E561" i="1"/>
  <c r="D561" i="1"/>
  <c r="C561" i="1"/>
  <c r="E560" i="1"/>
  <c r="D560" i="1"/>
  <c r="C560" i="1"/>
  <c r="E559" i="1"/>
  <c r="D559" i="1"/>
  <c r="C559" i="1"/>
  <c r="E558" i="1"/>
  <c r="D558" i="1"/>
  <c r="C558" i="1"/>
  <c r="E557" i="1"/>
  <c r="D557" i="1"/>
  <c r="C557" i="1"/>
  <c r="E556" i="1"/>
  <c r="D556" i="1"/>
  <c r="C556" i="1"/>
  <c r="E555" i="1"/>
  <c r="D555" i="1"/>
  <c r="C555" i="1"/>
  <c r="E554" i="1"/>
  <c r="D554" i="1"/>
  <c r="C554" i="1"/>
  <c r="E553" i="1"/>
  <c r="D553" i="1"/>
  <c r="C553" i="1"/>
  <c r="E552" i="1"/>
  <c r="D552" i="1"/>
  <c r="C552" i="1"/>
  <c r="E551" i="1"/>
  <c r="D551" i="1"/>
  <c r="C551" i="1"/>
  <c r="E550" i="1"/>
  <c r="D550" i="1"/>
  <c r="C550" i="1"/>
  <c r="E549" i="1"/>
  <c r="D549" i="1"/>
  <c r="C549" i="1"/>
  <c r="E548" i="1"/>
  <c r="D548" i="1"/>
  <c r="C548" i="1"/>
  <c r="E547" i="1"/>
  <c r="D547" i="1"/>
  <c r="C547" i="1"/>
  <c r="E546" i="1"/>
  <c r="D546" i="1"/>
  <c r="C546" i="1"/>
  <c r="E545" i="1"/>
  <c r="D545" i="1"/>
  <c r="C545" i="1"/>
  <c r="E544" i="1"/>
  <c r="D544" i="1"/>
  <c r="C544" i="1"/>
  <c r="E543" i="1"/>
  <c r="D543" i="1"/>
  <c r="C543" i="1"/>
  <c r="E542" i="1"/>
  <c r="D542" i="1"/>
  <c r="C542" i="1"/>
  <c r="E541" i="1"/>
  <c r="D541" i="1"/>
  <c r="C541" i="1"/>
  <c r="E540" i="1"/>
  <c r="D540" i="1"/>
  <c r="C540" i="1"/>
  <c r="E539" i="1"/>
  <c r="D539" i="1"/>
  <c r="C539" i="1"/>
  <c r="E538" i="1"/>
  <c r="D538" i="1"/>
  <c r="C538" i="1"/>
  <c r="E537" i="1"/>
  <c r="D537" i="1"/>
  <c r="C537" i="1"/>
  <c r="E536" i="1"/>
  <c r="D536" i="1"/>
  <c r="C536" i="1"/>
  <c r="E535" i="1"/>
  <c r="D535" i="1"/>
  <c r="C535" i="1"/>
  <c r="E534" i="1"/>
  <c r="D534" i="1"/>
  <c r="C534" i="1"/>
  <c r="E533" i="1"/>
  <c r="D533" i="1"/>
  <c r="C533" i="1"/>
  <c r="E532" i="1"/>
  <c r="D532" i="1"/>
  <c r="C532" i="1"/>
  <c r="E531" i="1"/>
  <c r="D531" i="1"/>
  <c r="C531" i="1"/>
  <c r="E530" i="1"/>
  <c r="D530" i="1"/>
  <c r="C530" i="1"/>
  <c r="E529" i="1"/>
  <c r="D529" i="1"/>
  <c r="C529" i="1"/>
  <c r="E528" i="1"/>
  <c r="D528" i="1"/>
  <c r="C528" i="1"/>
  <c r="E527" i="1"/>
  <c r="D527" i="1"/>
  <c r="C527" i="1"/>
  <c r="E526" i="1"/>
  <c r="D526" i="1"/>
  <c r="C526" i="1"/>
  <c r="E525" i="1"/>
  <c r="D525" i="1"/>
  <c r="C525" i="1"/>
  <c r="E524" i="1"/>
  <c r="D524" i="1"/>
  <c r="C524" i="1"/>
  <c r="E523" i="1"/>
  <c r="D523" i="1"/>
  <c r="C523" i="1"/>
  <c r="E522" i="1"/>
  <c r="D522" i="1"/>
  <c r="C522" i="1"/>
  <c r="E521" i="1"/>
  <c r="D521" i="1"/>
  <c r="C521" i="1"/>
  <c r="E520" i="1"/>
  <c r="D520" i="1"/>
  <c r="C520" i="1"/>
  <c r="E519" i="1"/>
  <c r="D519" i="1"/>
  <c r="C519" i="1"/>
  <c r="E518" i="1"/>
  <c r="D518" i="1"/>
  <c r="C518" i="1"/>
  <c r="E517" i="1"/>
  <c r="D517" i="1"/>
  <c r="C517" i="1"/>
  <c r="E516" i="1"/>
  <c r="D516" i="1"/>
  <c r="C516" i="1"/>
  <c r="E515" i="1"/>
  <c r="D515" i="1"/>
  <c r="C515" i="1"/>
  <c r="E514" i="1"/>
  <c r="D514" i="1"/>
  <c r="C514" i="1"/>
  <c r="E513" i="1"/>
  <c r="D513" i="1"/>
  <c r="C513" i="1"/>
  <c r="E512" i="1"/>
  <c r="D512" i="1"/>
  <c r="C512" i="1"/>
  <c r="E511" i="1"/>
  <c r="D511" i="1"/>
  <c r="C511" i="1"/>
  <c r="E510" i="1"/>
  <c r="D510" i="1"/>
  <c r="C510" i="1"/>
  <c r="E509" i="1"/>
  <c r="D509" i="1"/>
  <c r="C509" i="1"/>
  <c r="E508" i="1"/>
  <c r="D508" i="1"/>
  <c r="C508" i="1"/>
  <c r="E507" i="1"/>
  <c r="D507" i="1"/>
  <c r="C507" i="1"/>
  <c r="E506" i="1"/>
  <c r="D506" i="1"/>
  <c r="C506" i="1"/>
  <c r="E505" i="1"/>
  <c r="D505" i="1"/>
  <c r="C505" i="1"/>
  <c r="E504" i="1"/>
  <c r="D504" i="1"/>
  <c r="C504" i="1"/>
  <c r="E503" i="1"/>
  <c r="D503" i="1"/>
  <c r="C503" i="1"/>
  <c r="E502" i="1"/>
  <c r="D502" i="1"/>
  <c r="C502" i="1"/>
  <c r="E501" i="1"/>
  <c r="D501" i="1"/>
  <c r="C501" i="1"/>
  <c r="E500" i="1"/>
  <c r="D500" i="1"/>
  <c r="C500" i="1"/>
  <c r="E499" i="1"/>
  <c r="D499" i="1"/>
  <c r="C499" i="1"/>
  <c r="E498" i="1"/>
  <c r="D498" i="1"/>
  <c r="C498" i="1"/>
  <c r="E497" i="1"/>
  <c r="D497" i="1"/>
  <c r="C497" i="1"/>
  <c r="E496" i="1"/>
  <c r="D496" i="1"/>
  <c r="C496" i="1"/>
  <c r="E495" i="1"/>
  <c r="D495" i="1"/>
  <c r="C495" i="1"/>
  <c r="E494" i="1"/>
  <c r="D494" i="1"/>
  <c r="C494" i="1"/>
  <c r="E493" i="1"/>
  <c r="D493" i="1"/>
  <c r="C493" i="1"/>
  <c r="E492" i="1"/>
  <c r="D492" i="1"/>
  <c r="C492" i="1"/>
  <c r="E491" i="1"/>
  <c r="D491" i="1"/>
  <c r="C491" i="1"/>
  <c r="E490" i="1"/>
  <c r="D490" i="1"/>
  <c r="C490" i="1"/>
  <c r="E489" i="1"/>
  <c r="D489" i="1"/>
  <c r="C489" i="1"/>
  <c r="E488" i="1"/>
  <c r="D488" i="1"/>
  <c r="C488" i="1"/>
  <c r="E487" i="1"/>
  <c r="D487" i="1"/>
  <c r="C487" i="1"/>
  <c r="E486" i="1"/>
  <c r="D486" i="1"/>
  <c r="C486" i="1"/>
  <c r="E485" i="1"/>
  <c r="D485" i="1"/>
  <c r="C485" i="1"/>
  <c r="E484" i="1"/>
  <c r="D484" i="1"/>
  <c r="C484" i="1"/>
  <c r="E483" i="1"/>
  <c r="D483" i="1"/>
  <c r="C483" i="1"/>
  <c r="E482" i="1"/>
  <c r="D482" i="1"/>
  <c r="C482" i="1"/>
  <c r="E481" i="1"/>
  <c r="D481" i="1"/>
  <c r="C481" i="1"/>
  <c r="E480" i="1"/>
  <c r="D480" i="1"/>
  <c r="C480" i="1"/>
  <c r="E479" i="1"/>
  <c r="D479" i="1"/>
  <c r="C479" i="1"/>
  <c r="E478" i="1"/>
  <c r="D478" i="1"/>
  <c r="C478" i="1"/>
  <c r="E477" i="1"/>
  <c r="D477" i="1"/>
  <c r="C477" i="1"/>
  <c r="E476" i="1"/>
  <c r="D476" i="1"/>
  <c r="C476" i="1"/>
  <c r="E475" i="1"/>
  <c r="D475" i="1"/>
  <c r="C475" i="1"/>
  <c r="E474" i="1"/>
  <c r="D474" i="1"/>
  <c r="C474" i="1"/>
  <c r="E473" i="1"/>
  <c r="D473" i="1"/>
  <c r="C473" i="1"/>
  <c r="E472" i="1"/>
  <c r="D472" i="1"/>
  <c r="C472" i="1"/>
  <c r="E471" i="1"/>
  <c r="D471" i="1"/>
  <c r="C471" i="1"/>
  <c r="E470" i="1"/>
  <c r="D470" i="1"/>
  <c r="C470" i="1"/>
  <c r="E469" i="1"/>
  <c r="D469" i="1"/>
  <c r="C469" i="1"/>
  <c r="E468" i="1"/>
  <c r="D468" i="1"/>
  <c r="C468" i="1"/>
  <c r="E467" i="1"/>
  <c r="D467" i="1"/>
  <c r="C467" i="1"/>
  <c r="E466" i="1"/>
  <c r="D466" i="1"/>
  <c r="C466" i="1"/>
  <c r="E465" i="1"/>
  <c r="D465" i="1"/>
  <c r="C465" i="1"/>
  <c r="E464" i="1"/>
  <c r="D464" i="1"/>
  <c r="C464" i="1"/>
  <c r="E463" i="1"/>
  <c r="D463" i="1"/>
  <c r="C463" i="1"/>
  <c r="E462" i="1"/>
  <c r="D462" i="1"/>
  <c r="C462" i="1"/>
  <c r="E461" i="1"/>
  <c r="D461" i="1"/>
  <c r="C461" i="1"/>
  <c r="E460" i="1"/>
  <c r="D460" i="1"/>
  <c r="C460" i="1"/>
  <c r="E459" i="1"/>
  <c r="D459" i="1"/>
  <c r="C459" i="1"/>
  <c r="E458" i="1"/>
  <c r="D458" i="1"/>
  <c r="C458" i="1"/>
  <c r="E457" i="1"/>
  <c r="D457" i="1"/>
  <c r="C457" i="1"/>
  <c r="E456" i="1"/>
  <c r="D456" i="1"/>
  <c r="C456" i="1"/>
  <c r="E455" i="1"/>
  <c r="D455" i="1"/>
  <c r="C455" i="1"/>
  <c r="E454" i="1"/>
  <c r="D454" i="1"/>
  <c r="C454" i="1"/>
  <c r="E453" i="1"/>
  <c r="D453" i="1"/>
  <c r="C453" i="1"/>
  <c r="E452" i="1"/>
  <c r="D452" i="1"/>
  <c r="C452" i="1"/>
  <c r="E451" i="1"/>
  <c r="D451" i="1"/>
  <c r="C451" i="1"/>
  <c r="E450" i="1"/>
  <c r="D450" i="1"/>
  <c r="C450" i="1"/>
  <c r="E449" i="1"/>
  <c r="D449" i="1"/>
  <c r="C449" i="1"/>
  <c r="E448" i="1"/>
  <c r="D448" i="1"/>
  <c r="C448" i="1"/>
  <c r="E447" i="1"/>
  <c r="D447" i="1"/>
  <c r="C447" i="1"/>
  <c r="E446" i="1"/>
  <c r="D446" i="1"/>
  <c r="C446" i="1"/>
  <c r="E445" i="1"/>
  <c r="D445" i="1"/>
  <c r="C445" i="1"/>
  <c r="E444" i="1"/>
  <c r="D444" i="1"/>
  <c r="C444" i="1"/>
  <c r="E443" i="1"/>
  <c r="D443" i="1"/>
  <c r="C443" i="1"/>
  <c r="E442" i="1"/>
  <c r="D442" i="1"/>
  <c r="C442" i="1"/>
  <c r="E441" i="1"/>
  <c r="D441" i="1"/>
  <c r="C441" i="1"/>
  <c r="E440" i="1"/>
  <c r="D440" i="1"/>
  <c r="C440" i="1"/>
  <c r="E439" i="1"/>
  <c r="D439" i="1"/>
  <c r="C439" i="1"/>
  <c r="E438" i="1"/>
  <c r="D438" i="1"/>
  <c r="C438" i="1"/>
  <c r="E437" i="1"/>
  <c r="D437" i="1"/>
  <c r="C437" i="1"/>
  <c r="E436" i="1"/>
  <c r="D436" i="1"/>
  <c r="C436" i="1"/>
  <c r="E435" i="1"/>
  <c r="D435" i="1"/>
  <c r="C435" i="1"/>
  <c r="E434" i="1"/>
  <c r="D434" i="1"/>
  <c r="C434" i="1"/>
  <c r="E433" i="1"/>
  <c r="D433" i="1"/>
  <c r="C433" i="1"/>
  <c r="E432" i="1"/>
  <c r="D432" i="1"/>
  <c r="C432" i="1"/>
  <c r="E431" i="1"/>
  <c r="D431" i="1"/>
  <c r="C431" i="1"/>
  <c r="E430" i="1"/>
  <c r="D430" i="1"/>
  <c r="C430" i="1"/>
  <c r="E429" i="1"/>
  <c r="D429" i="1"/>
  <c r="C429" i="1"/>
  <c r="E428" i="1"/>
  <c r="D428" i="1"/>
  <c r="C428" i="1"/>
  <c r="E427" i="1"/>
  <c r="D427" i="1"/>
  <c r="C427" i="1"/>
  <c r="E426" i="1"/>
  <c r="D426" i="1"/>
  <c r="C426" i="1"/>
  <c r="E425" i="1"/>
  <c r="D425" i="1"/>
  <c r="C425" i="1"/>
  <c r="E424" i="1"/>
  <c r="D424" i="1"/>
  <c r="C424" i="1"/>
  <c r="E423" i="1"/>
  <c r="D423" i="1"/>
  <c r="C423" i="1"/>
  <c r="E422" i="1"/>
  <c r="D422" i="1"/>
  <c r="C422" i="1"/>
  <c r="E421" i="1"/>
  <c r="D421" i="1"/>
  <c r="C421" i="1"/>
  <c r="E420" i="1"/>
  <c r="D420" i="1"/>
  <c r="C420" i="1"/>
  <c r="E419" i="1"/>
  <c r="D419" i="1"/>
  <c r="C419" i="1"/>
  <c r="E418" i="1"/>
  <c r="D418" i="1"/>
  <c r="C418" i="1"/>
  <c r="E417" i="1"/>
  <c r="D417" i="1"/>
  <c r="C417" i="1"/>
  <c r="E416" i="1"/>
  <c r="D416" i="1"/>
  <c r="C416" i="1"/>
  <c r="E415" i="1"/>
  <c r="D415" i="1"/>
  <c r="C415" i="1"/>
  <c r="E414" i="1"/>
  <c r="D414" i="1"/>
  <c r="C414" i="1"/>
  <c r="E413" i="1"/>
  <c r="D413" i="1"/>
  <c r="C413" i="1"/>
  <c r="E412" i="1"/>
  <c r="D412" i="1"/>
  <c r="C412" i="1"/>
  <c r="E411" i="1"/>
  <c r="D411" i="1"/>
  <c r="C411" i="1"/>
  <c r="E410" i="1"/>
  <c r="D410" i="1"/>
  <c r="C410" i="1"/>
  <c r="E409" i="1"/>
  <c r="D409" i="1"/>
  <c r="C409" i="1"/>
  <c r="E408" i="1"/>
  <c r="D408" i="1"/>
  <c r="C408" i="1"/>
  <c r="E407" i="1"/>
  <c r="D407" i="1"/>
  <c r="C407" i="1"/>
  <c r="E406" i="1"/>
  <c r="D406" i="1"/>
  <c r="C406" i="1"/>
  <c r="E405" i="1"/>
  <c r="D405" i="1"/>
  <c r="C405" i="1"/>
  <c r="E404" i="1"/>
  <c r="D404" i="1"/>
  <c r="C404" i="1"/>
  <c r="E403" i="1"/>
  <c r="D403" i="1"/>
  <c r="C403" i="1"/>
  <c r="E402" i="1"/>
  <c r="D402" i="1"/>
  <c r="C402" i="1"/>
  <c r="E401" i="1"/>
  <c r="D401" i="1"/>
  <c r="C401" i="1"/>
  <c r="E400" i="1"/>
  <c r="D400" i="1"/>
  <c r="C400" i="1"/>
  <c r="E399" i="1"/>
  <c r="D399" i="1"/>
  <c r="C399" i="1"/>
  <c r="E398" i="1"/>
  <c r="D398" i="1"/>
  <c r="C398" i="1"/>
  <c r="E397" i="1"/>
  <c r="D397" i="1"/>
  <c r="C397" i="1"/>
  <c r="E396" i="1"/>
  <c r="D396" i="1"/>
  <c r="C396" i="1"/>
  <c r="E395" i="1"/>
  <c r="D395" i="1"/>
  <c r="C395" i="1"/>
  <c r="E394" i="1"/>
  <c r="D394" i="1"/>
  <c r="C394" i="1"/>
  <c r="E393" i="1"/>
  <c r="D393" i="1"/>
  <c r="C393" i="1"/>
  <c r="E392" i="1"/>
  <c r="D392" i="1"/>
  <c r="C392" i="1"/>
  <c r="E391" i="1"/>
  <c r="D391" i="1"/>
  <c r="C391" i="1"/>
  <c r="E390" i="1"/>
  <c r="D390" i="1"/>
  <c r="C390" i="1"/>
  <c r="E389" i="1"/>
  <c r="D389" i="1"/>
  <c r="C389" i="1"/>
  <c r="E388" i="1"/>
  <c r="D388" i="1"/>
  <c r="C388" i="1"/>
  <c r="E387" i="1"/>
  <c r="D387" i="1"/>
  <c r="C387" i="1"/>
  <c r="E386" i="1"/>
  <c r="D386" i="1"/>
  <c r="C386" i="1"/>
  <c r="E385" i="1"/>
  <c r="D385" i="1"/>
  <c r="C385" i="1"/>
  <c r="E384" i="1"/>
  <c r="D384" i="1"/>
  <c r="C384" i="1"/>
  <c r="E383" i="1"/>
  <c r="D383" i="1"/>
  <c r="C383" i="1"/>
  <c r="E382" i="1"/>
  <c r="D382" i="1"/>
  <c r="C382" i="1"/>
  <c r="E381" i="1"/>
  <c r="D381" i="1"/>
  <c r="C381" i="1"/>
  <c r="E380" i="1"/>
  <c r="D380" i="1"/>
  <c r="C380" i="1"/>
  <c r="E379" i="1"/>
  <c r="D379" i="1"/>
  <c r="C379" i="1"/>
  <c r="E378" i="1"/>
  <c r="D378" i="1"/>
  <c r="C378" i="1"/>
  <c r="E377" i="1"/>
  <c r="D377" i="1"/>
  <c r="C377" i="1"/>
  <c r="E376" i="1"/>
  <c r="D376" i="1"/>
  <c r="C376" i="1"/>
  <c r="E375" i="1"/>
  <c r="D375" i="1"/>
  <c r="C375" i="1"/>
  <c r="E374" i="1"/>
  <c r="D374" i="1"/>
  <c r="C374" i="1"/>
  <c r="E373" i="1"/>
  <c r="D373" i="1"/>
  <c r="C373" i="1"/>
  <c r="E372" i="1"/>
  <c r="D372" i="1"/>
  <c r="C372" i="1"/>
  <c r="E371" i="1"/>
  <c r="D371" i="1"/>
  <c r="C371" i="1"/>
  <c r="E370" i="1"/>
  <c r="D370" i="1"/>
  <c r="C370" i="1"/>
  <c r="E369" i="1"/>
  <c r="D369" i="1"/>
  <c r="C369" i="1"/>
  <c r="E368" i="1"/>
  <c r="D368" i="1"/>
  <c r="C368" i="1"/>
  <c r="E367" i="1"/>
  <c r="D367" i="1"/>
  <c r="C367" i="1"/>
  <c r="E366" i="1"/>
  <c r="D366" i="1"/>
  <c r="C366" i="1"/>
  <c r="E365" i="1"/>
  <c r="D365" i="1"/>
  <c r="C365" i="1"/>
  <c r="E364" i="1"/>
  <c r="D364" i="1"/>
  <c r="C364" i="1"/>
  <c r="E363" i="1"/>
  <c r="D363" i="1"/>
  <c r="C363" i="1"/>
  <c r="E362" i="1"/>
  <c r="D362" i="1"/>
  <c r="C362" i="1"/>
  <c r="E361" i="1"/>
  <c r="D361" i="1"/>
  <c r="C361" i="1"/>
  <c r="E360" i="1"/>
  <c r="D360" i="1"/>
  <c r="C360" i="1"/>
  <c r="E359" i="1"/>
  <c r="D359" i="1"/>
  <c r="C359" i="1"/>
  <c r="E358" i="1"/>
  <c r="D358" i="1"/>
  <c r="C358" i="1"/>
  <c r="E357" i="1"/>
  <c r="D357" i="1"/>
  <c r="C357" i="1"/>
  <c r="E356" i="1"/>
  <c r="D356" i="1"/>
  <c r="C356" i="1"/>
  <c r="E355" i="1"/>
  <c r="D355" i="1"/>
  <c r="C355" i="1"/>
  <c r="E354" i="1"/>
  <c r="D354" i="1"/>
  <c r="C354" i="1"/>
  <c r="E353" i="1"/>
  <c r="D353" i="1"/>
  <c r="C353" i="1"/>
  <c r="E352" i="1"/>
  <c r="D352" i="1"/>
  <c r="C352" i="1"/>
  <c r="E351" i="1"/>
  <c r="D351" i="1"/>
  <c r="C351" i="1"/>
  <c r="E350" i="1"/>
  <c r="D350" i="1"/>
  <c r="C350" i="1"/>
  <c r="E349" i="1"/>
  <c r="D349" i="1"/>
  <c r="C349" i="1"/>
  <c r="E348" i="1"/>
  <c r="D348" i="1"/>
  <c r="C348" i="1"/>
  <c r="E347" i="1"/>
  <c r="D347" i="1"/>
  <c r="C347" i="1"/>
  <c r="E346" i="1"/>
  <c r="D346" i="1"/>
  <c r="C346" i="1"/>
  <c r="E345" i="1"/>
  <c r="D345" i="1"/>
  <c r="C345" i="1"/>
  <c r="E344" i="1"/>
  <c r="D344" i="1"/>
  <c r="C344" i="1"/>
  <c r="E343" i="1"/>
  <c r="D343" i="1"/>
  <c r="C343" i="1"/>
  <c r="E342" i="1"/>
  <c r="D342" i="1"/>
  <c r="C342" i="1"/>
  <c r="E341" i="1"/>
  <c r="D341" i="1"/>
  <c r="C341" i="1"/>
  <c r="E340" i="1"/>
  <c r="D340" i="1"/>
  <c r="C340" i="1"/>
  <c r="E339" i="1"/>
  <c r="D339" i="1"/>
  <c r="C339" i="1"/>
  <c r="E338" i="1"/>
  <c r="D338" i="1"/>
  <c r="C338" i="1"/>
  <c r="E337" i="1"/>
  <c r="D337" i="1"/>
  <c r="C337" i="1"/>
  <c r="E336" i="1"/>
  <c r="D336" i="1"/>
  <c r="C336" i="1"/>
  <c r="E335" i="1"/>
  <c r="D335" i="1"/>
  <c r="C335" i="1"/>
  <c r="E334" i="1"/>
  <c r="D334" i="1"/>
  <c r="C334" i="1"/>
  <c r="E333" i="1"/>
  <c r="D333" i="1"/>
  <c r="C333" i="1"/>
  <c r="E332" i="1"/>
  <c r="D332" i="1"/>
  <c r="C332" i="1"/>
  <c r="E331" i="1"/>
  <c r="D331" i="1"/>
  <c r="C331" i="1"/>
  <c r="E330" i="1"/>
  <c r="D330" i="1"/>
  <c r="C330" i="1"/>
  <c r="E329" i="1"/>
  <c r="D329" i="1"/>
  <c r="C329" i="1"/>
  <c r="E328" i="1"/>
  <c r="D328" i="1"/>
  <c r="C328" i="1"/>
  <c r="E327" i="1"/>
  <c r="D327" i="1"/>
  <c r="C327" i="1"/>
  <c r="E326" i="1"/>
  <c r="D326" i="1"/>
  <c r="C326" i="1"/>
  <c r="E325" i="1"/>
  <c r="D325" i="1"/>
  <c r="C325" i="1"/>
  <c r="E324" i="1"/>
  <c r="D324" i="1"/>
  <c r="C324" i="1"/>
  <c r="E323" i="1"/>
  <c r="D323" i="1"/>
  <c r="C323" i="1"/>
  <c r="E322" i="1"/>
  <c r="D322" i="1"/>
  <c r="C322" i="1"/>
  <c r="E321" i="1"/>
  <c r="D321" i="1"/>
  <c r="C321" i="1"/>
  <c r="E320" i="1"/>
  <c r="D320" i="1"/>
  <c r="C320" i="1"/>
  <c r="E319" i="1"/>
  <c r="D319" i="1"/>
  <c r="C319" i="1"/>
  <c r="E318" i="1"/>
  <c r="D318" i="1"/>
  <c r="C318" i="1"/>
  <c r="E317" i="1"/>
  <c r="D317" i="1"/>
  <c r="C317" i="1"/>
  <c r="E316" i="1"/>
  <c r="D316" i="1"/>
  <c r="C316" i="1"/>
  <c r="E315" i="1"/>
  <c r="D315" i="1"/>
  <c r="C315" i="1"/>
  <c r="E314" i="1"/>
  <c r="D314" i="1"/>
  <c r="C314" i="1"/>
  <c r="E313" i="1"/>
  <c r="D313" i="1"/>
  <c r="C313" i="1"/>
  <c r="E312" i="1"/>
  <c r="D312" i="1"/>
  <c r="C312" i="1"/>
  <c r="E311" i="1"/>
  <c r="D311" i="1"/>
  <c r="C311" i="1"/>
  <c r="E310" i="1"/>
  <c r="D310" i="1"/>
  <c r="C310" i="1"/>
  <c r="E309" i="1"/>
  <c r="D309" i="1"/>
  <c r="C309" i="1"/>
  <c r="E308" i="1"/>
  <c r="D308" i="1"/>
  <c r="C308" i="1"/>
  <c r="E307" i="1"/>
  <c r="D307" i="1"/>
  <c r="C307" i="1"/>
  <c r="E306" i="1"/>
  <c r="D306" i="1"/>
  <c r="C306" i="1"/>
  <c r="E305" i="1"/>
  <c r="D305" i="1"/>
  <c r="C305" i="1"/>
  <c r="E304" i="1"/>
  <c r="D304" i="1"/>
  <c r="C304" i="1"/>
  <c r="E303" i="1"/>
  <c r="D303" i="1"/>
  <c r="C303" i="1"/>
  <c r="E302" i="1"/>
  <c r="D302" i="1"/>
  <c r="C302" i="1"/>
  <c r="E301" i="1"/>
  <c r="D301" i="1"/>
  <c r="C301" i="1"/>
  <c r="E300" i="1"/>
  <c r="D300" i="1"/>
  <c r="C300" i="1"/>
  <c r="E299" i="1"/>
  <c r="D299" i="1"/>
  <c r="C299" i="1"/>
  <c r="E298" i="1"/>
  <c r="D298" i="1"/>
  <c r="C298" i="1"/>
  <c r="E297" i="1"/>
  <c r="D297" i="1"/>
  <c r="C297" i="1"/>
  <c r="E296" i="1"/>
  <c r="D296" i="1"/>
  <c r="C296" i="1"/>
  <c r="E295" i="1"/>
  <c r="D295" i="1"/>
  <c r="C295" i="1"/>
  <c r="E294" i="1"/>
  <c r="D294" i="1"/>
  <c r="C294" i="1"/>
  <c r="E293" i="1"/>
  <c r="D293" i="1"/>
  <c r="C293" i="1"/>
  <c r="E292" i="1"/>
  <c r="D292" i="1"/>
  <c r="C292" i="1"/>
  <c r="E291" i="1"/>
  <c r="D291" i="1"/>
  <c r="C291" i="1"/>
  <c r="E290" i="1"/>
  <c r="D290" i="1"/>
  <c r="C290" i="1"/>
  <c r="E289" i="1"/>
  <c r="D289" i="1"/>
  <c r="C289" i="1"/>
  <c r="E288" i="1"/>
  <c r="D288" i="1"/>
  <c r="C288" i="1"/>
  <c r="E287" i="1"/>
  <c r="D287" i="1"/>
  <c r="C287" i="1"/>
  <c r="E286" i="1"/>
  <c r="D286" i="1"/>
  <c r="C286" i="1"/>
  <c r="E285" i="1"/>
  <c r="D285" i="1"/>
  <c r="C285" i="1"/>
  <c r="E284" i="1"/>
  <c r="D284" i="1"/>
  <c r="C284" i="1"/>
  <c r="E283" i="1"/>
  <c r="D283" i="1"/>
  <c r="C283" i="1"/>
  <c r="E282" i="1"/>
  <c r="D282" i="1"/>
  <c r="C282" i="1"/>
  <c r="E281" i="1"/>
  <c r="D281" i="1"/>
  <c r="C281" i="1"/>
  <c r="E280" i="1"/>
  <c r="D280" i="1"/>
  <c r="C280" i="1"/>
  <c r="E279" i="1"/>
  <c r="D279" i="1"/>
  <c r="C279" i="1"/>
  <c r="E278" i="1"/>
  <c r="D278" i="1"/>
  <c r="C278" i="1"/>
  <c r="E277" i="1"/>
  <c r="D277" i="1"/>
  <c r="C277" i="1"/>
  <c r="E276" i="1"/>
  <c r="D276" i="1"/>
  <c r="C276" i="1"/>
  <c r="E275" i="1"/>
  <c r="D275" i="1"/>
  <c r="C275" i="1"/>
  <c r="E274" i="1"/>
  <c r="D274" i="1"/>
  <c r="C274" i="1"/>
  <c r="E273" i="1"/>
  <c r="D273" i="1"/>
  <c r="C273" i="1"/>
  <c r="E272" i="1"/>
  <c r="D272" i="1"/>
  <c r="C272" i="1"/>
  <c r="E271" i="1"/>
  <c r="D271" i="1"/>
  <c r="C271" i="1"/>
  <c r="E270" i="1"/>
  <c r="D270" i="1"/>
  <c r="C270" i="1"/>
  <c r="E269" i="1"/>
  <c r="D269" i="1"/>
  <c r="C269" i="1"/>
  <c r="E268" i="1"/>
  <c r="D268" i="1"/>
  <c r="C268" i="1"/>
  <c r="E267" i="1"/>
  <c r="D267" i="1"/>
  <c r="C267" i="1"/>
  <c r="E266" i="1"/>
  <c r="D266" i="1"/>
  <c r="C266" i="1"/>
  <c r="E265" i="1"/>
  <c r="D265" i="1"/>
  <c r="C265" i="1"/>
  <c r="E264" i="1"/>
  <c r="D264" i="1"/>
  <c r="C264" i="1"/>
  <c r="E263" i="1"/>
  <c r="D263" i="1"/>
  <c r="C263" i="1"/>
  <c r="E262" i="1"/>
  <c r="D262" i="1"/>
  <c r="C262" i="1"/>
  <c r="E261" i="1"/>
  <c r="D261" i="1"/>
  <c r="C261" i="1"/>
  <c r="E260" i="1"/>
  <c r="D260" i="1"/>
  <c r="C260" i="1"/>
  <c r="E259" i="1"/>
  <c r="D259" i="1"/>
  <c r="C259" i="1"/>
  <c r="E258" i="1"/>
  <c r="D258" i="1"/>
  <c r="C258" i="1"/>
  <c r="E257" i="1"/>
  <c r="D257" i="1"/>
  <c r="C257" i="1"/>
  <c r="E256" i="1"/>
  <c r="D256" i="1"/>
  <c r="C256" i="1"/>
  <c r="E255" i="1"/>
  <c r="D255" i="1"/>
  <c r="C255" i="1"/>
  <c r="E254" i="1"/>
  <c r="D254" i="1"/>
  <c r="C254" i="1"/>
  <c r="E253" i="1"/>
  <c r="D253" i="1"/>
  <c r="C253" i="1"/>
  <c r="E252" i="1"/>
  <c r="D252" i="1"/>
  <c r="C252" i="1"/>
  <c r="E251" i="1"/>
  <c r="D251" i="1"/>
  <c r="C251" i="1"/>
  <c r="E250" i="1"/>
  <c r="D250" i="1"/>
  <c r="C250" i="1"/>
  <c r="E249" i="1"/>
  <c r="D249" i="1"/>
  <c r="C249" i="1"/>
  <c r="E248" i="1"/>
  <c r="D248" i="1"/>
  <c r="C248" i="1"/>
  <c r="E247" i="1"/>
  <c r="D247" i="1"/>
  <c r="C247" i="1"/>
  <c r="E246" i="1"/>
  <c r="D246" i="1"/>
  <c r="C246" i="1"/>
  <c r="E245" i="1"/>
  <c r="D245" i="1"/>
  <c r="C245" i="1"/>
  <c r="E244" i="1"/>
  <c r="D244" i="1"/>
  <c r="C244" i="1"/>
  <c r="E243" i="1"/>
  <c r="D243" i="1"/>
  <c r="C243" i="1"/>
  <c r="E242" i="1"/>
  <c r="D242" i="1"/>
  <c r="C242" i="1"/>
  <c r="E241" i="1"/>
  <c r="D241" i="1"/>
  <c r="C241" i="1"/>
  <c r="E240" i="1"/>
  <c r="D240" i="1"/>
  <c r="C240" i="1"/>
  <c r="E239" i="1"/>
  <c r="D239" i="1"/>
  <c r="C239" i="1"/>
  <c r="E238" i="1"/>
  <c r="D238" i="1"/>
  <c r="C238" i="1"/>
  <c r="E237" i="1"/>
  <c r="D237" i="1"/>
  <c r="C237" i="1"/>
  <c r="E236" i="1"/>
  <c r="D236" i="1"/>
  <c r="C236" i="1"/>
  <c r="E235" i="1"/>
  <c r="D235" i="1"/>
  <c r="C235" i="1"/>
  <c r="E234" i="1"/>
  <c r="D234" i="1"/>
  <c r="C234" i="1"/>
  <c r="E233" i="1"/>
  <c r="D233" i="1"/>
  <c r="C233" i="1"/>
  <c r="E232" i="1"/>
  <c r="D232" i="1"/>
  <c r="C232" i="1"/>
  <c r="E231" i="1"/>
  <c r="D231" i="1"/>
  <c r="C231" i="1"/>
  <c r="E230" i="1"/>
  <c r="D230" i="1"/>
  <c r="C230" i="1"/>
  <c r="E229" i="1"/>
  <c r="D229" i="1"/>
  <c r="C229" i="1"/>
  <c r="E228" i="1"/>
  <c r="D228" i="1"/>
  <c r="C228" i="1"/>
  <c r="E227" i="1"/>
  <c r="D227" i="1"/>
  <c r="C227" i="1"/>
  <c r="E226" i="1"/>
  <c r="D226" i="1"/>
  <c r="C226" i="1"/>
  <c r="E225" i="1"/>
  <c r="D225" i="1"/>
  <c r="C225" i="1"/>
  <c r="E224" i="1"/>
  <c r="D224" i="1"/>
  <c r="C224" i="1"/>
  <c r="E223" i="1"/>
  <c r="D223" i="1"/>
  <c r="C223" i="1"/>
  <c r="E222" i="1"/>
  <c r="D222" i="1"/>
  <c r="C222" i="1"/>
  <c r="E221" i="1"/>
  <c r="D221" i="1"/>
  <c r="C221" i="1"/>
  <c r="E220" i="1"/>
  <c r="D220" i="1"/>
  <c r="C220" i="1"/>
  <c r="E219" i="1"/>
  <c r="D219" i="1"/>
  <c r="C219" i="1"/>
  <c r="E218" i="1"/>
  <c r="D218" i="1"/>
  <c r="C218" i="1"/>
  <c r="E217" i="1"/>
  <c r="D217" i="1"/>
  <c r="C217" i="1"/>
  <c r="E216" i="1"/>
  <c r="D216" i="1"/>
  <c r="C216" i="1"/>
  <c r="E215" i="1"/>
  <c r="D215" i="1"/>
  <c r="C215" i="1"/>
  <c r="E214" i="1"/>
  <c r="D214" i="1"/>
  <c r="C214" i="1"/>
  <c r="E213" i="1"/>
  <c r="D213" i="1"/>
  <c r="C213" i="1"/>
  <c r="E212" i="1"/>
  <c r="D212" i="1"/>
  <c r="C212" i="1"/>
  <c r="E211" i="1"/>
  <c r="D211" i="1"/>
  <c r="C211" i="1"/>
  <c r="E210" i="1"/>
  <c r="D210" i="1"/>
  <c r="C210" i="1"/>
  <c r="E209" i="1"/>
  <c r="D209" i="1"/>
  <c r="C209" i="1"/>
  <c r="E208" i="1"/>
  <c r="D208" i="1"/>
  <c r="C208" i="1"/>
  <c r="E207" i="1"/>
  <c r="D207" i="1"/>
  <c r="C207" i="1"/>
  <c r="E206" i="1"/>
  <c r="D206" i="1"/>
  <c r="C206" i="1"/>
  <c r="E205" i="1"/>
  <c r="D205" i="1"/>
  <c r="C205" i="1"/>
  <c r="E204" i="1"/>
  <c r="D204" i="1"/>
  <c r="C204" i="1"/>
  <c r="E203" i="1"/>
  <c r="D203" i="1"/>
  <c r="C203" i="1"/>
  <c r="E202" i="1"/>
  <c r="D202" i="1"/>
  <c r="C202" i="1"/>
  <c r="E201" i="1"/>
  <c r="D201" i="1"/>
  <c r="C201" i="1"/>
  <c r="E200" i="1"/>
  <c r="D200" i="1"/>
  <c r="C200" i="1"/>
  <c r="E199" i="1"/>
  <c r="D199" i="1"/>
  <c r="C199" i="1"/>
  <c r="E198" i="1"/>
  <c r="D198" i="1"/>
  <c r="C198" i="1"/>
  <c r="E197" i="1"/>
  <c r="D197" i="1"/>
  <c r="C197" i="1"/>
  <c r="E196" i="1"/>
  <c r="D196" i="1"/>
  <c r="C196" i="1"/>
  <c r="E195" i="1"/>
  <c r="D195" i="1"/>
  <c r="C195" i="1"/>
  <c r="E194" i="1"/>
  <c r="D194" i="1"/>
  <c r="C194" i="1"/>
  <c r="E193" i="1"/>
  <c r="D193" i="1"/>
  <c r="C193" i="1"/>
  <c r="E192" i="1"/>
  <c r="D192" i="1"/>
  <c r="C192" i="1"/>
  <c r="E191" i="1"/>
  <c r="D191" i="1"/>
  <c r="C191" i="1"/>
  <c r="E190" i="1"/>
  <c r="D190" i="1"/>
  <c r="C190" i="1"/>
  <c r="E189" i="1"/>
  <c r="D189" i="1"/>
  <c r="C189" i="1"/>
  <c r="E188" i="1"/>
  <c r="D188" i="1"/>
  <c r="C188" i="1"/>
  <c r="E187" i="1"/>
  <c r="D187" i="1"/>
  <c r="C187" i="1"/>
  <c r="E186" i="1"/>
  <c r="D186" i="1"/>
  <c r="C186" i="1"/>
  <c r="E185" i="1"/>
  <c r="D185" i="1"/>
  <c r="C185" i="1"/>
  <c r="E184" i="1"/>
  <c r="D184" i="1"/>
  <c r="C184" i="1"/>
  <c r="E183" i="1"/>
  <c r="D183" i="1"/>
  <c r="C183" i="1"/>
  <c r="E182" i="1"/>
  <c r="D182" i="1"/>
  <c r="C182" i="1"/>
  <c r="E181" i="1"/>
  <c r="D181" i="1"/>
  <c r="C181" i="1"/>
  <c r="E180" i="1"/>
  <c r="D180" i="1"/>
  <c r="C180" i="1"/>
  <c r="E179" i="1"/>
  <c r="D179" i="1"/>
  <c r="C179" i="1"/>
  <c r="E178" i="1"/>
  <c r="D178" i="1"/>
  <c r="C178" i="1"/>
  <c r="E177" i="1"/>
  <c r="D177" i="1"/>
  <c r="C177" i="1"/>
  <c r="E176" i="1"/>
  <c r="D176" i="1"/>
  <c r="C176" i="1"/>
  <c r="E175" i="1"/>
  <c r="D175" i="1"/>
  <c r="C175" i="1"/>
  <c r="E174" i="1"/>
  <c r="D174" i="1"/>
  <c r="C174" i="1"/>
  <c r="E173" i="1"/>
  <c r="D173" i="1"/>
  <c r="C173" i="1"/>
  <c r="E172" i="1"/>
  <c r="D172" i="1"/>
  <c r="C172" i="1"/>
  <c r="E171" i="1"/>
  <c r="D171" i="1"/>
  <c r="C171" i="1"/>
  <c r="E170" i="1"/>
  <c r="D170" i="1"/>
  <c r="C170" i="1"/>
  <c r="E169" i="1"/>
  <c r="D169" i="1"/>
  <c r="C169" i="1"/>
  <c r="E168" i="1"/>
  <c r="D168" i="1"/>
  <c r="C168" i="1"/>
  <c r="E167" i="1"/>
  <c r="D167" i="1"/>
  <c r="C167" i="1"/>
  <c r="E166" i="1"/>
  <c r="D166" i="1"/>
  <c r="C166" i="1"/>
  <c r="E165" i="1"/>
  <c r="D165" i="1"/>
  <c r="C165" i="1"/>
  <c r="E164" i="1"/>
  <c r="D164" i="1"/>
  <c r="C164" i="1"/>
  <c r="E163" i="1"/>
  <c r="D163" i="1"/>
  <c r="C163" i="1"/>
  <c r="E162" i="1"/>
  <c r="D162" i="1"/>
  <c r="C162" i="1"/>
  <c r="E161" i="1"/>
  <c r="D161" i="1"/>
  <c r="C161" i="1"/>
  <c r="E160" i="1"/>
  <c r="D160" i="1"/>
  <c r="C160" i="1"/>
  <c r="E159" i="1"/>
  <c r="D159" i="1"/>
  <c r="C159" i="1"/>
  <c r="E158" i="1"/>
  <c r="D158" i="1"/>
  <c r="C158" i="1"/>
  <c r="E157" i="1"/>
  <c r="D157" i="1"/>
  <c r="C157" i="1"/>
  <c r="E156" i="1"/>
  <c r="D156" i="1"/>
  <c r="C156" i="1"/>
  <c r="E155" i="1"/>
  <c r="D155" i="1"/>
  <c r="C155" i="1"/>
  <c r="E154" i="1"/>
  <c r="D154" i="1"/>
  <c r="C154" i="1"/>
  <c r="E153" i="1"/>
  <c r="D153" i="1"/>
  <c r="C153" i="1"/>
  <c r="E152" i="1"/>
  <c r="D152" i="1"/>
  <c r="C152" i="1"/>
  <c r="E151" i="1"/>
  <c r="D151" i="1"/>
  <c r="C151" i="1"/>
  <c r="E150" i="1"/>
  <c r="D150" i="1"/>
  <c r="C150" i="1"/>
  <c r="E149" i="1"/>
  <c r="D149" i="1"/>
  <c r="C149" i="1"/>
  <c r="E148" i="1"/>
  <c r="D148" i="1"/>
  <c r="C148" i="1"/>
  <c r="E147" i="1"/>
  <c r="D147" i="1"/>
  <c r="C147" i="1"/>
  <c r="E146" i="1"/>
  <c r="D146" i="1"/>
  <c r="C146" i="1"/>
  <c r="E145" i="1"/>
  <c r="D145" i="1"/>
  <c r="C145" i="1"/>
  <c r="E144" i="1"/>
  <c r="D144" i="1"/>
  <c r="C144" i="1"/>
  <c r="E143" i="1"/>
  <c r="D143" i="1"/>
  <c r="C143" i="1"/>
  <c r="E142" i="1"/>
  <c r="D142" i="1"/>
  <c r="C142" i="1"/>
  <c r="E141" i="1"/>
  <c r="D141" i="1"/>
  <c r="C141" i="1"/>
  <c r="E140" i="1"/>
  <c r="D140" i="1"/>
  <c r="C140" i="1"/>
  <c r="E139" i="1"/>
  <c r="D139" i="1"/>
  <c r="C139" i="1"/>
  <c r="E138" i="1"/>
  <c r="D138" i="1"/>
  <c r="C138" i="1"/>
  <c r="E137" i="1"/>
  <c r="D137" i="1"/>
  <c r="C137" i="1"/>
  <c r="E136" i="1"/>
  <c r="D136" i="1"/>
  <c r="C136" i="1"/>
  <c r="E135" i="1"/>
  <c r="D135" i="1"/>
  <c r="C135" i="1"/>
  <c r="E134" i="1"/>
  <c r="D134" i="1"/>
  <c r="C134" i="1"/>
  <c r="E133" i="1"/>
  <c r="D133" i="1"/>
  <c r="C133" i="1"/>
  <c r="E132" i="1"/>
  <c r="D132" i="1"/>
  <c r="C132" i="1"/>
  <c r="E131" i="1"/>
  <c r="D131" i="1"/>
  <c r="C131" i="1"/>
  <c r="E130" i="1"/>
  <c r="D130" i="1"/>
  <c r="C130" i="1"/>
  <c r="E129" i="1"/>
  <c r="D129" i="1"/>
  <c r="C129" i="1"/>
  <c r="E128" i="1"/>
  <c r="D128" i="1"/>
  <c r="C128" i="1"/>
  <c r="E127" i="1"/>
  <c r="D127" i="1"/>
  <c r="C127" i="1"/>
  <c r="E126" i="1"/>
  <c r="D126" i="1"/>
  <c r="C126" i="1"/>
  <c r="E125" i="1"/>
  <c r="D125" i="1"/>
  <c r="C125" i="1"/>
  <c r="E124" i="1"/>
  <c r="D124" i="1"/>
  <c r="C124" i="1"/>
  <c r="E123" i="1"/>
  <c r="D123" i="1"/>
  <c r="C123" i="1"/>
  <c r="E122" i="1"/>
  <c r="D122" i="1"/>
  <c r="C122" i="1"/>
  <c r="E121" i="1"/>
  <c r="D121" i="1"/>
  <c r="C121" i="1"/>
  <c r="E120" i="1"/>
  <c r="D120" i="1"/>
  <c r="C120" i="1"/>
  <c r="E119" i="1"/>
  <c r="D119" i="1"/>
  <c r="C119" i="1"/>
  <c r="E118" i="1"/>
  <c r="D118" i="1"/>
  <c r="C118" i="1"/>
  <c r="E117" i="1"/>
  <c r="D117" i="1"/>
  <c r="C117" i="1"/>
  <c r="E116" i="1"/>
  <c r="D116" i="1"/>
  <c r="C116" i="1"/>
  <c r="E115" i="1"/>
  <c r="D115" i="1"/>
  <c r="C115" i="1"/>
  <c r="E114" i="1"/>
  <c r="D114" i="1"/>
  <c r="C114" i="1"/>
  <c r="E113" i="1"/>
  <c r="D113" i="1"/>
  <c r="C113" i="1"/>
  <c r="E112" i="1"/>
  <c r="D112" i="1"/>
  <c r="C112" i="1"/>
  <c r="E111" i="1"/>
  <c r="D111" i="1"/>
  <c r="C111" i="1"/>
  <c r="E110" i="1"/>
  <c r="D110" i="1"/>
  <c r="C110" i="1"/>
  <c r="E109" i="1"/>
  <c r="D109" i="1"/>
  <c r="C109" i="1"/>
  <c r="E108" i="1"/>
  <c r="D108" i="1"/>
  <c r="C108" i="1"/>
  <c r="E107" i="1"/>
  <c r="D107" i="1"/>
  <c r="C107" i="1"/>
  <c r="E106" i="1"/>
  <c r="D106" i="1"/>
  <c r="C106" i="1"/>
  <c r="E105" i="1"/>
  <c r="D105" i="1"/>
  <c r="C105" i="1"/>
  <c r="E104" i="1"/>
  <c r="D104" i="1"/>
  <c r="C104" i="1"/>
  <c r="E103" i="1"/>
  <c r="D103" i="1"/>
  <c r="C103" i="1"/>
  <c r="E102" i="1"/>
  <c r="D102" i="1"/>
  <c r="C102" i="1"/>
  <c r="E101" i="1"/>
  <c r="D101" i="1"/>
  <c r="C101" i="1"/>
  <c r="E100" i="1"/>
  <c r="D100" i="1"/>
  <c r="C100" i="1"/>
  <c r="E99" i="1"/>
  <c r="D99" i="1"/>
  <c r="C99" i="1"/>
  <c r="E98" i="1"/>
  <c r="D98" i="1"/>
  <c r="C98" i="1"/>
  <c r="E97" i="1"/>
  <c r="D97" i="1"/>
  <c r="C97" i="1"/>
  <c r="E96" i="1"/>
  <c r="D96" i="1"/>
  <c r="C96" i="1"/>
  <c r="E95" i="1"/>
  <c r="D95" i="1"/>
  <c r="C95" i="1"/>
  <c r="E94" i="1"/>
  <c r="D94" i="1"/>
  <c r="C94" i="1"/>
  <c r="E93" i="1"/>
  <c r="D93" i="1"/>
  <c r="C93" i="1"/>
  <c r="E92" i="1"/>
  <c r="D92" i="1"/>
  <c r="C92" i="1"/>
  <c r="E91" i="1"/>
  <c r="D91" i="1"/>
  <c r="C91" i="1"/>
  <c r="E90" i="1"/>
  <c r="D90" i="1"/>
  <c r="C90" i="1"/>
  <c r="E89" i="1"/>
  <c r="D89" i="1"/>
  <c r="C89" i="1"/>
  <c r="E88" i="1"/>
  <c r="D88" i="1"/>
  <c r="C88" i="1"/>
  <c r="E87" i="1"/>
  <c r="D87" i="1"/>
  <c r="C87" i="1"/>
  <c r="E86" i="1"/>
  <c r="D86" i="1"/>
  <c r="C86" i="1"/>
  <c r="E85" i="1"/>
  <c r="D85" i="1"/>
  <c r="C85" i="1"/>
  <c r="E84" i="1"/>
  <c r="D84" i="1"/>
  <c r="C84" i="1"/>
  <c r="E83" i="1"/>
  <c r="D83" i="1"/>
  <c r="C83" i="1"/>
  <c r="E82" i="1"/>
  <c r="D82" i="1"/>
  <c r="C82" i="1"/>
  <c r="E81" i="1"/>
  <c r="D81" i="1"/>
  <c r="C81" i="1"/>
  <c r="E80" i="1"/>
  <c r="D80" i="1"/>
  <c r="C80" i="1"/>
  <c r="E79" i="1"/>
  <c r="D79" i="1"/>
  <c r="C79" i="1"/>
  <c r="E78" i="1"/>
  <c r="D78" i="1"/>
  <c r="C78" i="1"/>
  <c r="E77" i="1"/>
  <c r="D77" i="1"/>
  <c r="C77" i="1"/>
  <c r="E76" i="1"/>
  <c r="D76" i="1"/>
  <c r="C76" i="1"/>
  <c r="E75" i="1"/>
  <c r="D75" i="1"/>
  <c r="C75" i="1"/>
  <c r="E74" i="1"/>
  <c r="D74" i="1"/>
  <c r="C74" i="1"/>
  <c r="E73" i="1"/>
  <c r="D73" i="1"/>
  <c r="C73" i="1"/>
  <c r="E72" i="1"/>
  <c r="D72" i="1"/>
  <c r="C72" i="1"/>
  <c r="E71" i="1"/>
  <c r="D71" i="1"/>
  <c r="C71" i="1"/>
  <c r="E70" i="1"/>
  <c r="D70" i="1"/>
  <c r="C70" i="1"/>
  <c r="E69" i="1"/>
  <c r="D69" i="1"/>
  <c r="C69" i="1"/>
  <c r="E68" i="1"/>
  <c r="D68" i="1"/>
  <c r="C68" i="1"/>
  <c r="E67" i="1"/>
  <c r="D67" i="1"/>
  <c r="C67" i="1"/>
  <c r="E66" i="1"/>
  <c r="D66" i="1"/>
  <c r="C66" i="1"/>
  <c r="E65" i="1"/>
  <c r="D65" i="1"/>
  <c r="C65" i="1"/>
  <c r="E64" i="1"/>
  <c r="D64" i="1"/>
  <c r="C64" i="1"/>
  <c r="E63" i="1"/>
  <c r="D63" i="1"/>
  <c r="C63" i="1"/>
  <c r="E62" i="1"/>
  <c r="D62" i="1"/>
  <c r="C62" i="1"/>
  <c r="E61" i="1"/>
  <c r="D61" i="1"/>
  <c r="C61" i="1"/>
  <c r="E60" i="1"/>
  <c r="D60" i="1"/>
  <c r="C60" i="1"/>
  <c r="E59" i="1"/>
  <c r="D59" i="1"/>
  <c r="C59" i="1"/>
  <c r="E58" i="1"/>
  <c r="D58" i="1"/>
  <c r="C58" i="1"/>
  <c r="E57" i="1"/>
  <c r="D57" i="1"/>
  <c r="C57" i="1"/>
  <c r="E56" i="1"/>
  <c r="D56" i="1"/>
  <c r="C56" i="1"/>
  <c r="E55" i="1"/>
  <c r="D55" i="1"/>
  <c r="C55" i="1"/>
  <c r="E54" i="1"/>
  <c r="D54" i="1"/>
  <c r="C54" i="1"/>
  <c r="E53" i="1"/>
  <c r="D53" i="1"/>
  <c r="C53" i="1"/>
  <c r="E52" i="1"/>
  <c r="D52" i="1"/>
  <c r="C52" i="1"/>
  <c r="E51" i="1"/>
  <c r="D51" i="1"/>
  <c r="C51" i="1"/>
  <c r="E50" i="1"/>
  <c r="D50" i="1"/>
  <c r="C50" i="1"/>
  <c r="E49" i="1"/>
  <c r="D49" i="1"/>
  <c r="C49" i="1"/>
  <c r="E48" i="1"/>
  <c r="D48" i="1"/>
  <c r="C48" i="1"/>
  <c r="E47" i="1"/>
  <c r="D47" i="1"/>
  <c r="C47" i="1"/>
  <c r="E46" i="1"/>
  <c r="D46" i="1"/>
  <c r="C46" i="1"/>
  <c r="E45" i="1"/>
  <c r="D45" i="1"/>
  <c r="C45" i="1"/>
  <c r="E44" i="1"/>
  <c r="D44" i="1"/>
  <c r="C44" i="1"/>
  <c r="E43" i="1"/>
  <c r="D43" i="1"/>
  <c r="C43" i="1"/>
  <c r="E42" i="1"/>
  <c r="D42" i="1"/>
  <c r="C42" i="1"/>
  <c r="E41" i="1"/>
  <c r="D41" i="1"/>
  <c r="C41" i="1"/>
  <c r="E40" i="1"/>
  <c r="D40" i="1"/>
  <c r="C40" i="1"/>
  <c r="E39" i="1"/>
  <c r="D39" i="1"/>
  <c r="C39" i="1"/>
  <c r="E38" i="1"/>
  <c r="D38" i="1"/>
  <c r="C38" i="1"/>
  <c r="E37" i="1"/>
  <c r="D37" i="1"/>
  <c r="C37" i="1"/>
  <c r="E36" i="1"/>
  <c r="D36" i="1"/>
  <c r="C36" i="1"/>
  <c r="E35" i="1"/>
  <c r="D35" i="1"/>
  <c r="C35" i="1"/>
  <c r="E34" i="1"/>
  <c r="D34" i="1"/>
  <c r="C34" i="1"/>
  <c r="E33" i="1"/>
  <c r="D33" i="1"/>
  <c r="C33" i="1"/>
  <c r="E32" i="1"/>
  <c r="D32" i="1"/>
  <c r="C32" i="1"/>
  <c r="E31" i="1"/>
  <c r="D31" i="1"/>
  <c r="C31" i="1"/>
  <c r="E30" i="1"/>
  <c r="D30" i="1"/>
  <c r="C30" i="1"/>
  <c r="E29" i="1"/>
  <c r="D29" i="1"/>
  <c r="C29" i="1"/>
  <c r="E28" i="1"/>
  <c r="D28" i="1"/>
  <c r="C28" i="1"/>
  <c r="E27" i="1"/>
  <c r="D27" i="1"/>
  <c r="C27" i="1"/>
  <c r="E26" i="1"/>
  <c r="D26" i="1"/>
  <c r="C26" i="1"/>
  <c r="E25" i="1"/>
  <c r="D25" i="1"/>
  <c r="C25" i="1"/>
  <c r="E24" i="1"/>
  <c r="D24" i="1"/>
  <c r="C24" i="1"/>
  <c r="E23" i="1"/>
  <c r="D23" i="1"/>
  <c r="C23" i="1"/>
  <c r="E22" i="1"/>
  <c r="D22" i="1"/>
  <c r="C22" i="1"/>
  <c r="E21" i="1"/>
  <c r="D21" i="1"/>
  <c r="C21" i="1"/>
  <c r="E20" i="1"/>
  <c r="D20" i="1"/>
  <c r="C20" i="1"/>
  <c r="E19" i="1"/>
  <c r="D19" i="1"/>
  <c r="C19" i="1"/>
  <c r="E18" i="1"/>
  <c r="D18" i="1"/>
  <c r="C18" i="1"/>
  <c r="E17" i="1"/>
  <c r="D17" i="1"/>
  <c r="C17" i="1"/>
  <c r="E16" i="1"/>
  <c r="D16" i="1"/>
  <c r="C16" i="1"/>
  <c r="E15" i="1"/>
  <c r="D15" i="1"/>
  <c r="C15" i="1"/>
  <c r="E14" i="1"/>
  <c r="D14" i="1"/>
  <c r="C14" i="1"/>
  <c r="E13" i="1"/>
  <c r="D13" i="1"/>
  <c r="C13" i="1"/>
  <c r="E12" i="1"/>
  <c r="D12" i="1"/>
  <c r="C12" i="1"/>
  <c r="E11" i="1"/>
  <c r="D11" i="1"/>
  <c r="C11" i="1"/>
  <c r="E10" i="1"/>
  <c r="D10" i="1"/>
  <c r="C10" i="1"/>
  <c r="E9" i="1"/>
  <c r="D9" i="1"/>
  <c r="C9" i="1"/>
  <c r="E8" i="1"/>
  <c r="D8" i="1"/>
  <c r="C8" i="1"/>
  <c r="E7" i="1"/>
  <c r="D7" i="1"/>
  <c r="C7" i="1"/>
  <c r="E6" i="1"/>
  <c r="D6" i="1"/>
  <c r="C6" i="1"/>
  <c r="E5" i="1"/>
  <c r="D5" i="1"/>
  <c r="C5" i="1"/>
  <c r="E4" i="1"/>
  <c r="D4" i="1"/>
  <c r="C4" i="1"/>
  <c r="E3" i="1"/>
  <c r="D3" i="1"/>
  <c r="C3" i="1"/>
  <c r="E2" i="1"/>
  <c r="D2" i="1"/>
  <c r="C2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36" i="1"/>
</calcChain>
</file>

<file path=xl/sharedStrings.xml><?xml version="1.0" encoding="utf-8"?>
<sst xmlns="http://schemas.openxmlformats.org/spreadsheetml/2006/main" count="12146" uniqueCount="2558">
  <si>
    <t>Fornecedor</t>
  </si>
  <si>
    <t xml:space="preserve"> ALLABARD</t>
  </si>
  <si>
    <t xml:space="preserve"> CIMASA IND. COMER.BRNDES</t>
  </si>
  <si>
    <t xml:space="preserve"> INFINIT SOLUCOES</t>
  </si>
  <si>
    <t xml:space="preserve"> M2 SERVICOS ELETRICOS</t>
  </si>
  <si>
    <t xml:space="preserve"> MARIA JOSE PINTO</t>
  </si>
  <si>
    <t xml:space="preserve"> REINALDO BATISTA DA SILV</t>
  </si>
  <si>
    <t>100NEXO</t>
  </si>
  <si>
    <t>3 PONTO 1</t>
  </si>
  <si>
    <t>4SERVERS TECHNOLOGIES</t>
  </si>
  <si>
    <t>A J C TELE INFORMATICA</t>
  </si>
  <si>
    <t>A M DE ANDRADE FILHO</t>
  </si>
  <si>
    <t>A MAIS IND E COM</t>
  </si>
  <si>
    <t>A MICHELOTTI AK COM CONF</t>
  </si>
  <si>
    <t>A N D ASSESSORIA GRAFICA</t>
  </si>
  <si>
    <t>A S INFORMATICA</t>
  </si>
  <si>
    <t>A T KEARNEY CONSULTORIA</t>
  </si>
  <si>
    <t>A. TELECOM</t>
  </si>
  <si>
    <t>A.CABINE MATERIAIS</t>
  </si>
  <si>
    <t>A.M</t>
  </si>
  <si>
    <t>A.R.S COMERCIO DE ROUPAS</t>
  </si>
  <si>
    <t>ABALLO</t>
  </si>
  <si>
    <t>ABANO RJ DISTRIB LTDA</t>
  </si>
  <si>
    <t>ABASERVICE INSTALACAO</t>
  </si>
  <si>
    <t>ABATEX IND E COM LTDA.</t>
  </si>
  <si>
    <t>ABB INFORMATICA</t>
  </si>
  <si>
    <t>ABERJEANS</t>
  </si>
  <si>
    <t>ABL TEXTIL</t>
  </si>
  <si>
    <t>ABRIL COMUNICACOES S.A</t>
  </si>
  <si>
    <t>ABSOLUTO</t>
  </si>
  <si>
    <t>ABUNDANT</t>
  </si>
  <si>
    <t>ACALANTO TRICOT</t>
  </si>
  <si>
    <t>ACAO INFORMATICA</t>
  </si>
  <si>
    <t>AÇÃO INFORMATICA BRASIL</t>
  </si>
  <si>
    <t>ACESSO DIGITAL TECN</t>
  </si>
  <si>
    <t>ACIL TEXTIL</t>
  </si>
  <si>
    <t>ACM COMUNICACAO</t>
  </si>
  <si>
    <t>ACOCORTE FERRO E ACO</t>
  </si>
  <si>
    <t>ACOS CONTINENTE IND E COM</t>
  </si>
  <si>
    <t>ACP CONFECCOES</t>
  </si>
  <si>
    <t>ACQUALARA</t>
  </si>
  <si>
    <t>ACRILICOS ARTE- FORMA</t>
  </si>
  <si>
    <t>ACS HARD SOFTWARE LTDA</t>
  </si>
  <si>
    <t>ACS REPRESENTACOES</t>
  </si>
  <si>
    <t>ACTIVA SUL</t>
  </si>
  <si>
    <t>AD CRIACOES LINGERIE</t>
  </si>
  <si>
    <t>AD4 SOLUÇÕES CORPORATIVAS</t>
  </si>
  <si>
    <t>ADALBERTO MIGUEL</t>
  </si>
  <si>
    <t>ADE</t>
  </si>
  <si>
    <t>ADECIL COMERCIAL</t>
  </si>
  <si>
    <t>ADILSON JOAQUIM</t>
  </si>
  <si>
    <t>ADLER TEXTIL LTDA</t>
  </si>
  <si>
    <t>ADLES</t>
  </si>
  <si>
    <t>ADP BRASIL LTDA</t>
  </si>
  <si>
    <t>ADRIANO GUARDANI - ME</t>
  </si>
  <si>
    <t>AERIAL EVENTOS E LOCACAO</t>
  </si>
  <si>
    <t>AES ELETROPAULO</t>
  </si>
  <si>
    <t>AFAM CONSULTORIA EMPRES.</t>
  </si>
  <si>
    <t>AFINAL PRODUÇÃO E EVENTOS</t>
  </si>
  <si>
    <t>AFIXCODE SOLUCOES GRAFICA</t>
  </si>
  <si>
    <t>AFIXICODE PATRIMONIO</t>
  </si>
  <si>
    <t>AGENCIA ALTERNATIVA</t>
  </si>
  <si>
    <t>AGÊNCIA DE COCRIAÇÃO</t>
  </si>
  <si>
    <t>AGENCIA DE COMUNICAO INTE</t>
  </si>
  <si>
    <t>AGENCIA DE MODELOS CASTIN</t>
  </si>
  <si>
    <t>AGENCIA SPLENDOR MODELOS</t>
  </si>
  <si>
    <t>AGIS EQUIP E SERV DE INFO</t>
  </si>
  <si>
    <t>AGIS EQUIPAMENTO</t>
  </si>
  <si>
    <t>AGR CONSULTORES</t>
  </si>
  <si>
    <t>AGROTAMA</t>
  </si>
  <si>
    <t>AGUA E OPIO</t>
  </si>
  <si>
    <t>AGUA VERDE</t>
  </si>
  <si>
    <t>ÁGUA VIVA</t>
  </si>
  <si>
    <t>AGUA VIVA (2)</t>
  </si>
  <si>
    <t>AGUIA TEX</t>
  </si>
  <si>
    <t>AGUIAR PROJETOS</t>
  </si>
  <si>
    <t>AGVI COM DE APAR ELETRO</t>
  </si>
  <si>
    <t>AIM MESAS E CADEIRAS</t>
  </si>
  <si>
    <t>AIRTON TORRES BARBOSA</t>
  </si>
  <si>
    <t>AISHTY</t>
  </si>
  <si>
    <t>AJC TELE INFORMATICA LTDA</t>
  </si>
  <si>
    <t>AJO JOMCCO FOTO E VIDEO</t>
  </si>
  <si>
    <t>AK MALHAS</t>
  </si>
  <si>
    <t>AKIYOSHI</t>
  </si>
  <si>
    <t>AKTIVA EMBALAGENS</t>
  </si>
  <si>
    <t>AL ACHEK</t>
  </si>
  <si>
    <t>ALAMASTER SERV ELETRONICO</t>
  </si>
  <si>
    <t>ALBANESE</t>
  </si>
  <si>
    <t>ALBATEX</t>
  </si>
  <si>
    <t>ALBATROZ</t>
  </si>
  <si>
    <t>ALBERTO JARDIM DE GOUVEIA</t>
  </si>
  <si>
    <t>ALCATEIA ENGENHARIA</t>
  </si>
  <si>
    <t>ALEGANS</t>
  </si>
  <si>
    <t>ALENICE</t>
  </si>
  <si>
    <t>ALEPLAC IND.</t>
  </si>
  <si>
    <t>ALEX BATISTA SHIMABUKURO</t>
  </si>
  <si>
    <t>ALEXANDRE MARCIO DA SILVA</t>
  </si>
  <si>
    <t>ALEXANDRE SANTOS GALVÃO M</t>
  </si>
  <si>
    <t>ALFA DEZ</t>
  </si>
  <si>
    <t>ALFA GRIFF</t>
  </si>
  <si>
    <t>ALFA PRISMA</t>
  </si>
  <si>
    <t>ALIANÇA PROMOÇ E EVENTOS</t>
  </si>
  <si>
    <t>ALIIANZ SEGUROS S/A</t>
  </si>
  <si>
    <t>ALINE CONFECÇOES</t>
  </si>
  <si>
    <t>ALL BOOKS LIVRARIA</t>
  </si>
  <si>
    <t>ALL PASTIC COM SERV LTDA</t>
  </si>
  <si>
    <t>ALLAMANDRA</t>
  </si>
  <si>
    <t>ALLON MALHAS</t>
  </si>
  <si>
    <t>ALLURE EIRELI - EPP</t>
  </si>
  <si>
    <t>ALPHAQUIP</t>
  </si>
  <si>
    <t>ALTEMBURG</t>
  </si>
  <si>
    <t>ALTERACAO</t>
  </si>
  <si>
    <t>ALTO ASTRAS</t>
  </si>
  <si>
    <t>ALTO NIVEL</t>
  </si>
  <si>
    <t>ALV LOCADORA</t>
  </si>
  <si>
    <t>ALVEN PALACE HOTEL LTDA</t>
  </si>
  <si>
    <t>AMABILI</t>
  </si>
  <si>
    <t>AMAZON VEICULOS</t>
  </si>
  <si>
    <t>AMAZONAS LESTE LTDA</t>
  </si>
  <si>
    <t>AME ELETRONICA LTDA</t>
  </si>
  <si>
    <t>AMERICANAS</t>
  </si>
  <si>
    <t>AMG COMERCIAL</t>
  </si>
  <si>
    <t>AMLAP</t>
  </si>
  <si>
    <t>AMPOLA - PIMENTA MOCA</t>
  </si>
  <si>
    <t>AMUAGE</t>
  </si>
  <si>
    <t>AMULLETU JEANS</t>
  </si>
  <si>
    <t>AMZ AMAZING MODEL</t>
  </si>
  <si>
    <t>ANA BELLA TRICOT</t>
  </si>
  <si>
    <t>ANA CANDIDA PIERONI</t>
  </si>
  <si>
    <t>ANA LUISA</t>
  </si>
  <si>
    <t>ANA MALHAS EIRELI</t>
  </si>
  <si>
    <t>ANA MILA</t>
  </si>
  <si>
    <t>ANA PAULA COSTA DA SILVA</t>
  </si>
  <si>
    <t>ANA ROSA BOSSO</t>
  </si>
  <si>
    <t>ANALYA</t>
  </si>
  <si>
    <t>ANANDA METAIS</t>
  </si>
  <si>
    <t>ANANDA METAIS LTDA</t>
  </si>
  <si>
    <t>ANANDA QUALIDADE EM AÇOS</t>
  </si>
  <si>
    <t>ANCEC AGRIMENSURA</t>
  </si>
  <si>
    <t>AND MOTOS</t>
  </si>
  <si>
    <t>ANDERSON BELLAZZI</t>
  </si>
  <si>
    <t>ANDERSON BENTO MACENA EPP</t>
  </si>
  <si>
    <t>ANDRE CALIL JORGE - EPP</t>
  </si>
  <si>
    <t>ANDRE MAIA</t>
  </si>
  <si>
    <t>ANDRESSA P MIIASHIRO</t>
  </si>
  <si>
    <t>ANDRIMALHAS</t>
  </si>
  <si>
    <t>ANDRITEX</t>
  </si>
  <si>
    <t>ANGELO C CAMBRAIA</t>
  </si>
  <si>
    <t>ANGERO</t>
  </si>
  <si>
    <t>ANGERO-2</t>
  </si>
  <si>
    <t>ANS- WORK SYSTEMS</t>
  </si>
  <si>
    <t>ANSELMO &amp; LUPERINE COM</t>
  </si>
  <si>
    <t>ANTICO PLAZA HOTEL LTDA</t>
  </si>
  <si>
    <t>ANTONIO ALBERTO</t>
  </si>
  <si>
    <t>ANTONIO DONIVALDO SOUZA</t>
  </si>
  <si>
    <t>ANUNTIS BRASIL</t>
  </si>
  <si>
    <t>APIMENTADAS</t>
  </si>
  <si>
    <t>APIMENTADAS 2</t>
  </si>
  <si>
    <t>APONTO SISTEMAS COMERCIO</t>
  </si>
  <si>
    <t>APPLE COMPUTER</t>
  </si>
  <si>
    <t>AQUA VENT</t>
  </si>
  <si>
    <t>AQUARELLA TRICOT</t>
  </si>
  <si>
    <t>AQUINIMA BRASIL LTDA</t>
  </si>
  <si>
    <t>ARACE</t>
  </si>
  <si>
    <t>ARAGUAIA</t>
  </si>
  <si>
    <t>ARAGUAIA DERRO E AÇO</t>
  </si>
  <si>
    <t>ARAX</t>
  </si>
  <si>
    <t>ARC DISPLAY EQUIPAMENTOS</t>
  </si>
  <si>
    <t>ARCA LOC E COM P FESTAS</t>
  </si>
  <si>
    <t>ARCNET AUTOMACAO COML</t>
  </si>
  <si>
    <t>ARCS BELLA RESTAURANTES</t>
  </si>
  <si>
    <t>AREIA DA PRAIA</t>
  </si>
  <si>
    <t>ARERE</t>
  </si>
  <si>
    <t>ARMANDO ANTONIO DALRI</t>
  </si>
  <si>
    <t>ARMANDO CIERO NETO</t>
  </si>
  <si>
    <t>ARMANDO EDUARDO DOS SANTO</t>
  </si>
  <si>
    <t>ARMAZEM DOS BRINDES LTDA.</t>
  </si>
  <si>
    <t>ARQUIMOVEL C/V DE IMOVEIS</t>
  </si>
  <si>
    <t>ARQUITETURA DO TRICO</t>
  </si>
  <si>
    <t>ARRAZANTTY FITNESS</t>
  </si>
  <si>
    <t>ARRELIA ROCK</t>
  </si>
  <si>
    <t>ARROJADOS</t>
  </si>
  <si>
    <t>ARSENAL</t>
  </si>
  <si>
    <t>ART AR CONDICIONADO LTDA</t>
  </si>
  <si>
    <t>ART BABY</t>
  </si>
  <si>
    <t>ART BRASIL</t>
  </si>
  <si>
    <t>ART CENTER PROD DIGITAIS</t>
  </si>
  <si>
    <t>ART LIVRE</t>
  </si>
  <si>
    <t>ART MALHAS</t>
  </si>
  <si>
    <t>ART STILLUS</t>
  </si>
  <si>
    <t>ARTAR SERVIÇOS E MANUT</t>
  </si>
  <si>
    <t>ARTE BAMBINI PROD LTDA</t>
  </si>
  <si>
    <t>ARTE INVENTO E EVENTOS</t>
  </si>
  <si>
    <t>ARTE SOLUÇÕES &amp; AUTOMAÇÃO</t>
  </si>
  <si>
    <t>ARTEFATOS DE CIMENTO</t>
  </si>
  <si>
    <t>ARTESIAN</t>
  </si>
  <si>
    <t>ARTHUS PROMOÇÕES</t>
  </si>
  <si>
    <t>ARTIGUS IND DE PLASTICOS</t>
  </si>
  <si>
    <t>ARVORE E FRUTOS(TOQUE )</t>
  </si>
  <si>
    <t>ARVORES E SEUS FRUTOS 2</t>
  </si>
  <si>
    <t>AS PASTORINHAS</t>
  </si>
  <si>
    <t>ASAP RECRUTAMENTO</t>
  </si>
  <si>
    <t>ASIA SISTEMAS DE INFORM.</t>
  </si>
  <si>
    <t>ASPEC SERVIÇOS COMERCIAIS</t>
  </si>
  <si>
    <t>ASPERCOM SERVICOS</t>
  </si>
  <si>
    <t>ASSOC BRAS DE NORMAS</t>
  </si>
  <si>
    <t>ASTURIAS</t>
  </si>
  <si>
    <t>ATELIE</t>
  </si>
  <si>
    <t>ATELIE CINTOS</t>
  </si>
  <si>
    <t>ATI GLASS COMERCIO</t>
  </si>
  <si>
    <t>ATLANTICA</t>
  </si>
  <si>
    <t>ATM TEXTIL</t>
  </si>
  <si>
    <t>ATUAL MODAS</t>
  </si>
  <si>
    <t>AUDIE SCALDELAI ME</t>
  </si>
  <si>
    <t>AURELI GODOI BERNARDO</t>
  </si>
  <si>
    <t>AUTHENTICA</t>
  </si>
  <si>
    <t>AUTO POSTO CANINDE</t>
  </si>
  <si>
    <t>AUTO POSTO HAVAI LTDA</t>
  </si>
  <si>
    <t>AUTO POSTO SOLUÇÃO</t>
  </si>
  <si>
    <t>AVALON</t>
  </si>
  <si>
    <t>AVALON 2</t>
  </si>
  <si>
    <t>AVATEK</t>
  </si>
  <si>
    <t>AYLANA</t>
  </si>
  <si>
    <t>AYLANA MODA PRAIA</t>
  </si>
  <si>
    <t>AZ KIDS</t>
  </si>
  <si>
    <t>B B C REFRIGERACAO</t>
  </si>
  <si>
    <t>B&amp;S EQUIPAMENTOS</t>
  </si>
  <si>
    <t>B.K.L.</t>
  </si>
  <si>
    <t>B2G BUSINESS</t>
  </si>
  <si>
    <t>B2U CONSULTORIA E DESENV</t>
  </si>
  <si>
    <t>B3</t>
  </si>
  <si>
    <t>B76</t>
  </si>
  <si>
    <t>B76 (2)</t>
  </si>
  <si>
    <t>BA-KOS</t>
  </si>
  <si>
    <t>BABILÔNIA</t>
  </si>
  <si>
    <t>BABUGEM</t>
  </si>
  <si>
    <t>BACKER SA</t>
  </si>
  <si>
    <t>BAG STYLE</t>
  </si>
  <si>
    <t>BAGDAD COM DE BALÕES</t>
  </si>
  <si>
    <t>BAGSTILL COMERCIO</t>
  </si>
  <si>
    <t>BALBOA</t>
  </si>
  <si>
    <t>BAM COM DE SERV LTDA</t>
  </si>
  <si>
    <t>BANANA CLUB</t>
  </si>
  <si>
    <t>BANDLEY (JM)</t>
  </si>
  <si>
    <t>BARABU</t>
  </si>
  <si>
    <t>BARBITEX</t>
  </si>
  <si>
    <t>BARONESS</t>
  </si>
  <si>
    <t>BARY´S BAR</t>
  </si>
  <si>
    <t>BASE E RECURSOS HUMANOS</t>
  </si>
  <si>
    <t>BASE URBANA</t>
  </si>
  <si>
    <t>BASIC GIRLS</t>
  </si>
  <si>
    <t>BASICA LINDA</t>
  </si>
  <si>
    <t>BASICA LINDA 1</t>
  </si>
  <si>
    <t>BATMAO</t>
  </si>
  <si>
    <t>BB SPORTS</t>
  </si>
  <si>
    <t>BB TRANSPORTES E TURISMO</t>
  </si>
  <si>
    <t>BBC ENGENHARIA</t>
  </si>
  <si>
    <t>BBC MALHAS</t>
  </si>
  <si>
    <t>BC CONSULTING</t>
  </si>
  <si>
    <t>BE MINI</t>
  </si>
  <si>
    <t>BEACH &amp; COUNTRY</t>
  </si>
  <si>
    <t>BEACH BOAT</t>
  </si>
  <si>
    <t>BEACH CAT</t>
  </si>
  <si>
    <t>BEACH CONFECCOES</t>
  </si>
  <si>
    <t>BEATRIZ FASHION</t>
  </si>
  <si>
    <t>BEAUTY(ONEIDE CONFECCOES)</t>
  </si>
  <si>
    <t>BEBELA</t>
  </si>
  <si>
    <t>BECK BOY</t>
  </si>
  <si>
    <t>BECKER CONFECCOES</t>
  </si>
  <si>
    <t>BEIJINHO BEIJOCA</t>
  </si>
  <si>
    <t>BEL GADI</t>
  </si>
  <si>
    <t>BELA BILU</t>
  </si>
  <si>
    <t>BELA FLOR</t>
  </si>
  <si>
    <t>BELA NOITE</t>
  </si>
  <si>
    <t>BELA VISUAL</t>
  </si>
  <si>
    <t>BELAS ARTES</t>
  </si>
  <si>
    <t>BELCORPO LINGERIE</t>
  </si>
  <si>
    <t>BELLA SEDA</t>
  </si>
  <si>
    <t>BELLO PARKING</t>
  </si>
  <si>
    <t>BEMATECH</t>
  </si>
  <si>
    <t>BÊNÇÃO</t>
  </si>
  <si>
    <t>BENCORP MEDICINA OCUPACIO</t>
  </si>
  <si>
    <t>BENCORP S/A CORRET DE SEG</t>
  </si>
  <si>
    <t>BENETEX</t>
  </si>
  <si>
    <t>BENETEX 2</t>
  </si>
  <si>
    <t>BENETRON COMERCIAL LTDA</t>
  </si>
  <si>
    <t>BERTEX</t>
  </si>
  <si>
    <t>BERTINELLI</t>
  </si>
  <si>
    <t>BERTOLINI</t>
  </si>
  <si>
    <t>BEST HOMENAGENS E FLORES</t>
  </si>
  <si>
    <t>BETELLE</t>
  </si>
  <si>
    <t>BETHA GRAPHICS COM E SERV</t>
  </si>
  <si>
    <t>BETILHA</t>
  </si>
  <si>
    <t>BETON GEOTECH</t>
  </si>
  <si>
    <t>BEWAY</t>
  </si>
  <si>
    <t>BHP AR CONDICIONADO</t>
  </si>
  <si>
    <t>BIANCHESI</t>
  </si>
  <si>
    <t>BIBOS AUTOS E PERSONAL</t>
  </si>
  <si>
    <t>BICHO BAGUNCA</t>
  </si>
  <si>
    <t>BICHO SOLTO</t>
  </si>
  <si>
    <t>BIELZINHO</t>
  </si>
  <si>
    <t>BIFO</t>
  </si>
  <si>
    <t>BIG ASSESSORIA</t>
  </si>
  <si>
    <t>BIG RAY</t>
  </si>
  <si>
    <t>BIG RAY 2</t>
  </si>
  <si>
    <t>BIG ROCK</t>
  </si>
  <si>
    <t>BIG STAR</t>
  </si>
  <si>
    <t>BIGGY BOYZ</t>
  </si>
  <si>
    <t>BIKE</t>
  </si>
  <si>
    <t>BILU NEW</t>
  </si>
  <si>
    <t>BIMBUS</t>
  </si>
  <si>
    <t>BIO TIPO</t>
  </si>
  <si>
    <t>BIOBA</t>
  </si>
  <si>
    <t>BIOBA 2</t>
  </si>
  <si>
    <t>BIONDA</t>
  </si>
  <si>
    <t>BIOTIPO</t>
  </si>
  <si>
    <t>BIOVETOR SERVICOS</t>
  </si>
  <si>
    <t>BIVIK 2</t>
  </si>
  <si>
    <t>BLACK BEAR</t>
  </si>
  <si>
    <t>BLACK BEAR ( NORMA )</t>
  </si>
  <si>
    <t>BLACK BEAR 2</t>
  </si>
  <si>
    <t>BLACK JEANS</t>
  </si>
  <si>
    <t>BLISTER</t>
  </si>
  <si>
    <t>BLUE BAY</t>
  </si>
  <si>
    <t>BLUE DENIN</t>
  </si>
  <si>
    <t>BLUE MACAW</t>
  </si>
  <si>
    <t>BLUE TREE</t>
  </si>
  <si>
    <t>BOA VISTA SERVIÇOS S/A</t>
  </si>
  <si>
    <t>BOB BANDEIRA</t>
  </si>
  <si>
    <t>BOBY BABY</t>
  </si>
  <si>
    <t>BOCA  GRANDE</t>
  </si>
  <si>
    <t>BOCAS SONORIZAÇÃO</t>
  </si>
  <si>
    <t>BOCHECHINHA</t>
  </si>
  <si>
    <t>BOCHECHINHA (SGA)</t>
  </si>
  <si>
    <t>BODY SUMMER</t>
  </si>
  <si>
    <t>BOGO</t>
  </si>
  <si>
    <t>BOKKER</t>
  </si>
  <si>
    <t>BOLINHA FUNILARIA</t>
  </si>
  <si>
    <t>BOLSART</t>
  </si>
  <si>
    <t>BONELESKA</t>
  </si>
  <si>
    <t>BONELESKA BONES</t>
  </si>
  <si>
    <t>BONETTI TRICOT</t>
  </si>
  <si>
    <t>BOO-BOX</t>
  </si>
  <si>
    <t>BOSLANG</t>
  </si>
  <si>
    <t>BP SOLUTIONS CAJAMAR</t>
  </si>
  <si>
    <t>BP SOLUTIONS LTDA</t>
  </si>
  <si>
    <t>BP SOLUTIONS LTDA - PR</t>
  </si>
  <si>
    <t>BR COFRES  MOVEIS P/ESCR</t>
  </si>
  <si>
    <t>BR PARTICIPACOES LTDA</t>
  </si>
  <si>
    <t>BRACIN IND E COM DE INF</t>
  </si>
  <si>
    <t>BRANDÃO E MAIA</t>
  </si>
  <si>
    <t>BRANDILI</t>
  </si>
  <si>
    <t>BRASIL ATIVO IND E COM</t>
  </si>
  <si>
    <t>BRASIL CRIANCA</t>
  </si>
  <si>
    <t>BRASIL MEIAS</t>
  </si>
  <si>
    <t>BRASILFER</t>
  </si>
  <si>
    <t>BRAZILIAN SPORTS</t>
  </si>
  <si>
    <t>BRBABY FOTOGRAFIA E CINEM</t>
  </si>
  <si>
    <t>BRENGE CONSTRUCOES</t>
  </si>
  <si>
    <t>BRILHO DA PRAIA</t>
  </si>
  <si>
    <t>BRINCAR É ARTE</t>
  </si>
  <si>
    <t>BRINDEPEL</t>
  </si>
  <si>
    <t>BRINGIT COM ELETRONICO</t>
  </si>
  <si>
    <t>BRINKS SAO JOSE DOS CAMP</t>
  </si>
  <si>
    <t>BRINKS SEG.FILIAL CAMPI</t>
  </si>
  <si>
    <t>BRINKS SEGURANCA E TRANSP</t>
  </si>
  <si>
    <t>BRINKS SEGURANCA SANTOS</t>
  </si>
  <si>
    <t>BRM MODEL MANAGEMENT COML</t>
  </si>
  <si>
    <t>BROBIETTE</t>
  </si>
  <si>
    <t>BRUNA MORAIS TRICOT</t>
  </si>
  <si>
    <t>BRUNI SERVICE</t>
  </si>
  <si>
    <t>BRUVI</t>
  </si>
  <si>
    <t>BRVOGUE PRODUCOES</t>
  </si>
  <si>
    <t>BRZ</t>
  </si>
  <si>
    <t>BSL COMERCIO</t>
  </si>
  <si>
    <t>BSS CARD CARTOES E IMPRES</t>
  </si>
  <si>
    <t>BTH TEXTIL</t>
  </si>
  <si>
    <t>BUETTNER</t>
  </si>
  <si>
    <t>BUGALOO</t>
  </si>
  <si>
    <t>BUNDYS LINGERIE</t>
  </si>
  <si>
    <t>BURDAS</t>
  </si>
  <si>
    <t>BUZZO COM. DE MATERIAL</t>
  </si>
  <si>
    <t>BWMS LTDA</t>
  </si>
  <si>
    <t>BYGUS</t>
  </si>
  <si>
    <t>BYLA &amp; BOBY</t>
  </si>
  <si>
    <t>C FORTALEZA C D TEC LTDA</t>
  </si>
  <si>
    <t>C.C.C.A COMERCIAL</t>
  </si>
  <si>
    <t>CABIDES STORE</t>
  </si>
  <si>
    <t>CABILOG COMERCIO</t>
  </si>
  <si>
    <t>CAEDU IMPORTACAO VAREJO</t>
  </si>
  <si>
    <t>CAEDU IMPORTADORA</t>
  </si>
  <si>
    <t>CAEDU IMPORTADORA 2</t>
  </si>
  <si>
    <t>CAEDU IMPORTADORA SC</t>
  </si>
  <si>
    <t>CAESA REPRES. E COMERCIO</t>
  </si>
  <si>
    <t>CAFE VERDE</t>
  </si>
  <si>
    <t>CALCINHAS FOLLY</t>
  </si>
  <si>
    <t>CALENDULA</t>
  </si>
  <si>
    <t>CALEX</t>
  </si>
  <si>
    <t>CALIXTOS</t>
  </si>
  <si>
    <t>CALVO COL IMP E EXP</t>
  </si>
  <si>
    <t>CAMERA PRESS LET EDITORA</t>
  </si>
  <si>
    <t>CAMESA</t>
  </si>
  <si>
    <t>CAMPOTEX</t>
  </si>
  <si>
    <t>CANTEGRIL COMERCIAL</t>
  </si>
  <si>
    <t>CAPETRIN LTDA ME</t>
  </si>
  <si>
    <t>CAPITAL CABIDES INDL</t>
  </si>
  <si>
    <t>CAPITAL CARTÕES</t>
  </si>
  <si>
    <t>CARA MELADA</t>
  </si>
  <si>
    <t>CARA METADE</t>
  </si>
  <si>
    <t>CARA SUJA</t>
  </si>
  <si>
    <t>CARAMEL</t>
  </si>
  <si>
    <t>CARAMMELO CONFECCAO</t>
  </si>
  <si>
    <t>CARAN CONFECCOES</t>
  </si>
  <si>
    <t>CARLOS EDUARDO DE MACEDO</t>
  </si>
  <si>
    <t>CARLYLE DA MATTA ME</t>
  </si>
  <si>
    <t>CARMESIN MALHAS LG</t>
  </si>
  <si>
    <t>CAROL MALHAS</t>
  </si>
  <si>
    <t>CAROLINE LEAL DA COSTA</t>
  </si>
  <si>
    <t>CAROLIPE</t>
  </si>
  <si>
    <t>CARRIEL TRANSP LTDA EPP</t>
  </si>
  <si>
    <t>CARTEL CINTOS</t>
  </si>
  <si>
    <t>CARTORIO</t>
  </si>
  <si>
    <t>CASA DE TINTAS LALIN</t>
  </si>
  <si>
    <t>CASA DO SUPORTE</t>
  </si>
  <si>
    <t>CASA DOS BEBEDOUROS</t>
  </si>
  <si>
    <t>CASA DOS MACACOS</t>
  </si>
  <si>
    <t>CASA E VIDEO RJ</t>
  </si>
  <si>
    <t>CASA FARIA MATERIAIS</t>
  </si>
  <si>
    <t>CASAL 20</t>
  </si>
  <si>
    <t>CASAS BAHIA</t>
  </si>
  <si>
    <t>CASAS BAHIA COML LTDA</t>
  </si>
  <si>
    <t>CASUALLE IND E COM</t>
  </si>
  <si>
    <t>CATARINA HSU</t>
  </si>
  <si>
    <t>CATARINA TEXTIL</t>
  </si>
  <si>
    <t>CATAY</t>
  </si>
  <si>
    <t>CATHO ON LINE LTDA</t>
  </si>
  <si>
    <t>CATIVA MALHAS</t>
  </si>
  <si>
    <t>CATIVA TEXTIL</t>
  </si>
  <si>
    <t>CATLEIA LINGERIE</t>
  </si>
  <si>
    <t>CAYMAN</t>
  </si>
  <si>
    <t>CBJ CONFECCOES</t>
  </si>
  <si>
    <t>CC.OK CONFECCOES LTDA</t>
  </si>
  <si>
    <t>CCB TRANSPORTES LTDA - ME</t>
  </si>
  <si>
    <t>CD ARAQUARI</t>
  </si>
  <si>
    <t>CD NAVEGANTES</t>
  </si>
  <si>
    <t>CDC BRASIL DISTRIBUIDORA</t>
  </si>
  <si>
    <t>CDKA</t>
  </si>
  <si>
    <t>CDTEX</t>
  </si>
  <si>
    <t>CENA ENTRETENIMENTO</t>
  </si>
  <si>
    <t>CENAV ENGENHARIA S/S LTDA</t>
  </si>
  <si>
    <t>CENIL</t>
  </si>
  <si>
    <t>CENNABRAS</t>
  </si>
  <si>
    <t>CENOFISCO</t>
  </si>
  <si>
    <t>CENSATO - NTC</t>
  </si>
  <si>
    <t>CENTRO DE INTEGRACAO</t>
  </si>
  <si>
    <t>CENTRO DE INTEGRACAO CIEE</t>
  </si>
  <si>
    <t>CENTROCINCO EMBALAGENS</t>
  </si>
  <si>
    <t>CENTROGRAFICA</t>
  </si>
  <si>
    <t>CERAMICA SAO JOAO DE ITU</t>
  </si>
  <si>
    <t>CERISE</t>
  </si>
  <si>
    <t>CETEST MINAS ENG E SERV</t>
  </si>
  <si>
    <t>CF ROCHA</t>
  </si>
  <si>
    <t>CHADY CONFECÇÕES</t>
  </si>
  <si>
    <t>CHAMEGO MALHAS</t>
  </si>
  <si>
    <t>CHANTILLY</t>
  </si>
  <si>
    <t>CHAPLIN</t>
  </si>
  <si>
    <t>CHARME DE MENINA</t>
  </si>
  <si>
    <t>CHENSON</t>
  </si>
  <si>
    <t>CHERRY TRICOT</t>
  </si>
  <si>
    <t>CHICOTE IND. COM. DE ROUP</t>
  </si>
  <si>
    <t>CHIGUETO IND. E COMERCIO</t>
  </si>
  <si>
    <t>CHOCO BIJOUX</t>
  </si>
  <si>
    <t>CHOCO BIJOUX 2</t>
  </si>
  <si>
    <t>CHOCO BIJOUX MODAS LTDA</t>
  </si>
  <si>
    <t>CHOCO MENTHA</t>
  </si>
  <si>
    <t>CHOPP</t>
  </si>
  <si>
    <t>CHURRASCARIA ALTA NEIRA</t>
  </si>
  <si>
    <t>CIA DA GRAVATA</t>
  </si>
  <si>
    <t>CIA DA MODA</t>
  </si>
  <si>
    <t>CIA DO JEANS</t>
  </si>
  <si>
    <t>CIA DO VENTO</t>
  </si>
  <si>
    <t>CICLO VITAL</t>
  </si>
  <si>
    <t>CICOPAL S/A</t>
  </si>
  <si>
    <t>CIEE</t>
  </si>
  <si>
    <t>CINTYA NAOMI MISOBUSHI</t>
  </si>
  <si>
    <t>CITIMAT IMPERMEABILIZANTE</t>
  </si>
  <si>
    <t>CITY GIRL</t>
  </si>
  <si>
    <t>CLAIKA SOCKS</t>
  </si>
  <si>
    <t>CLARO</t>
  </si>
  <si>
    <t>CLARO TRANSPORTE LTDA ME</t>
  </si>
  <si>
    <t>CLASS LINGERIE</t>
  </si>
  <si>
    <t>CLAUDINEI CARLOS</t>
  </si>
  <si>
    <t>CLEOMARA</t>
  </si>
  <si>
    <t>CLIO</t>
  </si>
  <si>
    <t>CLIPPING SERVICE</t>
  </si>
  <si>
    <t>CLONAGEN</t>
  </si>
  <si>
    <t>CLOSER MODEL PRODUCOES</t>
  </si>
  <si>
    <t>CM COM. DE SERV. DE EXTIN</t>
  </si>
  <si>
    <t>CMA CONSULTORIA METODOS</t>
  </si>
  <si>
    <t>COBRAVEST</t>
  </si>
  <si>
    <t>COERENCIA</t>
  </si>
  <si>
    <t>COFFEE INDUSTRIA E COM.</t>
  </si>
  <si>
    <t>COFIN ROCK</t>
  </si>
  <si>
    <t>COLISAO</t>
  </si>
  <si>
    <t>COLLORS COMERCIO DE</t>
  </si>
  <si>
    <t>COMERCIAL CHARMZONE LTDA</t>
  </si>
  <si>
    <t>COMÉRCIO DE VIDROS</t>
  </si>
  <si>
    <t>COMERCIO REVISTAS MOURA</t>
  </si>
  <si>
    <t>COMFIBRAS</t>
  </si>
  <si>
    <t>COML CONSTRUCOES PRANDIX</t>
  </si>
  <si>
    <t>COMPANHIA PIRATININGA DE</t>
  </si>
  <si>
    <t>COMUNIQUE</t>
  </si>
  <si>
    <t>COMUTACAO TELECOMUNICA</t>
  </si>
  <si>
    <t>CONDE DUCK</t>
  </si>
  <si>
    <t>CONDRINA SERVICOS LTDA</t>
  </si>
  <si>
    <t>CONDUCTOR TECNOLOGIA S/A</t>
  </si>
  <si>
    <t>CONDUTA</t>
  </si>
  <si>
    <t>CONECTA ENG E CONST. LTDA</t>
  </si>
  <si>
    <t>CONEXAO AIX LTDA</t>
  </si>
  <si>
    <t>CONEXAO MALHAS</t>
  </si>
  <si>
    <t>CONF MARANTONIO</t>
  </si>
  <si>
    <t>CONFEC VIVA VIVA</t>
  </si>
  <si>
    <t>CONFECCOES DE IBIRAMA</t>
  </si>
  <si>
    <t>CONFECÇÕES EDNA</t>
  </si>
  <si>
    <t>CONFECCOES FAVAN</t>
  </si>
  <si>
    <t>CONFECÇÕES FERREIRA</t>
  </si>
  <si>
    <t>CONFECÇOES MENINA BELA</t>
  </si>
  <si>
    <t>CONFECCOES MIA</t>
  </si>
  <si>
    <t>CONFECCOES ROLU LTDA</t>
  </si>
  <si>
    <t>CONFECCOES SINDER LTDA</t>
  </si>
  <si>
    <t>CONFECÇOES V2</t>
  </si>
  <si>
    <t>CONFLUENCE SOLUCOES</t>
  </si>
  <si>
    <t>CONFRONTO BRASIL</t>
  </si>
  <si>
    <t>CONSELHEIRO VALENTIM</t>
  </si>
  <si>
    <t>CONSOLINE AUDIOVISUAL</t>
  </si>
  <si>
    <t>CONSTRUCAO RJC 18</t>
  </si>
  <si>
    <t>CONSTRUTORA BRAS EIRELI</t>
  </si>
  <si>
    <t>CONSTRUTORA FOCUS</t>
  </si>
  <si>
    <t>CONTATTO TRICOT</t>
  </si>
  <si>
    <t>CONTATTO TRICOT 2</t>
  </si>
  <si>
    <t>CONTAZUL CONTABILIDADE LT</t>
  </si>
  <si>
    <t>CONTINENTE TURISMO</t>
  </si>
  <si>
    <t>CONTRAVENÇÃO</t>
  </si>
  <si>
    <t>CONTROLE AGRIMENSURA</t>
  </si>
  <si>
    <t>CONVENIENCE HOTEL LTDA</t>
  </si>
  <si>
    <t>COOL CLUB</t>
  </si>
  <si>
    <t>COOPERTAX</t>
  </si>
  <si>
    <t>COPIADORA SPEED LIGHT</t>
  </si>
  <si>
    <t>COPIADORAS SUCCESS</t>
  </si>
  <si>
    <t>COR DE CEREJA</t>
  </si>
  <si>
    <t>CORINGA</t>
  </si>
  <si>
    <t>CORTE MIX</t>
  </si>
  <si>
    <t>COSTA RICA</t>
  </si>
  <si>
    <t>COTEMINAS</t>
  </si>
  <si>
    <t>COTTON STAR</t>
  </si>
  <si>
    <t>COURACAO</t>
  </si>
  <si>
    <t>COUTION</t>
  </si>
  <si>
    <t>CPFL</t>
  </si>
  <si>
    <t>CRB EQUIP ESCRITORIO LTDA</t>
  </si>
  <si>
    <t>CRB INSTALAÇÕES LTDA</t>
  </si>
  <si>
    <t>CREACOES MISU</t>
  </si>
  <si>
    <t>CREDENCIA TECNOLOGIA</t>
  </si>
  <si>
    <t>CREDIDIO E DIACOLI</t>
  </si>
  <si>
    <t>CRIS VAN</t>
  </si>
  <si>
    <t>CRISMA CONFECCOES</t>
  </si>
  <si>
    <t>CRISSOM /CRISTIANO LOPES</t>
  </si>
  <si>
    <t>CRITTON</t>
  </si>
  <si>
    <t>CROCKER</t>
  </si>
  <si>
    <t>CROCKER 2</t>
  </si>
  <si>
    <t>CS</t>
  </si>
  <si>
    <t>CSED DIST DE AGUA MINERAL</t>
  </si>
  <si>
    <t>CUALA</t>
  </si>
  <si>
    <t>CURSOR MIRAI COM</t>
  </si>
  <si>
    <t>CURVA PERFEITA</t>
  </si>
  <si>
    <t>CUT &amp; FOLD</t>
  </si>
  <si>
    <t>CVC BRASIL</t>
  </si>
  <si>
    <t>CYKLOP DO BRASIL</t>
  </si>
  <si>
    <t>CYKLOP DO BRASIL EMBALAG</t>
  </si>
  <si>
    <t>D ART</t>
  </si>
  <si>
    <t>D CANDIDO</t>
  </si>
  <si>
    <t>D CANDIDO 2</t>
  </si>
  <si>
    <t>D KARY LINGERIE</t>
  </si>
  <si>
    <t>D L R ENGENHEIROS</t>
  </si>
  <si>
    <t>D LUNE LANGERI</t>
  </si>
  <si>
    <t>D LUNE MODA INTIMA</t>
  </si>
  <si>
    <t>D REINE</t>
  </si>
  <si>
    <t>D SARTORI</t>
  </si>
  <si>
    <t>D.K.L. JEANS</t>
  </si>
  <si>
    <t>D´GLOUSH</t>
  </si>
  <si>
    <t>D5 AGENCIA DE ATORES</t>
  </si>
  <si>
    <t>DA VINCI</t>
  </si>
  <si>
    <t>DAAZ ARQUITETURA SOC SIMP</t>
  </si>
  <si>
    <t>DADYS GIRL</t>
  </si>
  <si>
    <t>DAKOR EDITORA</t>
  </si>
  <si>
    <t>DALHKE EQUIPAMENTOS</t>
  </si>
  <si>
    <t>DALLF</t>
  </si>
  <si>
    <t>DALLF 2</t>
  </si>
  <si>
    <t>DALRI</t>
  </si>
  <si>
    <t>DAMANI</t>
  </si>
  <si>
    <t>DANIANA</t>
  </si>
  <si>
    <t>DARACK SOLUCOES</t>
  </si>
  <si>
    <t>DARDAK</t>
  </si>
  <si>
    <t>DARONE</t>
  </si>
  <si>
    <t>DATASUPRI BRASIL</t>
  </si>
  <si>
    <t>DAY OFF</t>
  </si>
  <si>
    <t>DAY OFF 2</t>
  </si>
  <si>
    <t>DB COMERCIO E SERVICOS</t>
  </si>
  <si>
    <t>DCL BRASIL</t>
  </si>
  <si>
    <t>DE BRITO PROPAGANDA LTDA</t>
  </si>
  <si>
    <t>DE MARTA</t>
  </si>
  <si>
    <t>DEBORA CANOVA SANCHES</t>
  </si>
  <si>
    <t>DEBORA RIBEIRO TRICOT</t>
  </si>
  <si>
    <t>DEBY MODAS</t>
  </si>
  <si>
    <t>DECORO</t>
  </si>
  <si>
    <t>DECRETO BASE</t>
  </si>
  <si>
    <t>DEDETIZADORA A TANAKA</t>
  </si>
  <si>
    <t>DEDETIZADORA COM LOREMI</t>
  </si>
  <si>
    <t>DEDHAS</t>
  </si>
  <si>
    <t>DEDO A DEDO</t>
  </si>
  <si>
    <t>DEGRADE</t>
  </si>
  <si>
    <t>DEGRAUS ANDAIMES MAQ E EQ</t>
  </si>
  <si>
    <t>DEGRAUZINHO</t>
  </si>
  <si>
    <t>DEINHA FASHION</t>
  </si>
  <si>
    <t>DEL TEDESCO PUBLICIDADE</t>
  </si>
  <si>
    <t>DELKER PLASTICOS</t>
  </si>
  <si>
    <t>DELL COMPUTADORES</t>
  </si>
  <si>
    <t>DELLAGRIS</t>
  </si>
  <si>
    <t>DELLAGRIS 2</t>
  </si>
  <si>
    <t>DEMARCHI MALHAS</t>
  </si>
  <si>
    <t>DEMARCOS</t>
  </si>
  <si>
    <t>DENIÊ</t>
  </si>
  <si>
    <t>DEP MAT CONSTR MORATENSE</t>
  </si>
  <si>
    <t>DERMIWIL</t>
  </si>
  <si>
    <t>DESAYNER</t>
  </si>
  <si>
    <t>DESORDEM/DECORTEX</t>
  </si>
  <si>
    <t>DEVASEE</t>
  </si>
  <si>
    <t>DEZALI</t>
  </si>
  <si>
    <t>DI PEROLA</t>
  </si>
  <si>
    <t>DI SOM  PRODUTOS ELETRON</t>
  </si>
  <si>
    <t>DIANA FASHION</t>
  </si>
  <si>
    <t>DIBETO CONFECCOES LTDA</t>
  </si>
  <si>
    <t>DIEVO DISTRIBUIDORA</t>
  </si>
  <si>
    <t>DIFER COMERCIO DE BOBINAS</t>
  </si>
  <si>
    <t>DIG DOG</t>
  </si>
  <si>
    <t>DIGITAL TEXTIL IND</t>
  </si>
  <si>
    <t>DIMAS DE MELO</t>
  </si>
  <si>
    <t>DIMAS DE MELO (FILIAL)</t>
  </si>
  <si>
    <t>DIMAS DE MELO FILIAL SCS</t>
  </si>
  <si>
    <t>DIMAS DE MELO PIMENTA</t>
  </si>
  <si>
    <t>DIMENSAO IND. VESTUARIO</t>
  </si>
  <si>
    <t>DINUS</t>
  </si>
  <si>
    <t>DIOGO TORRES CANDIDO</t>
  </si>
  <si>
    <t>DIONS</t>
  </si>
  <si>
    <t>DIP NIK</t>
  </si>
  <si>
    <t>DIRECTNET</t>
  </si>
  <si>
    <t>DISKPEL</t>
  </si>
  <si>
    <t>DIVA</t>
  </si>
  <si>
    <t>DIVA 2</t>
  </si>
  <si>
    <t>DIVA 3</t>
  </si>
  <si>
    <t>DIVINOSABOR LANCHONETE</t>
  </si>
  <si>
    <t>DIXIE</t>
  </si>
  <si>
    <t>DIXX AVIAMENTOS</t>
  </si>
  <si>
    <t>DJAK CAMISARIA</t>
  </si>
  <si>
    <t>DJANA MALHAS</t>
  </si>
  <si>
    <t>DL MALHAS</t>
  </si>
  <si>
    <t>DN AUTOMACAO LTDA.</t>
  </si>
  <si>
    <t>DNA</t>
  </si>
  <si>
    <t>DNA DIGITAL PRINT LTDA</t>
  </si>
  <si>
    <t>DOCE BRILHO</t>
  </si>
  <si>
    <t>DOCE ESTILO</t>
  </si>
  <si>
    <t>DOLCE</t>
  </si>
  <si>
    <t>DOLCE MODELING AGENCY</t>
  </si>
  <si>
    <t>DOM JUAN</t>
  </si>
  <si>
    <t>DOMARK</t>
  </si>
  <si>
    <t>DONA BAKANA</t>
  </si>
  <si>
    <t>DONA NEGONA CASTING</t>
  </si>
  <si>
    <t>DONNA</t>
  </si>
  <si>
    <t>DONNA CAROLE</t>
  </si>
  <si>
    <t>DONNA CAROLE ME</t>
  </si>
  <si>
    <t>DORBYN</t>
  </si>
  <si>
    <t>DORIA RIBEIRO</t>
  </si>
  <si>
    <t>DOYGA</t>
  </si>
  <si>
    <t>DRAWING AR COND.</t>
  </si>
  <si>
    <t>DRP CONSULTORIA E LOGISTI</t>
  </si>
  <si>
    <t>DRP PLANFLETAGEM LTDA ME</t>
  </si>
  <si>
    <t>DU COLOR COMERCIAL</t>
  </si>
  <si>
    <t>DUAL COMP COM E DISTR</t>
  </si>
  <si>
    <t>DUANIP</t>
  </si>
  <si>
    <t>DUARTE MODAS</t>
  </si>
  <si>
    <t>DUCATTI AUTOMAÇÃO</t>
  </si>
  <si>
    <t>DUDUKA</t>
  </si>
  <si>
    <t>DUDYS BOY</t>
  </si>
  <si>
    <t>DUDYS CONFECCOES LTDA</t>
  </si>
  <si>
    <t>DUO FOTOCLUBE ESTUDIO</t>
  </si>
  <si>
    <t>DUOMO</t>
  </si>
  <si>
    <t>DUPLO B</t>
  </si>
  <si>
    <t>DURIQUE</t>
  </si>
  <si>
    <t>DUSS</t>
  </si>
  <si>
    <t>DUTRA MAQUINAS</t>
  </si>
  <si>
    <t>DY ANY</t>
  </si>
  <si>
    <t>DY ANY 2</t>
  </si>
  <si>
    <t>DYNAMICA DECORAÇÕES</t>
  </si>
  <si>
    <t>DZAIRA</t>
  </si>
  <si>
    <t>E A SANTOS - INSTALACOES</t>
  </si>
  <si>
    <t>E. V. COMERCIAL LTDA - M</t>
  </si>
  <si>
    <t>E.B.T EMBRATEL</t>
  </si>
  <si>
    <t>E.FERREIRA ASSESSORIA</t>
  </si>
  <si>
    <t>EASY INDUSTRIA</t>
  </si>
  <si>
    <t>EBENEZER PREST DE SERVICO</t>
  </si>
  <si>
    <t>ECAD ESCR E ARRECADAÇÃO</t>
  </si>
  <si>
    <t>ECOLOGIC</t>
  </si>
  <si>
    <t>ECOMAQ COMERCIO E MANUT</t>
  </si>
  <si>
    <t>ECZOZ</t>
  </si>
  <si>
    <t>EDITORA VOZES</t>
  </si>
  <si>
    <t>EDP BANDEIRANTE</t>
  </si>
  <si>
    <t>EDSON ANTONIO MOREIRA</t>
  </si>
  <si>
    <t>EDUARDO BUSCARATTI CRUZ</t>
  </si>
  <si>
    <t>EDUARDO EBURNIO -ME</t>
  </si>
  <si>
    <t>EDVAN MALHAS</t>
  </si>
  <si>
    <t>EDYTONY COM DE REVISTAS</t>
  </si>
  <si>
    <t>EIVALDO ANTONIO FUZA</t>
  </si>
  <si>
    <t>EIXO CONFECCOES</t>
  </si>
  <si>
    <t>EIXO CONFECCOES LTDA</t>
  </si>
  <si>
    <t>ELCRIL ACRILICOS LTDA</t>
  </si>
  <si>
    <t>ELEKTRO ELETC E SERV S/A</t>
  </si>
  <si>
    <t>ELEKTRO ELETRICIDADE E SE</t>
  </si>
  <si>
    <t>ELETRO SATES LTDA</t>
  </si>
  <si>
    <t>ELETRONICA SANTANA LTDA</t>
  </si>
  <si>
    <t>ELEVA TEXTIL</t>
  </si>
  <si>
    <t>ELEVADORES VILARTA</t>
  </si>
  <si>
    <t>ELEVADORES VILLARTA (SBC)</t>
  </si>
  <si>
    <t>ELEVADORES VILLARTA LTDA</t>
  </si>
  <si>
    <t>ELIDI ELISABETH SCALOPPI</t>
  </si>
  <si>
    <t>ELISEU CONSONI EPP</t>
  </si>
  <si>
    <t>ELIZA TRICOT</t>
  </si>
  <si>
    <t>ELLO MODEL MANAG AGENCIA</t>
  </si>
  <si>
    <t>ELÔ MALHAS</t>
  </si>
  <si>
    <t>ELOISA MENDONCA COBRA</t>
  </si>
  <si>
    <t>ELSE</t>
  </si>
  <si>
    <t>EMBRATEL</t>
  </si>
  <si>
    <t>EMERSON F DA SILVA LIMP</t>
  </si>
  <si>
    <t>EMILIA N FERNANDES ME</t>
  </si>
  <si>
    <t>EMPORIO DO ALGODAO</t>
  </si>
  <si>
    <t>EMPORIO SUL</t>
  </si>
  <si>
    <t>EMPRESA JORNALISTICA</t>
  </si>
  <si>
    <t>EMSENHUBER E ADVOGADOS</t>
  </si>
  <si>
    <t>ENCANTA</t>
  </si>
  <si>
    <t>ENCHANTE</t>
  </si>
  <si>
    <t>ENCOMEX TRADING</t>
  </si>
  <si>
    <t>ENERTRONIC</t>
  </si>
  <si>
    <t>ENFOQUE EMP DE NEG FOC OP</t>
  </si>
  <si>
    <t>ENGEBANC</t>
  </si>
  <si>
    <t>ENGEMENTAL 0001-01</t>
  </si>
  <si>
    <t>ENGEMENTAL 0001-18</t>
  </si>
  <si>
    <t>ENGETI CONSULTORIA</t>
  </si>
  <si>
    <t>ENQUETE</t>
  </si>
  <si>
    <t>ENTEL</t>
  </si>
  <si>
    <t>EQUIPALOJA - EQUIPAMENTOS</t>
  </si>
  <si>
    <t>EQUIPE DUTRA MÁQUINAS</t>
  </si>
  <si>
    <t>ERBELA</t>
  </si>
  <si>
    <t>ERICA PRADO DA SILVA</t>
  </si>
  <si>
    <t>ESPACIAL SUPRIMENTOS</t>
  </si>
  <si>
    <t>ESSENCE</t>
  </si>
  <si>
    <t>ESSENCE CONSULTORIA</t>
  </si>
  <si>
    <t>ESTRURAS MET.TOMASTEC</t>
  </si>
  <si>
    <t>ESTRUTURAL</t>
  </si>
  <si>
    <t>ESTYLLOS</t>
  </si>
  <si>
    <t>ESUR MODAS</t>
  </si>
  <si>
    <t>ESYWORD SISTEMAS E INF</t>
  </si>
  <si>
    <t>ETIQ PLAST</t>
  </si>
  <si>
    <t>ETRURIA</t>
  </si>
  <si>
    <t>ETURIA</t>
  </si>
  <si>
    <t>EUROLA</t>
  </si>
  <si>
    <t>EVENTOS E FESTAS CENTER</t>
  </si>
  <si>
    <t>EVENTOS E FESTAS CENTER L</t>
  </si>
  <si>
    <t>EVERBLUE</t>
  </si>
  <si>
    <t>EVOLUCION COM DE IMP.</t>
  </si>
  <si>
    <t>EVOLUTEX</t>
  </si>
  <si>
    <t>EXPOR MANEQUINS DISPLAYS</t>
  </si>
  <si>
    <t>EXTINTORES FIRE WORK</t>
  </si>
  <si>
    <t>EXTINTORES FRANCO</t>
  </si>
  <si>
    <t>EZCONET S/A</t>
  </si>
  <si>
    <t>F S IDEIA IND E COM LTDA</t>
  </si>
  <si>
    <t>F&amp;F ETIQUETAS LTDA ME</t>
  </si>
  <si>
    <t>F&amp;GS SERVIÇOS</t>
  </si>
  <si>
    <t>F-PACK</t>
  </si>
  <si>
    <t>F.T.G. COPIADORA LTDA ME</t>
  </si>
  <si>
    <t>F4</t>
  </si>
  <si>
    <t>FABIFER KIDS</t>
  </si>
  <si>
    <t>FABIO TURISMO</t>
  </si>
  <si>
    <t>FABRICA DOS SONHOS</t>
  </si>
  <si>
    <t>FACE JOVEM</t>
  </si>
  <si>
    <t>FACIL TEXTIL</t>
  </si>
  <si>
    <t>FADEL</t>
  </si>
  <si>
    <t>FAGEBE</t>
  </si>
  <si>
    <t>FAISCA E ESPOLETA</t>
  </si>
  <si>
    <t>FAKINI</t>
  </si>
  <si>
    <t>FALKS</t>
  </si>
  <si>
    <t>FAMA FASHION</t>
  </si>
  <si>
    <t>FAP INDUSTRIA E COMERCIO</t>
  </si>
  <si>
    <t>FAPECA</t>
  </si>
  <si>
    <t>FARAELI</t>
  </si>
  <si>
    <t>FASHION ART</t>
  </si>
  <si>
    <t>FASHION BAR</t>
  </si>
  <si>
    <t>FASHION BOYS</t>
  </si>
  <si>
    <t>FASHION KIDS PRODUÇÕES</t>
  </si>
  <si>
    <t>FASOLO</t>
  </si>
  <si>
    <t>FAST TECH MANUT DE SISTEM</t>
  </si>
  <si>
    <t>FATAL</t>
  </si>
  <si>
    <t>FATAL SURF</t>
  </si>
  <si>
    <t>FATO LION</t>
  </si>
  <si>
    <t>FAVORITA</t>
  </si>
  <si>
    <t>FAVORITO</t>
  </si>
  <si>
    <t>FAZENDO FOLIA</t>
  </si>
  <si>
    <t>FC BRASIL CONSULTORIA</t>
  </si>
  <si>
    <t>FCO SOLANO</t>
  </si>
  <si>
    <t>FEDERAL WAY</t>
  </si>
  <si>
    <t>FEITO A MÃO</t>
  </si>
  <si>
    <t>FEMINIZE LINGERIE</t>
  </si>
  <si>
    <t>FEMME &amp; NINA MODAS</t>
  </si>
  <si>
    <t>FENON</t>
  </si>
  <si>
    <t>FERCOI S/A DIVISAO</t>
  </si>
  <si>
    <t>FERMI FERRAMENTAS E MAQ</t>
  </si>
  <si>
    <t>FERNANDA MALHAS</t>
  </si>
  <si>
    <t>FERNANDA PEVIANI ME</t>
  </si>
  <si>
    <t>FERNANDES E MARTINS CATAN</t>
  </si>
  <si>
    <t>FERRAMENTAS GERAIS</t>
  </si>
  <si>
    <t>FERREIRA PEREZ</t>
  </si>
  <si>
    <t>FERUZE</t>
  </si>
  <si>
    <t>FESA C R HUMANOS LTDA</t>
  </si>
  <si>
    <t>FESA CONSUL. EM RECUR</t>
  </si>
  <si>
    <t>FG TRICOT</t>
  </si>
  <si>
    <t>FHORTEX</t>
  </si>
  <si>
    <t>FIFI KIDS AGENCIA DE MOD</t>
  </si>
  <si>
    <t>FIGURA &amp; AÇÃO</t>
  </si>
  <si>
    <t>FIM DE SEMANA FILMES LTDA</t>
  </si>
  <si>
    <t>FINA ESTAMPA LINGERIE</t>
  </si>
  <si>
    <t>FINE</t>
  </si>
  <si>
    <t>FIO &amp; ARTE</t>
  </si>
  <si>
    <t>FIO DE OURO</t>
  </si>
  <si>
    <t>FIORI EXPRESS</t>
  </si>
  <si>
    <t>FISCHER/IBERPUNTO</t>
  </si>
  <si>
    <t>FISCO SOFT</t>
  </si>
  <si>
    <t>FISHERS</t>
  </si>
  <si>
    <t>FISURA SURF</t>
  </si>
  <si>
    <t>FIT COMERCIAL</t>
  </si>
  <si>
    <t>FITASUL COMERCIO</t>
  </si>
  <si>
    <t>FITWELL</t>
  </si>
  <si>
    <t>FIVE JEANS</t>
  </si>
  <si>
    <t>FIVE MODELS AGENCIA</t>
  </si>
  <si>
    <t>FIXSOUL</t>
  </si>
  <si>
    <t>FIZZIARTE</t>
  </si>
  <si>
    <t>FJL</t>
  </si>
  <si>
    <t>FLAVIO NARCHI R DESIGN</t>
  </si>
  <si>
    <t>FLEUR LINGERIE</t>
  </si>
  <si>
    <t>FLEXTEC PECAS E EQUIP.</t>
  </si>
  <si>
    <t>FLOREMA</t>
  </si>
  <si>
    <t>FLY ONE</t>
  </si>
  <si>
    <t>FLYCA GIRLS</t>
  </si>
  <si>
    <t>FML TRANSPORTES LTDA - ME</t>
  </si>
  <si>
    <t>FOCCUS</t>
  </si>
  <si>
    <t>FOCUS SEGURANCA</t>
  </si>
  <si>
    <t>FOFINHO</t>
  </si>
  <si>
    <t>FOLLY</t>
  </si>
  <si>
    <t>FONTE DAS AGUAS</t>
  </si>
  <si>
    <t>FOR GIRL</t>
  </si>
  <si>
    <t>FORANTO</t>
  </si>
  <si>
    <t>FORCA DO MAR</t>
  </si>
  <si>
    <t>FORD MODELS</t>
  </si>
  <si>
    <t>FORE</t>
  </si>
  <si>
    <t>FORMATO ARQUITETURA LTDA</t>
  </si>
  <si>
    <t>FORMEN</t>
  </si>
  <si>
    <t>FORMITZ</t>
  </si>
  <si>
    <t>FORT FASHION</t>
  </si>
  <si>
    <t>FORT INDUSTRIA E COMERCIO</t>
  </si>
  <si>
    <t>FORTALEZA ARGAMASSAS</t>
  </si>
  <si>
    <t>FORTCARPET</t>
  </si>
  <si>
    <t>FOTOSFERA</t>
  </si>
  <si>
    <t>FRAGATA</t>
  </si>
  <si>
    <t>FRANCIELE DOS SANTOS</t>
  </si>
  <si>
    <t>FRANCISCO BATISTA PRETO</t>
  </si>
  <si>
    <t>FREDERICO ANACLETO</t>
  </si>
  <si>
    <t>FREE COMBAT</t>
  </si>
  <si>
    <t>FREE STYLE</t>
  </si>
  <si>
    <t>FRICAN</t>
  </si>
  <si>
    <t>FRICOTE MALHAS</t>
  </si>
  <si>
    <t>FRITOMAQ EQUIPAMENTOS</t>
  </si>
  <si>
    <t>FRONTEC INDUSTRIA</t>
  </si>
  <si>
    <t>FRR</t>
  </si>
  <si>
    <t>FS DE OLIVEIRA EMBALAGENS</t>
  </si>
  <si>
    <t>FUERZA FILMS SERVICOS</t>
  </si>
  <si>
    <t>FUNDACAO GETULIO VARGAS</t>
  </si>
  <si>
    <t>FUNDACAO INSTITUTO ADM 2</t>
  </si>
  <si>
    <t>FUSÃO IMPRESSÃO DIGITAL</t>
  </si>
  <si>
    <t>FUXICO</t>
  </si>
  <si>
    <t>G LUCCA</t>
  </si>
  <si>
    <t>G&amp;F BRASIL</t>
  </si>
  <si>
    <t>G.M.P GRAFICA</t>
  </si>
  <si>
    <t>G3</t>
  </si>
  <si>
    <t>G5</t>
  </si>
  <si>
    <t>GABRIELA LINGERIE</t>
  </si>
  <si>
    <t>GAGA BABY</t>
  </si>
  <si>
    <t>GALA</t>
  </si>
  <si>
    <t>GALA EMBALAGENS</t>
  </si>
  <si>
    <t>GALERA DO SURF</t>
  </si>
  <si>
    <t>GALERA DO SURF 1</t>
  </si>
  <si>
    <t>GALERA DO SURF 2</t>
  </si>
  <si>
    <t>GANGAS</t>
  </si>
  <si>
    <t>GANGAS 2</t>
  </si>
  <si>
    <t>GANGSTER</t>
  </si>
  <si>
    <t>GANGSTER 1</t>
  </si>
  <si>
    <t>GANGSTER UNIAO PL</t>
  </si>
  <si>
    <t>GAPP´S</t>
  </si>
  <si>
    <t>GAPP´S 2</t>
  </si>
  <si>
    <t>GAROTA LUA</t>
  </si>
  <si>
    <t>GASPRINT</t>
  </si>
  <si>
    <t>GATEWAY SECURITY LTDA</t>
  </si>
  <si>
    <t>GAVITTI E OLIVEIRA</t>
  </si>
  <si>
    <t>GBC GUTIERREZ CONSULTORIA</t>
  </si>
  <si>
    <t>GCI</t>
  </si>
  <si>
    <t>GEHAKA</t>
  </si>
  <si>
    <t>GEIZA MALHAS</t>
  </si>
  <si>
    <t>GEOFUSION SISTEMAS</t>
  </si>
  <si>
    <t>GEOGUS</t>
  </si>
  <si>
    <t>GEOKLOCK CONSULTORIA</t>
  </si>
  <si>
    <t>GEOMETRIC</t>
  </si>
  <si>
    <t>GERALDO MARQUES DE MELO</t>
  </si>
  <si>
    <t>GERAVOLT GERADORES</t>
  </si>
  <si>
    <t>GET ONE IMPORTACAO</t>
  </si>
  <si>
    <t>GFTK ENGENHARIA LTDA</t>
  </si>
  <si>
    <t>GGTECH SISTEMAS</t>
  </si>
  <si>
    <t>GH3</t>
  </si>
  <si>
    <t>GIBSON SOLUCOES</t>
  </si>
  <si>
    <t>GIL ENNES DO VALLE FILHO</t>
  </si>
  <si>
    <t>GILA´S MODAS</t>
  </si>
  <si>
    <t>GILBERTO TAVARES POUSADA</t>
  </si>
  <si>
    <t>GILMAC</t>
  </si>
  <si>
    <t>GIMAWA COML LTDA</t>
  </si>
  <si>
    <t>GIMBA MATERIAIS P/ESCRIT</t>
  </si>
  <si>
    <t>GIRAFFE</t>
  </si>
  <si>
    <t>GIRAPLAST</t>
  </si>
  <si>
    <t>GIULIANO SCATENA</t>
  </si>
  <si>
    <t>GK</t>
  </si>
  <si>
    <t>GL ELETRO</t>
  </si>
  <si>
    <t>GLOBAL MCB SOLUCOES</t>
  </si>
  <si>
    <t>GLOBALSITE NETWORKING</t>
  </si>
  <si>
    <t>GLOG IMPORTAÇÃO E EXP LT</t>
  </si>
  <si>
    <t>GODIGITAL</t>
  </si>
  <si>
    <t>GOLDEN CAR</t>
  </si>
  <si>
    <t>GOLDTEX</t>
  </si>
  <si>
    <t>GOLVEIA DE SOUZA &amp; MD</t>
  </si>
  <si>
    <t>GPS</t>
  </si>
  <si>
    <t>GRAF</t>
  </si>
  <si>
    <t>GRAFFITI PALACE HOTEL</t>
  </si>
  <si>
    <t>GRAFICA E EDITORA REVELAÇ</t>
  </si>
  <si>
    <t>GRAFICA ESCORPIAO</t>
  </si>
  <si>
    <t>GRAFICA FINAL COM E EDIT</t>
  </si>
  <si>
    <t>GRAMATURA</t>
  </si>
  <si>
    <t>GRAMATURA COMERCIAL TEXTI</t>
  </si>
  <si>
    <t>GRAN COFEE COM DE MAQ</t>
  </si>
  <si>
    <t>GRANADA JEANS</t>
  </si>
  <si>
    <t>GRIFFE</t>
  </si>
  <si>
    <t>GUADAGNINI</t>
  </si>
  <si>
    <t>GUARULHOS DOWNTOWN HOTEL</t>
  </si>
  <si>
    <t>GUERRIER</t>
  </si>
  <si>
    <t>GUI CONF.</t>
  </si>
  <si>
    <t>GUIDIN &amp; SILVA RESTAURANT</t>
  </si>
  <si>
    <t>GUILHERME CONFECCOES</t>
  </si>
  <si>
    <t>GUINDANI</t>
  </si>
  <si>
    <t>GUITTA RIO</t>
  </si>
  <si>
    <t>H MILANO</t>
  </si>
  <si>
    <t>H-STEEL</t>
  </si>
  <si>
    <t>HAR´TEXTIL</t>
  </si>
  <si>
    <t>HARDY LINGERIE</t>
  </si>
  <si>
    <t>HAT YAI</t>
  </si>
  <si>
    <t>HAVANA</t>
  </si>
  <si>
    <t>HAY DO BRASIL</t>
  </si>
  <si>
    <t>HB TEXTIL</t>
  </si>
  <si>
    <t>HD 110</t>
  </si>
  <si>
    <t>HDR</t>
  </si>
  <si>
    <t>HEBRU</t>
  </si>
  <si>
    <t>HEGUR</t>
  </si>
  <si>
    <t>HEIL</t>
  </si>
  <si>
    <t>HELIO FAGUNDES</t>
  </si>
  <si>
    <t>HELOMA</t>
  </si>
  <si>
    <t>HEMAL</t>
  </si>
  <si>
    <t>HERJA</t>
  </si>
  <si>
    <t>HERMES</t>
  </si>
  <si>
    <t>HERNANE ELETRICA</t>
  </si>
  <si>
    <t>HI POP</t>
  </si>
  <si>
    <t>HIDROTUDO MATERIAIS</t>
  </si>
  <si>
    <t>HIME</t>
  </si>
  <si>
    <t>HIPER FASHION</t>
  </si>
  <si>
    <t>HIPER FASHION IMPORT</t>
  </si>
  <si>
    <t>HISTERIA</t>
  </si>
  <si>
    <t>HIT TELECOMUNICACOES LTDA</t>
  </si>
  <si>
    <t>HITTY</t>
  </si>
  <si>
    <t>HLERINHA</t>
  </si>
  <si>
    <t>HM</t>
  </si>
  <si>
    <t>HMY DO BRASIL</t>
  </si>
  <si>
    <t>HOLYDAY</t>
  </si>
  <si>
    <t>HONDA DO BRASIL</t>
  </si>
  <si>
    <t>HOT PEPPERS</t>
  </si>
  <si>
    <t>HOT POINT</t>
  </si>
  <si>
    <t>HOT WORD</t>
  </si>
  <si>
    <t>HOTEL  SANTA RITA</t>
  </si>
  <si>
    <t>HOTEL GUARUMAR LTDA</t>
  </si>
  <si>
    <t>HOTEL HETROPOLIS LTDA</t>
  </si>
  <si>
    <t>HOTEL ORQUIDEA EXPRESS IN</t>
  </si>
  <si>
    <t>HOTEL RANCHO SILVESTRE LT</t>
  </si>
  <si>
    <t>HOTEL ROJAS LTDA</t>
  </si>
  <si>
    <t>HOTEL SAO RAFAEL</t>
  </si>
  <si>
    <t>HOTEL ZANON LTDA</t>
  </si>
  <si>
    <t>HR ZUASNABAR</t>
  </si>
  <si>
    <t>HROSA SERV GRAFICOS LTDA</t>
  </si>
  <si>
    <t>HS VIDEO</t>
  </si>
  <si>
    <t>HSM DO BRASIL S/A</t>
  </si>
  <si>
    <t>HULLY CAR CENTRO AUTOM</t>
  </si>
  <si>
    <t>HUUP LOOK</t>
  </si>
  <si>
    <t>HYLKINHA MODA JEANS LTDA</t>
  </si>
  <si>
    <t>I2I EVENTOS LTDA</t>
  </si>
  <si>
    <t>IBEMA</t>
  </si>
  <si>
    <t>IBERICAS PRAIA HOTEL</t>
  </si>
  <si>
    <t>IBIRO</t>
  </si>
  <si>
    <t>IBOPE INTELIGENCIA PESQ</t>
  </si>
  <si>
    <t>IBRITEX</t>
  </si>
  <si>
    <t>ICONE</t>
  </si>
  <si>
    <t>ICOURO</t>
  </si>
  <si>
    <t>IDEAL CLIMA AR COND.</t>
  </si>
  <si>
    <t>IDT LATIN AMERICA LTDA</t>
  </si>
  <si>
    <t>IEMI PROCES. DE DADOS</t>
  </si>
  <si>
    <t>IGNAZIO LOMBARDO SANTOS</t>
  </si>
  <si>
    <t>IKINHA IND.TEXTIL</t>
  </si>
  <si>
    <t>ILHA BRASIL</t>
  </si>
  <si>
    <t>ILUMNA CONSULTORIA</t>
  </si>
  <si>
    <t>ILUSTRADA LTDA - ME</t>
  </si>
  <si>
    <t>IMAGE MODEL MANAGEMENT LT</t>
  </si>
  <si>
    <t>IMAGE PRESS IMPRESSOES</t>
  </si>
  <si>
    <t>IMAGEM KIDS</t>
  </si>
  <si>
    <t>IMAGENS DIGITAIS LTDA</t>
  </si>
  <si>
    <t>IMBRAFORTE IND BRAS</t>
  </si>
  <si>
    <t>IMPERIO</t>
  </si>
  <si>
    <t>IMPERIUM MALHAS</t>
  </si>
  <si>
    <t>IMPORTS BABY</t>
  </si>
  <si>
    <t>IN LOVE CONFECÇÕES</t>
  </si>
  <si>
    <t>INA E INO</t>
  </si>
  <si>
    <t>INA E INO 2</t>
  </si>
  <si>
    <t>INBRAFIB IND. E COMERCIO</t>
  </si>
  <si>
    <t>IND COM CONFEC SOBREMONTE</t>
  </si>
  <si>
    <t>INDA FIRE EQUIPAMENTOS</t>
  </si>
  <si>
    <t>INDELEVEL</t>
  </si>
  <si>
    <t>INDEPENDENCE</t>
  </si>
  <si>
    <t>INDIA FACTORY</t>
  </si>
  <si>
    <t>INDICO S/A</t>
  </si>
  <si>
    <t>INDIGO</t>
  </si>
  <si>
    <t>INDIGO CONSULTORIA</t>
  </si>
  <si>
    <t>INDUMENTARIA TRICOT LTDA</t>
  </si>
  <si>
    <t>INDUSTRIA DA FAMA</t>
  </si>
  <si>
    <t>INEDILA</t>
  </si>
  <si>
    <t>INEX TECN ORGAN LTDA</t>
  </si>
  <si>
    <t>INFANTUS</t>
  </si>
  <si>
    <t>INFORSHOP 2</t>
  </si>
  <si>
    <t>INFORSHOP SUPRIMENTOS LTD</t>
  </si>
  <si>
    <t>INFOSOL</t>
  </si>
  <si>
    <t>INGERSOLL RAND - CURITIBA</t>
  </si>
  <si>
    <t>INGERSOLL RAND IND E COM</t>
  </si>
  <si>
    <t>INGRAM - ES</t>
  </si>
  <si>
    <t>INGRAN MICRO BRASIL</t>
  </si>
  <si>
    <t>INOVE GRAFICA DIGITAL</t>
  </si>
  <si>
    <t>INPRIMA SOLUCOES</t>
  </si>
  <si>
    <t>INTEGRACAO CONSULTORES</t>
  </si>
  <si>
    <t>INTEGRAL ALIMENTAÇÃO</t>
  </si>
  <si>
    <t>INTELIGENTE</t>
  </si>
  <si>
    <t>INTELISENSE RADIOCOMUNICA</t>
  </si>
  <si>
    <t>INTER - SÃO B. DO CAMPO</t>
  </si>
  <si>
    <t>INTERACAO</t>
  </si>
  <si>
    <t>INTERACAO 2</t>
  </si>
  <si>
    <t>INTERFILL GRAFICA</t>
  </si>
  <si>
    <t>INTERMADICA- MAUA</t>
  </si>
  <si>
    <t>INTERMEDICA - BARUERI</t>
  </si>
  <si>
    <t>INTERMEDICA - CARAPICUIBA</t>
  </si>
  <si>
    <t>INTERMEDICA - COTIA</t>
  </si>
  <si>
    <t>INTERMEDICA - DIADEMA</t>
  </si>
  <si>
    <t>INTERMEDICA - ITAPEVI</t>
  </si>
  <si>
    <t>INTERMEDICA - JUNDIAI</t>
  </si>
  <si>
    <t>INTERMEDICA PC DOM JOSE</t>
  </si>
  <si>
    <t>INTERMEDICA S/A</t>
  </si>
  <si>
    <t>INTERMEDICA-CARAPICUIBA</t>
  </si>
  <si>
    <t>INTERNACIONAL</t>
  </si>
  <si>
    <t>INTERODONTO SIST DE SAUDE</t>
  </si>
  <si>
    <t>INTERSHOPPING LOGISTICA</t>
  </si>
  <si>
    <t>INTERSYSTEMS DO BRASIL</t>
  </si>
  <si>
    <t>INTERTEXTIL</t>
  </si>
  <si>
    <t>INTIMA DIFF</t>
  </si>
  <si>
    <t>INTRACO</t>
  </si>
  <si>
    <t>INVERSAO</t>
  </si>
  <si>
    <t>IOB INF OBJETIVAS PULIC</t>
  </si>
  <si>
    <t>IOB INFORMAÇÕES</t>
  </si>
  <si>
    <t>IPC MARKETING EDITORA</t>
  </si>
  <si>
    <t>IRON MOUNTAIN DO BRASIL</t>
  </si>
  <si>
    <t>ISA MORENA</t>
  </si>
  <si>
    <t>ISA TEEN</t>
  </si>
  <si>
    <t>ISABELA</t>
  </si>
  <si>
    <t>ISABELA GARCIA</t>
  </si>
  <si>
    <t>ISMY</t>
  </si>
  <si>
    <t>ISSA</t>
  </si>
  <si>
    <t>ISSAN SIDOM</t>
  </si>
  <si>
    <t>IT2B</t>
  </si>
  <si>
    <t>ITAJAI</t>
  </si>
  <si>
    <t>ITALIAN COFFEE</t>
  </si>
  <si>
    <t>ITALIAN COFFEE  COM  SERV</t>
  </si>
  <si>
    <t>ITTONI ART</t>
  </si>
  <si>
    <t>IVONE DE ASSIS ME</t>
  </si>
  <si>
    <t>IWHA</t>
  </si>
  <si>
    <t>J &amp; P CONFECCOES</t>
  </si>
  <si>
    <t>J A DE RESENDE</t>
  </si>
  <si>
    <t>J AKKA</t>
  </si>
  <si>
    <t>J B KIDS</t>
  </si>
  <si>
    <t>J C F ENGENHARIA</t>
  </si>
  <si>
    <t>J INOX EQUIP P/COZINHA</t>
  </si>
  <si>
    <t>J JULIO TOPOGRAFIA LTDA</t>
  </si>
  <si>
    <t>J.F. ACRILICOS COMERCIAL</t>
  </si>
  <si>
    <t>J.G. MARTINS CONSTRUÇÕES</t>
  </si>
  <si>
    <t>J.K.M. CONFECCOES</t>
  </si>
  <si>
    <t>J.L. CINE VIDEO</t>
  </si>
  <si>
    <t>J.N KIDS</t>
  </si>
  <si>
    <t>J.SHAYEB &amp; CIA LTDA</t>
  </si>
  <si>
    <t>J.SHAYEB &amp; CIA LTDA 2</t>
  </si>
  <si>
    <t>JACKELINE (SOL E AGUA)</t>
  </si>
  <si>
    <t>JACKS FASHION</t>
  </si>
  <si>
    <t>JAGUARE LAVANDERIA</t>
  </si>
  <si>
    <t>JAKX CONFECCOES TEXTEIS</t>
  </si>
  <si>
    <t>JANA JOUR</t>
  </si>
  <si>
    <t>JAQUELINE MALHAS</t>
  </si>
  <si>
    <t>JARDIM HOTEL LTDA EPP</t>
  </si>
  <si>
    <t>JAVA COMERCIO IMPORTACAO</t>
  </si>
  <si>
    <t>JBA</t>
  </si>
  <si>
    <t>JBS</t>
  </si>
  <si>
    <t>JD CONFECCOES</t>
  </si>
  <si>
    <t>JD CONFECCOES 2</t>
  </si>
  <si>
    <t>JD CONFECCOES ME</t>
  </si>
  <si>
    <t>JEES</t>
  </si>
  <si>
    <t>JEFFERSON MARCOS NALIN</t>
  </si>
  <si>
    <t>JENELY MANIA</t>
  </si>
  <si>
    <t>JEREMIAS VIEIRA NETO ME</t>
  </si>
  <si>
    <t>JEZZIAN</t>
  </si>
  <si>
    <t>JEZZIAN 2</t>
  </si>
  <si>
    <t>JFILATTE SERVICOS ADM.</t>
  </si>
  <si>
    <t>JHD CONFECCOES LTDA</t>
  </si>
  <si>
    <t>JIGGY MEIAS</t>
  </si>
  <si>
    <t>JMK</t>
  </si>
  <si>
    <t>JMS - SONHO VIVO</t>
  </si>
  <si>
    <t>JO ESTILO MODAS LTDA</t>
  </si>
  <si>
    <t>JOAO PAULINO</t>
  </si>
  <si>
    <t>JOAO PESTANA FERREIRA</t>
  </si>
  <si>
    <t>JOEL LIMA COSTA - EPP</t>
  </si>
  <si>
    <t>JOFRAN</t>
  </si>
  <si>
    <t>JOG</t>
  </si>
  <si>
    <t>JOGRAL</t>
  </si>
  <si>
    <t>JOLEVER</t>
  </si>
  <si>
    <t>JOLI TEXTIL</t>
  </si>
  <si>
    <t>JOLITEX-COBERTOR/COLCHA</t>
  </si>
  <si>
    <t>JOSE ANDRE CONFECCÕES</t>
  </si>
  <si>
    <t>JOSE ANTONIO ALBERTO</t>
  </si>
  <si>
    <t>JOSE AUGUSTO GIOVANINI</t>
  </si>
  <si>
    <t>JOSE FERRIRA DA SILVA</t>
  </si>
  <si>
    <t>JOSE LUIS ALVES ELETRO.</t>
  </si>
  <si>
    <t>JOSE LUIS PEDROSO BAENA</t>
  </si>
  <si>
    <t>JOVITEX</t>
  </si>
  <si>
    <t>JOY TUBOS</t>
  </si>
  <si>
    <t>JOYFER</t>
  </si>
  <si>
    <t>JP ESCADAS LTDA</t>
  </si>
  <si>
    <t>JP MODA FASHION</t>
  </si>
  <si>
    <t>JR  ARTIGOS PARA LOJISTAS</t>
  </si>
  <si>
    <t>JR CONFECCOES</t>
  </si>
  <si>
    <t>JSRLO CONSULTORIA</t>
  </si>
  <si>
    <t>JUBARTE</t>
  </si>
  <si>
    <t>JUCELIO GOMES</t>
  </si>
  <si>
    <t>JULE IND.(TOQUE DE COR)</t>
  </si>
  <si>
    <t>JUMA</t>
  </si>
  <si>
    <t>JUNIOR M. INT. VILANI</t>
  </si>
  <si>
    <t>JUNIOR M. INTIMA(MATEUS)</t>
  </si>
  <si>
    <t>JUNIOR MD.INT.(M. VILACI)</t>
  </si>
  <si>
    <t>JUNIOR MODA INTIMA</t>
  </si>
  <si>
    <t>JUSMAX</t>
  </si>
  <si>
    <t>JUVENTUDE</t>
  </si>
  <si>
    <t>JWS INST E MONTAGENS</t>
  </si>
  <si>
    <t>K &amp; S</t>
  </si>
  <si>
    <t>K&amp;M COM DE LACRES DE SEG</t>
  </si>
  <si>
    <t>K-DU</t>
  </si>
  <si>
    <t>K.L.A COMERCIO</t>
  </si>
  <si>
    <t>KABUM S.A.</t>
  </si>
  <si>
    <t>KADU SIST CONTRA INCENDIO</t>
  </si>
  <si>
    <t>KAFE HOTEL LTDA</t>
  </si>
  <si>
    <t>KAFV PROJETOS E SERV</t>
  </si>
  <si>
    <t>KAILANI (DOCE ESTILO)</t>
  </si>
  <si>
    <t>KAJE</t>
  </si>
  <si>
    <t>KAKA FASHION</t>
  </si>
  <si>
    <t>KALAPY</t>
  </si>
  <si>
    <t>KALUNGA COM IND GRAFICA</t>
  </si>
  <si>
    <t>KALUNGA COM. E IND. GRAFI</t>
  </si>
  <si>
    <t>KAMBRI</t>
  </si>
  <si>
    <t>KAMPEN</t>
  </si>
  <si>
    <t>KAMYLUS</t>
  </si>
  <si>
    <t>KANAPE</t>
  </si>
  <si>
    <t>KANGA JUNGEE</t>
  </si>
  <si>
    <t>KANTO DOS SONHOS</t>
  </si>
  <si>
    <t>KARASUJA</t>
  </si>
  <si>
    <t>KARASUJA 2</t>
  </si>
  <si>
    <t>KARIN SAMANTHA GIORGETTA</t>
  </si>
  <si>
    <t>KARINA MALHAS</t>
  </si>
  <si>
    <t>KARISMAR</t>
  </si>
  <si>
    <t>KAROBINHA</t>
  </si>
  <si>
    <t>KAROL L MALHAS</t>
  </si>
  <si>
    <t>KARSTEN</t>
  </si>
  <si>
    <t>KASHIMA BRAZILIAN</t>
  </si>
  <si>
    <t>KASTON CONFECCOES</t>
  </si>
  <si>
    <t>KAZZO</t>
  </si>
  <si>
    <t>KBO</t>
  </si>
  <si>
    <t>KC SHOP</t>
  </si>
  <si>
    <t>KDT</t>
  </si>
  <si>
    <t>KEEP</t>
  </si>
  <si>
    <t>KEFEL</t>
  </si>
  <si>
    <t>KELAR DIST. E REPR. LTDA</t>
  </si>
  <si>
    <t>KEM SUPRIMENTOS</t>
  </si>
  <si>
    <t>KENTUCHE</t>
  </si>
  <si>
    <t>KENY</t>
  </si>
  <si>
    <t>KERPYZ</t>
  </si>
  <si>
    <t>KERR ENGENHARIA E FUNDACA</t>
  </si>
  <si>
    <t>KEVLAND</t>
  </si>
  <si>
    <t>KEYD</t>
  </si>
  <si>
    <t>KHAGE</t>
  </si>
  <si>
    <t>KHAGE 2</t>
  </si>
  <si>
    <t>KIKA LINGERIE</t>
  </si>
  <si>
    <t>KIKERS</t>
  </si>
  <si>
    <t>KIKI XODO</t>
  </si>
  <si>
    <t>KIKO</t>
  </si>
  <si>
    <t>KILT</t>
  </si>
  <si>
    <t>KIMALUKOO</t>
  </si>
  <si>
    <t>KINWAY</t>
  </si>
  <si>
    <t>KINWAY MODA PRAIA</t>
  </si>
  <si>
    <t>KM 10</t>
  </si>
  <si>
    <t>KOALA</t>
  </si>
  <si>
    <t>KOHMAR</t>
  </si>
  <si>
    <t>KOKIRI</t>
  </si>
  <si>
    <t>KOLLY</t>
  </si>
  <si>
    <t>KOMPORT</t>
  </si>
  <si>
    <t>KOSIUKO</t>
  </si>
  <si>
    <t>KOSIUKO 2</t>
  </si>
  <si>
    <t>KS MIL</t>
  </si>
  <si>
    <t>KTF //FELIPE BITENCOURT D</t>
  </si>
  <si>
    <t>KYLY</t>
  </si>
  <si>
    <t>KYOTO</t>
  </si>
  <si>
    <t>KZARA CONFECCOES</t>
  </si>
  <si>
    <t>L E C CHRIS</t>
  </si>
  <si>
    <t>L EQUIPE AGENCE</t>
  </si>
  <si>
    <t>L M DE CARVALHO TRANSP</t>
  </si>
  <si>
    <t>L.L COM. DE FERRAMENTAS</t>
  </si>
  <si>
    <t>L2L IMP E EXP</t>
  </si>
  <si>
    <t>LA BELLEZZA</t>
  </si>
  <si>
    <t>LA ONDA</t>
  </si>
  <si>
    <t>LACERDA &amp; LACERDA</t>
  </si>
  <si>
    <t>LACHER IND. E COM. LTDA</t>
  </si>
  <si>
    <t>LADY IN ORANGE</t>
  </si>
  <si>
    <t>LAIBEL CONFECOES EIRELI</t>
  </si>
  <si>
    <t>LALA</t>
  </si>
  <si>
    <t>LALYK JEANS</t>
  </si>
  <si>
    <t>LAMARCA 3 VEICULOAÇÃO</t>
  </si>
  <si>
    <t>LAMOUR</t>
  </si>
  <si>
    <t>LANCHER</t>
  </si>
  <si>
    <t>LANG</t>
  </si>
  <si>
    <t>LANGERRIL</t>
  </si>
  <si>
    <t>LANIO TECELAGEM</t>
  </si>
  <si>
    <t>LANNA FIOLI</t>
  </si>
  <si>
    <t>LAOS 26</t>
  </si>
  <si>
    <t>LAR PLASTICOS</t>
  </si>
  <si>
    <t>LARISSA</t>
  </si>
  <si>
    <t>LAROSY</t>
  </si>
  <si>
    <t>LAS VEGAS</t>
  </si>
  <si>
    <t>LATREILLE</t>
  </si>
  <si>
    <t>LAURYANE</t>
  </si>
  <si>
    <t>LAURYNE</t>
  </si>
  <si>
    <t>LAW &amp; PS MULTIDADOS INF</t>
  </si>
  <si>
    <t>LB KIDS</t>
  </si>
  <si>
    <t>LB MODAS</t>
  </si>
  <si>
    <t>LBS BRINDES DO BRASIL</t>
  </si>
  <si>
    <t>LC DISTRIBUIDORA</t>
  </si>
  <si>
    <t>LCR ENGENHARIA LTDA</t>
  </si>
  <si>
    <t>LDN TEXTIL</t>
  </si>
  <si>
    <t>LE FIX</t>
  </si>
  <si>
    <t>LE SAC</t>
  </si>
  <si>
    <t>LEANDREX COME. DE BRINDES</t>
  </si>
  <si>
    <t>LECIMAR</t>
  </si>
  <si>
    <t>LEDERTEX</t>
  </si>
  <si>
    <t>LEDERTEX PLASTICOS.</t>
  </si>
  <si>
    <t>LEGAL SISTEMAS DE INFORM</t>
  </si>
  <si>
    <t>LELO MALHAS</t>
  </si>
  <si>
    <t>LELUI</t>
  </si>
  <si>
    <t>LEMANG</t>
  </si>
  <si>
    <t>LEMIER</t>
  </si>
  <si>
    <t>LEONORA LUZIA MATTEI</t>
  </si>
  <si>
    <t>LEPETIT</t>
  </si>
  <si>
    <t>LEPOK</t>
  </si>
  <si>
    <t>LEPOK - CDL</t>
  </si>
  <si>
    <t>LEPPER</t>
  </si>
  <si>
    <t>LESECASSI PROM DE EVENTOS</t>
  </si>
  <si>
    <t>LESSENTIEL</t>
  </si>
  <si>
    <t>LESTE SERVICOS</t>
  </si>
  <si>
    <t>LETE</t>
  </si>
  <si>
    <t>LEVION</t>
  </si>
  <si>
    <t>LEXMAR (SH)</t>
  </si>
  <si>
    <t>LEXMAR INDUSTRIA</t>
  </si>
  <si>
    <t>LEXMAR INDUSTRIA 2</t>
  </si>
  <si>
    <t>LEXMARK</t>
  </si>
  <si>
    <t>LFL ENGENHARIA</t>
  </si>
  <si>
    <t>LHD ELETRONICOS</t>
  </si>
  <si>
    <t>LIANAN</t>
  </si>
  <si>
    <t>LIBELL ELETRODOMESTICO</t>
  </si>
  <si>
    <t>LIBELULA</t>
  </si>
  <si>
    <t>LICENTEC CONSTRUCOES</t>
  </si>
  <si>
    <t>LIEBE</t>
  </si>
  <si>
    <t>LIFE LONG</t>
  </si>
  <si>
    <t>LILY BILY</t>
  </si>
  <si>
    <t>LIMA E CASTRO</t>
  </si>
  <si>
    <t>LIMITE VIRTUAL</t>
  </si>
  <si>
    <t>LIMPADORA CANADA</t>
  </si>
  <si>
    <t>LINE</t>
  </si>
  <si>
    <t>LINHA 13</t>
  </si>
  <si>
    <t>LINK</t>
  </si>
  <si>
    <t>LINX SISTEMAS</t>
  </si>
  <si>
    <t>LIP NIK</t>
  </si>
  <si>
    <t>LITOGRAFIA LIDERGRAF LTDA</t>
  </si>
  <si>
    <t>LITTLE STAR</t>
  </si>
  <si>
    <t>LIVCORP</t>
  </si>
  <si>
    <t>LIVIA</t>
  </si>
  <si>
    <t>LIVIA SALLES</t>
  </si>
  <si>
    <t>LIVY MALHAS</t>
  </si>
  <si>
    <t>LKM COMUNICACAO VISUAL</t>
  </si>
  <si>
    <t>LOCAL SURF</t>
  </si>
  <si>
    <t>LOCALIZA</t>
  </si>
  <si>
    <t>LOCANDAIMES COMERCIO</t>
  </si>
  <si>
    <t>LOCAWEB SERVIÇOS DE INT</t>
  </si>
  <si>
    <t>LOG &amp; PRINT</t>
  </si>
  <si>
    <t>LOG &amp; PRINT DADOS</t>
  </si>
  <si>
    <t>LOG FASHION -ARMAZENAGEM</t>
  </si>
  <si>
    <t>LOGAN</t>
  </si>
  <si>
    <t>LOGITÉCNICA COM E SERVIÇO</t>
  </si>
  <si>
    <t>LOHANNY MALHAS</t>
  </si>
  <si>
    <t>LOJAS EMOFER</t>
  </si>
  <si>
    <t>LOJATECNICA DE NOBREAK</t>
  </si>
  <si>
    <t>LOLYPOP</t>
  </si>
  <si>
    <t>LOLYPOP 2</t>
  </si>
  <si>
    <t>LONG BEACH</t>
  </si>
  <si>
    <t>LONG WALK</t>
  </si>
  <si>
    <t>LOOK COMERCIAL TEXTIL</t>
  </si>
  <si>
    <t>LOOK MIX</t>
  </si>
  <si>
    <t>LOOK NOW</t>
  </si>
  <si>
    <t>LOOP POP</t>
  </si>
  <si>
    <t>LOPOK</t>
  </si>
  <si>
    <t>LORD IND E COM DE EMBALAG</t>
  </si>
  <si>
    <t>LORDPLASTICS EMBALAGENS</t>
  </si>
  <si>
    <t>LOTUS GRAFICA</t>
  </si>
  <si>
    <t>LOURRAN</t>
  </si>
  <si>
    <t>LOVE FASHION</t>
  </si>
  <si>
    <t>LOVELY BABY</t>
  </si>
  <si>
    <t>LPM (NOVO HOR. MALHAS)</t>
  </si>
  <si>
    <t>LUA LUA (INFA BORD)</t>
  </si>
  <si>
    <t>LUA LUA 2</t>
  </si>
  <si>
    <t>LUA PRODUCOES SONORAS</t>
  </si>
  <si>
    <t>LUANA MALHAS</t>
  </si>
  <si>
    <t>LUCASKOK</t>
  </si>
  <si>
    <t>LUCIANA REGINA DE AGUIAR</t>
  </si>
  <si>
    <t>LUCIELLA</t>
  </si>
  <si>
    <t>LUCITEX</t>
  </si>
  <si>
    <t>LUCK</t>
  </si>
  <si>
    <t>LUIZ CARLOS CUNHA</t>
  </si>
  <si>
    <t>LUIZ CAVALINI</t>
  </si>
  <si>
    <t>LUIZ HENRIQUE LOPES</t>
  </si>
  <si>
    <t>LUKY &amp; BUKY</t>
  </si>
  <si>
    <t>LULI</t>
  </si>
  <si>
    <t>LUMATEX</t>
  </si>
  <si>
    <t>LUMEN SERVICOS GRAFICOS</t>
  </si>
  <si>
    <t>LUMIERE AGENCIA DE MODELO</t>
  </si>
  <si>
    <t>LUNENDER</t>
  </si>
  <si>
    <t>LUNERA</t>
  </si>
  <si>
    <t>LUPO</t>
  </si>
  <si>
    <t>LUTESTIL</t>
  </si>
  <si>
    <t>LUXCEL</t>
  </si>
  <si>
    <t>LUZ AQUI</t>
  </si>
  <si>
    <t>LX TEXTIL</t>
  </si>
  <si>
    <t>LYGER</t>
  </si>
  <si>
    <t>LYOS</t>
  </si>
  <si>
    <t>LYRA NETWORK TELECOM</t>
  </si>
  <si>
    <t>M CAFF CONFECÇÕES</t>
  </si>
  <si>
    <t>M CALANDRIN</t>
  </si>
  <si>
    <t>M J CLIMATIZACAO</t>
  </si>
  <si>
    <t>M L CONFECCOES</t>
  </si>
  <si>
    <t>M S PRISMA TRIBUTOS</t>
  </si>
  <si>
    <t>M.C. FONSECA ANDRADE</t>
  </si>
  <si>
    <t>M.F.Q. GUIMARAES IMP</t>
  </si>
  <si>
    <t>M.G.S.</t>
  </si>
  <si>
    <t>M.J DE PAULA FILHO</t>
  </si>
  <si>
    <t>M.P.T.COMERCIO DE ELETRO</t>
  </si>
  <si>
    <t>M.V.L PROJETOS</t>
  </si>
  <si>
    <t>M2A</t>
  </si>
  <si>
    <t>MAAD</t>
  </si>
  <si>
    <t>MAB-21</t>
  </si>
  <si>
    <t>MABUIA</t>
  </si>
  <si>
    <t>MAC ROSE</t>
  </si>
  <si>
    <t>MACAW</t>
  </si>
  <si>
    <t>MADI DESCARTAVEIS</t>
  </si>
  <si>
    <t>MADRECITTA</t>
  </si>
  <si>
    <t>MAFITA SONAR</t>
  </si>
  <si>
    <t>MAG CONFECCOES</t>
  </si>
  <si>
    <t>MAGAZINE LUIZA</t>
  </si>
  <si>
    <t>MAGAZINE LUIZA LOUVEIRA</t>
  </si>
  <si>
    <t>MAGAZINE LUIZA S/A</t>
  </si>
  <si>
    <t>MAGAZINE LUIZA SA</t>
  </si>
  <si>
    <t>MAGAZINELUIZA MATEO BEI</t>
  </si>
  <si>
    <t>MAGIC</t>
  </si>
  <si>
    <t>MAGIC COLLOR</t>
  </si>
  <si>
    <t>MAGISTRAL</t>
  </si>
  <si>
    <t>MAGNUM INDUSTRIAL</t>
  </si>
  <si>
    <t>MAIA &amp; MAIA</t>
  </si>
  <si>
    <t>MAK LEN</t>
  </si>
  <si>
    <t>MAKAY</t>
  </si>
  <si>
    <t>MALHARIA CRISTINA</t>
  </si>
  <si>
    <t>MALHARIA JK</t>
  </si>
  <si>
    <t>MALHARIA LOURDINHA</t>
  </si>
  <si>
    <t>MALHARIA MAGNIN LTDA - ME</t>
  </si>
  <si>
    <t>MALHARIA PIO XII</t>
  </si>
  <si>
    <t>MALHARIA SANTA RITA</t>
  </si>
  <si>
    <t>MALHARIA STA RITA (2)</t>
  </si>
  <si>
    <t>MALHAS CARAVELA</t>
  </si>
  <si>
    <t>MALHAS CASUAL &amp; CHIK LTDA</t>
  </si>
  <si>
    <t>MALHAS ELOISA</t>
  </si>
  <si>
    <t>MALHAS ELZA</t>
  </si>
  <si>
    <t>MALHAS INGRID</t>
  </si>
  <si>
    <t>MALHAS KASSIA</t>
  </si>
  <si>
    <t>MALHAS MACIEL</t>
  </si>
  <si>
    <t>MALHAS MAGIOLI</t>
  </si>
  <si>
    <t>MALHAS SALEN</t>
  </si>
  <si>
    <t>MALHAS SUL</t>
  </si>
  <si>
    <t>MALHAS TRICOT FASHION</t>
  </si>
  <si>
    <t>MALI</t>
  </si>
  <si>
    <t>MALU MACEDO</t>
  </si>
  <si>
    <t>MALUPI</t>
  </si>
  <si>
    <t>MALWEE MALHAS</t>
  </si>
  <si>
    <t>MANGA LARGA</t>
  </si>
  <si>
    <t>MANIA DE SEDUÇÃO</t>
  </si>
  <si>
    <t>MANTTO</t>
  </si>
  <si>
    <t>MANULI FITAS DO BRASIL</t>
  </si>
  <si>
    <t>MANUTENCOES OLIVEIRA</t>
  </si>
  <si>
    <t>MAO SANTA COM E PROD</t>
  </si>
  <si>
    <t>MAPA DAS ESTRELAS</t>
  </si>
  <si>
    <t>MAR QUENTE(GANGSTER)</t>
  </si>
  <si>
    <t>MAR-FHIL MODA PRAIA</t>
  </si>
  <si>
    <t>MARCEL BR</t>
  </si>
  <si>
    <t>MARCELO NUNES</t>
  </si>
  <si>
    <t>MARCIA ME</t>
  </si>
  <si>
    <t>MARCILIO BANCHER</t>
  </si>
  <si>
    <t>MARCO JOSE DE CARVALHO</t>
  </si>
  <si>
    <t>MARCOS BRUNO</t>
  </si>
  <si>
    <t>MARCOS DE ANDRADE MENDES</t>
  </si>
  <si>
    <t>MARCOS ROLANDO CABRERA</t>
  </si>
  <si>
    <t>MARE DELUI</t>
  </si>
  <si>
    <t>MARFRAN</t>
  </si>
  <si>
    <t>MARIA APARECIDA FAVARO</t>
  </si>
  <si>
    <t>MARIA BEATRIZ</t>
  </si>
  <si>
    <t>MARIA DE LEUZA SILVA ME</t>
  </si>
  <si>
    <t>MARIA GERMANA MARTINS</t>
  </si>
  <si>
    <t>MARIA HELENA MACHADO</t>
  </si>
  <si>
    <t>MARIA LUCIA GUIMARAES</t>
  </si>
  <si>
    <t>MARIA MARIA</t>
  </si>
  <si>
    <t>MARIA MULHER</t>
  </si>
  <si>
    <t>MARIANA KATO SILVA TELLES</t>
  </si>
  <si>
    <t>MARIANA MENDONCA COBRA</t>
  </si>
  <si>
    <t>MARIELLA UNDERWEAR</t>
  </si>
  <si>
    <t>MARINA MORENA</t>
  </si>
  <si>
    <t>MARINEIDE CORDEIRO SANTOS</t>
  </si>
  <si>
    <t>MARISTUR</t>
  </si>
  <si>
    <t>MARIZA M DOS SANTOS ME</t>
  </si>
  <si>
    <t>MARKK</t>
  </si>
  <si>
    <t>MARLAN</t>
  </si>
  <si>
    <t>MARMOEX COMERCIO</t>
  </si>
  <si>
    <t>MARO MODAS</t>
  </si>
  <si>
    <t>MARTE MODAS</t>
  </si>
  <si>
    <t>MARTEX CONFECCOES</t>
  </si>
  <si>
    <t>MARTIN OFFICE</t>
  </si>
  <si>
    <t>MARYSLENE</t>
  </si>
  <si>
    <t>MASH</t>
  </si>
  <si>
    <t>MASTER BUFALO</t>
  </si>
  <si>
    <t>MASTER COMERCIAL</t>
  </si>
  <si>
    <t>MASTER EXPRESS ENTREGA</t>
  </si>
  <si>
    <t>MASTER GRANDE CONF DE MAL</t>
  </si>
  <si>
    <t>MASTER MODAS</t>
  </si>
  <si>
    <t>MATRIX</t>
  </si>
  <si>
    <t>MATRIZ</t>
  </si>
  <si>
    <t>MATRIZ BRESSER</t>
  </si>
  <si>
    <t>MATSUMOTO PAPELARIA E ART</t>
  </si>
  <si>
    <t>MATTEUS</t>
  </si>
  <si>
    <t>MATTHEW DENNIS BURNS</t>
  </si>
  <si>
    <t>MATTOS FILHO</t>
  </si>
  <si>
    <t>MAURO MAGALHAES MED INF</t>
  </si>
  <si>
    <t>MAUSER SECURITY &amp; LABELS</t>
  </si>
  <si>
    <t>MAX GRANDE LESTE SOLUÇÕES</t>
  </si>
  <si>
    <t>MAXPRAG CONTROLE DE PRAGA</t>
  </si>
  <si>
    <t>MAXXI MALOTES</t>
  </si>
  <si>
    <t>MAYENNE</t>
  </si>
  <si>
    <t>MAZZUCHI</t>
  </si>
  <si>
    <t>MBX PRODUCOES E COMERCIO</t>
  </si>
  <si>
    <t>MC CAMISARIA</t>
  </si>
  <si>
    <t>MC CAMISARIA 2</t>
  </si>
  <si>
    <t>MC COM DE AGUA MINERAL LT</t>
  </si>
  <si>
    <t>MC JO</t>
  </si>
  <si>
    <t>MC MALHAS</t>
  </si>
  <si>
    <t>MC2</t>
  </si>
  <si>
    <t>MD CARIMBOS</t>
  </si>
  <si>
    <t>MD CARIMBOS COMERCIO</t>
  </si>
  <si>
    <t>MEGA IDEIA</t>
  </si>
  <si>
    <t>MEGA MEGA</t>
  </si>
  <si>
    <t>MEGA REEF</t>
  </si>
  <si>
    <t>MEGA SUPORTE</t>
  </si>
  <si>
    <t>MEKOR</t>
  </si>
  <si>
    <t>MEKTREFE</t>
  </si>
  <si>
    <t>MELO &amp; JR</t>
  </si>
  <si>
    <t>MELTEX</t>
  </si>
  <si>
    <t>MELTEX 2</t>
  </si>
  <si>
    <t>MENINA BONITA</t>
  </si>
  <si>
    <t>MENINA CHARMOSA</t>
  </si>
  <si>
    <t>MENINA DE OURO</t>
  </si>
  <si>
    <t>MENINA LINDA</t>
  </si>
  <si>
    <t>MENINA SAPEKA</t>
  </si>
  <si>
    <t>MENPHIS</t>
  </si>
  <si>
    <t>MENTA &amp; MELLOW COMERCIAL</t>
  </si>
  <si>
    <t>MENTA E MELLOW ( KAINOA )</t>
  </si>
  <si>
    <t>MERCADO 13</t>
  </si>
  <si>
    <t>MERCES MALHAS</t>
  </si>
  <si>
    <t>MERCI</t>
  </si>
  <si>
    <t>METAL GRAFICA MOGI LTDA</t>
  </si>
  <si>
    <t>METROPOLITAN TRANSPORTES</t>
  </si>
  <si>
    <t>MFD COM DE EQUIPAMENTOS</t>
  </si>
  <si>
    <t>MG&amp;A CONSULTORES DE SOLO</t>
  </si>
  <si>
    <t>MGM ARQUITETURA</t>
  </si>
  <si>
    <t>MGM COMUNICAÇÃO VISUAL</t>
  </si>
  <si>
    <t>MH CONFECCOES</t>
  </si>
  <si>
    <t>MICHELLE ROSEMARA B SILVA</t>
  </si>
  <si>
    <t>MICROSTRATEGY BRASIL LTDA</t>
  </si>
  <si>
    <t>MICROTON INFORMATICA</t>
  </si>
  <si>
    <t>MIDDYA</t>
  </si>
  <si>
    <t>MIDIA JA</t>
  </si>
  <si>
    <t>MIDIA JA PROM E EVENTOS</t>
  </si>
  <si>
    <t>MILAGRES</t>
  </si>
  <si>
    <t>MILAGRO COM IMP E EXP</t>
  </si>
  <si>
    <t>MILAMUR</t>
  </si>
  <si>
    <t>MILENIUM MODAS</t>
  </si>
  <si>
    <t>MILITAO ARQUITETO</t>
  </si>
  <si>
    <t>MILITAO JOSE MOTA NETO</t>
  </si>
  <si>
    <t>MILLANIM</t>
  </si>
  <si>
    <t>MIMIKAS</t>
  </si>
  <si>
    <t>MIMOZINHA</t>
  </si>
  <si>
    <t>MINI LUNNY</t>
  </si>
  <si>
    <t>MIRALUX IND E COM DE AP</t>
  </si>
  <si>
    <t>MISS BELLY</t>
  </si>
  <si>
    <t>MISS CALLA</t>
  </si>
  <si>
    <t>MISS FASHION</t>
  </si>
  <si>
    <t>MISS LADY</t>
  </si>
  <si>
    <t>MISS PANDORA</t>
  </si>
  <si>
    <t>MISS PECK</t>
  </si>
  <si>
    <t>MISSO</t>
  </si>
  <si>
    <t>MISTER X (AYATEX)</t>
  </si>
  <si>
    <t>MIX</t>
  </si>
  <si>
    <t>MIX 2</t>
  </si>
  <si>
    <t>MJN</t>
  </si>
  <si>
    <t>MJN 2</t>
  </si>
  <si>
    <t>MKGL IND E COM DE ARAME</t>
  </si>
  <si>
    <t>MKR</t>
  </si>
  <si>
    <t>MMB PROD DE EVENTOS</t>
  </si>
  <si>
    <t>MMCAFE SERVICOS</t>
  </si>
  <si>
    <t>MNFHASHION CONFECCOES</t>
  </si>
  <si>
    <t>MNOVA</t>
  </si>
  <si>
    <t>MODA ATUAL MALHAS</t>
  </si>
  <si>
    <t>MODA E CIA</t>
  </si>
  <si>
    <t>MODA LIBERADA</t>
  </si>
  <si>
    <t>MODULAR</t>
  </si>
  <si>
    <t>MOLEKADA INDUSTRIA E COM</t>
  </si>
  <si>
    <t>MOMENTUS</t>
  </si>
  <si>
    <t>MONDIALE PROD ARTISTICAS</t>
  </si>
  <si>
    <t>MONDICAP CABIDES LTDA</t>
  </si>
  <si>
    <t>MONICA DIAS</t>
  </si>
  <si>
    <t>MONO</t>
  </si>
  <si>
    <t>MONOGRAM CONFECÇÕES</t>
  </si>
  <si>
    <t>MONOPOLIO</t>
  </si>
  <si>
    <t>MONTE SINAI</t>
  </si>
  <si>
    <t>MOON CITY</t>
  </si>
  <si>
    <t>MORAES &amp; MORAES ESTACION</t>
  </si>
  <si>
    <t>MORIO ABE</t>
  </si>
  <si>
    <t>MOS PUCCIARELLI</t>
  </si>
  <si>
    <t>MR KIDS</t>
  </si>
  <si>
    <t>MR SONDAGENS E ESTACAS</t>
  </si>
  <si>
    <t>MR TRANSPORTES DE DOC</t>
  </si>
  <si>
    <t>MUC  S 2</t>
  </si>
  <si>
    <t>MUC´S</t>
  </si>
  <si>
    <t>MUG CONFECCOES</t>
  </si>
  <si>
    <t>MULTI DADOS INFORMATICA</t>
  </si>
  <si>
    <t>MULTI TECH</t>
  </si>
  <si>
    <t>MULTIFORME</t>
  </si>
  <si>
    <t>MULTILINEAS</t>
  </si>
  <si>
    <t>MULTILIXO REMOCOES</t>
  </si>
  <si>
    <t>MULTIMARCAS</t>
  </si>
  <si>
    <t>MULTINET TECNOLOGIA</t>
  </si>
  <si>
    <t>MUNDI TEXTIL LTDA</t>
  </si>
  <si>
    <t>MUNDO INFANTIL</t>
  </si>
  <si>
    <t>MUNIK CHOCOLATES</t>
  </si>
  <si>
    <t>MURANO</t>
  </si>
  <si>
    <t>MURIA</t>
  </si>
  <si>
    <t>MX-72</t>
  </si>
  <si>
    <t>MX2</t>
  </si>
  <si>
    <t>MY BOLSAS</t>
  </si>
  <si>
    <t>MYBYZ</t>
  </si>
  <si>
    <t>MYSTIK</t>
  </si>
  <si>
    <t>MYTHUS</t>
  </si>
  <si>
    <t>MYX COMERCIAL</t>
  </si>
  <si>
    <t>MZSOLUTION</t>
  </si>
  <si>
    <t>N CHAVES PERITOS MEDICOS</t>
  </si>
  <si>
    <t>N L ORMUNDO MOVEIS</t>
  </si>
  <si>
    <t>N MALHAS</t>
  </si>
  <si>
    <t>N P S FORTUNATO</t>
  </si>
  <si>
    <t>NACOES EMBALAGENS</t>
  </si>
  <si>
    <t>NAGAMAQ COM ELETRONICA</t>
  </si>
  <si>
    <t>NAINA</t>
  </si>
  <si>
    <t>NARDO PURO</t>
  </si>
  <si>
    <t>NATHALIA MALHAS</t>
  </si>
  <si>
    <t>NATIVO/BLUEWAVE</t>
  </si>
  <si>
    <t>NATS BABY</t>
  </si>
  <si>
    <t>NAXOS</t>
  </si>
  <si>
    <t>NAXOS IND IMP E EXP</t>
  </si>
  <si>
    <t>NELLONDA</t>
  </si>
  <si>
    <t>NELSON CHERUBIN IMPRESSOS</t>
  </si>
  <si>
    <t>NEOBAND SOLUÇÃOES GRAF</t>
  </si>
  <si>
    <t>NEOGRID SOFTWARE S/A</t>
  </si>
  <si>
    <t>NEOVIA TELECOMUNICACOES</t>
  </si>
  <si>
    <t>NET SERVIÇOS</t>
  </si>
  <si>
    <t>NET VIRTUA</t>
  </si>
  <si>
    <t>NEUROTECH</t>
  </si>
  <si>
    <t>NEUS TECNOLOGIA DA INF</t>
  </si>
  <si>
    <t>NEUZA CAMPOS</t>
  </si>
  <si>
    <t>NEW ACO</t>
  </si>
  <si>
    <t>NEW CO LTDA</t>
  </si>
  <si>
    <t>NEW FACE SANTOS LTDA</t>
  </si>
  <si>
    <t>NEW LOOK MALHAS</t>
  </si>
  <si>
    <t>NEW MAGIC</t>
  </si>
  <si>
    <t>NEW MALU</t>
  </si>
  <si>
    <t>NEW MAX</t>
  </si>
  <si>
    <t>NEW VEST</t>
  </si>
  <si>
    <t>NEW WAY</t>
  </si>
  <si>
    <t>NEXT FASHION</t>
  </si>
  <si>
    <t>NEXTEL TELECOMUNICACOES</t>
  </si>
  <si>
    <t>NEXTEL TELECOMUNICAÇÕES</t>
  </si>
  <si>
    <t>NEY FAR</t>
  </si>
  <si>
    <t>NG2 CONFECCOES</t>
  </si>
  <si>
    <t>NGR COMERCIO</t>
  </si>
  <si>
    <t>NIC BR</t>
  </si>
  <si>
    <t>NICE BRASIL</t>
  </si>
  <si>
    <t>NICK FASHION</t>
  </si>
  <si>
    <t>NILCATEX TEXTIL</t>
  </si>
  <si>
    <t>NILTON VIEIRA</t>
  </si>
  <si>
    <t>NINA MOCA</t>
  </si>
  <si>
    <t>NINANDO</t>
  </si>
  <si>
    <t>NO STOP</t>
  </si>
  <si>
    <t>NOG COMERCIO DE BRINDES</t>
  </si>
  <si>
    <t>NOROESTE CONSTRUCOES</t>
  </si>
  <si>
    <t>NOSSO MUNDO</t>
  </si>
  <si>
    <t>NOUK INDUSTRIA E COMERCIO</t>
  </si>
  <si>
    <t>NOVA COMERCIO</t>
  </si>
  <si>
    <t>NOVA GERACAO</t>
  </si>
  <si>
    <t>NOVA PONTOCOM</t>
  </si>
  <si>
    <t>NOVA RIO</t>
  </si>
  <si>
    <t>NOVAPACK</t>
  </si>
  <si>
    <t>NOVITTÁ</t>
  </si>
  <si>
    <t>NOVO CORACAO BRASILEIRO</t>
  </si>
  <si>
    <t>NOVO ESTILO CONF.</t>
  </si>
  <si>
    <t>NOVO HORIZONTE</t>
  </si>
  <si>
    <t>NOW BUCK</t>
  </si>
  <si>
    <t>NPR</t>
  </si>
  <si>
    <t>NUCLEAR</t>
  </si>
  <si>
    <t>NUCLEO INDUSTRIA TEXTIL</t>
  </si>
  <si>
    <t>NURIA TRICOT</t>
  </si>
  <si>
    <t>NYTRON</t>
  </si>
  <si>
    <t>NZ CONFECCOES</t>
  </si>
  <si>
    <t>O GATO COMEU CONFECCOES</t>
  </si>
  <si>
    <t>OBJETIVA</t>
  </si>
  <si>
    <t>OBJETO BRASIL</t>
  </si>
  <si>
    <t>OBSESSÃO JEANS</t>
  </si>
  <si>
    <t>OCA MODELS AGENCIA DE MOD</t>
  </si>
  <si>
    <t>OCCY</t>
  </si>
  <si>
    <t>OCEAN</t>
  </si>
  <si>
    <t>OCEAN BROTHERS</t>
  </si>
  <si>
    <t>OCEANICA</t>
  </si>
  <si>
    <t>OCO</t>
  </si>
  <si>
    <t>ODYMALHAS</t>
  </si>
  <si>
    <t>OFFCER DISTRIB</t>
  </si>
  <si>
    <t>OFFICER DISTRIBUIDORA</t>
  </si>
  <si>
    <t>OFFICER DISTRIBUIDORA -ES</t>
  </si>
  <si>
    <t>OFFICINA SOPHIA CON APL.</t>
  </si>
  <si>
    <t>OKAVANGOO</t>
  </si>
  <si>
    <t>OLINDA FRANCISCA</t>
  </si>
  <si>
    <t>OLIVEIRA CRIACOES</t>
  </si>
  <si>
    <t>OLIVEIRA EUFRAZIO DE CARV</t>
  </si>
  <si>
    <t>OLIVEIRA PRADO MARCAS</t>
  </si>
  <si>
    <t>OLIVEIRA-COM R.IR.OLIVEIR</t>
  </si>
  <si>
    <t>OMARTEX</t>
  </si>
  <si>
    <t>OMBAK</t>
  </si>
  <si>
    <t>OMEGA</t>
  </si>
  <si>
    <t>ONCROSS</t>
  </si>
  <si>
    <t>ONDULAPEL</t>
  </si>
  <si>
    <t>ONIX TELEINFORMATICA</t>
  </si>
  <si>
    <t>ONNES</t>
  </si>
  <si>
    <t>OPÇÃO GRAFICA EDITORA LTD</t>
  </si>
  <si>
    <t>OPEN COUNTRY</t>
  </si>
  <si>
    <t>OPEN DAY (MH)</t>
  </si>
  <si>
    <t>OPTIMIST</t>
  </si>
  <si>
    <t>OPUS DESIGN LTDA</t>
  </si>
  <si>
    <t>ORBITAL SIGNS</t>
  </si>
  <si>
    <t>ORIENTHA ASSESSORIA</t>
  </si>
  <si>
    <t>ORIGINAL ENGENHARIA E CON</t>
  </si>
  <si>
    <t>ORTUNHO</t>
  </si>
  <si>
    <t>ORV</t>
  </si>
  <si>
    <t>OST SERVICES</t>
  </si>
  <si>
    <t>OSTENSIVA ELETRONICA</t>
  </si>
  <si>
    <t>OSVALDO - FIORI</t>
  </si>
  <si>
    <t>OTK SISTEMAS DE INFOR</t>
  </si>
  <si>
    <t>OVERLINE INFORMATICA LTDA</t>
  </si>
  <si>
    <t>OVINI</t>
  </si>
  <si>
    <t>OZNES</t>
  </si>
  <si>
    <t>P. PEREIRA EXTINTORES</t>
  </si>
  <si>
    <t>P.DAS S. GRACINDO</t>
  </si>
  <si>
    <t>PABST ENGENHARIA</t>
  </si>
  <si>
    <t>PACIFIC COMPANY</t>
  </si>
  <si>
    <t>PACIFIC CROSS</t>
  </si>
  <si>
    <t>PACKSEVEN IND E COM LTDA</t>
  </si>
  <si>
    <t>PACKSEVEN INDÚSTRIA</t>
  </si>
  <si>
    <t>PADARIA E CONF NOVO SABOR</t>
  </si>
  <si>
    <t>PADARIA FLOR DE COIMBRA</t>
  </si>
  <si>
    <t>PADRINHA KIDS</t>
  </si>
  <si>
    <t>PAES SETE DE SETEMBRO</t>
  </si>
  <si>
    <t>PAGIO</t>
  </si>
  <si>
    <t>PAGIO(MAURILIO)</t>
  </si>
  <si>
    <t>PAIOL</t>
  </si>
  <si>
    <t>PALLAS</t>
  </si>
  <si>
    <t>PALLAS DESIGN E ARTES</t>
  </si>
  <si>
    <t>PALMAPLASTIC COMERCIO</t>
  </si>
  <si>
    <t>PAMESA DO BRASIL S/A</t>
  </si>
  <si>
    <t>PANATEC AUDIO DE VIDEO</t>
  </si>
  <si>
    <t>PANDARECOS</t>
  </si>
  <si>
    <t>PANDURATA ALIMENTOS LTDA</t>
  </si>
  <si>
    <t>PANIFICADORA PINHEIRO</t>
  </si>
  <si>
    <t>PAOLITA</t>
  </si>
  <si>
    <t>PAPARREL</t>
  </si>
  <si>
    <t>PAPELARIA SAO MIGUEL LTDA</t>
  </si>
  <si>
    <t>PAPYTO</t>
  </si>
  <si>
    <t>PARAFUSOS RUDGE RAMOS</t>
  </si>
  <si>
    <t>PARI PASSO</t>
  </si>
  <si>
    <t>PARIGI CONFECCOES</t>
  </si>
  <si>
    <t>PASHIMINA</t>
  </si>
  <si>
    <t>PASHIMINA 2</t>
  </si>
  <si>
    <t>PASHMINA</t>
  </si>
  <si>
    <t>PASSIONATA</t>
  </si>
  <si>
    <t>PATY NEWS</t>
  </si>
  <si>
    <t>PAULATEX</t>
  </si>
  <si>
    <t>PAULO BOLA SONORIZAÇÕES</t>
  </si>
  <si>
    <t>PAULO EDUARDO LACERDA</t>
  </si>
  <si>
    <t>PAULO SERGIO PEREIRA TRAN</t>
  </si>
  <si>
    <t>PAULOS MALHAS</t>
  </si>
  <si>
    <t>PAUTA DISTR E LOGISTICA</t>
  </si>
  <si>
    <t>PAUTA DISTRIBUIDORA</t>
  </si>
  <si>
    <t>PAVA MOLDURAS</t>
  </si>
  <si>
    <t>PAXA</t>
  </si>
  <si>
    <t>PDA SOLUÇÕES EM INFORM</t>
  </si>
  <si>
    <t>PEATON DO BRASIL COM</t>
  </si>
  <si>
    <t>PECINI &amp; PECINI</t>
  </si>
  <si>
    <t>PECINI INDUSTRIA</t>
  </si>
  <si>
    <t>PEDABLIO</t>
  </si>
  <si>
    <t>PEDRO LUIZ VILAS BOAS</t>
  </si>
  <si>
    <t>PEIXOTO E CURY ADVOGADOS</t>
  </si>
  <si>
    <t>PENNA E PENNA</t>
  </si>
  <si>
    <t>PENPEN SERVICOS</t>
  </si>
  <si>
    <t>PEPTIL EMBALAGENS LTDA</t>
  </si>
  <si>
    <t>PEPTUCHY</t>
  </si>
  <si>
    <t>PEQUENA BELA</t>
  </si>
  <si>
    <t>PEQUENA ESTRELA</t>
  </si>
  <si>
    <t>PEQUENA ESTRELA-FOR GIRL</t>
  </si>
  <si>
    <t>PEQUENOS BRILHANTES</t>
  </si>
  <si>
    <t>PERFECTION JEANS</t>
  </si>
  <si>
    <t>PERFIL</t>
  </si>
  <si>
    <t>PERFUME DE BONECA</t>
  </si>
  <si>
    <t>PERFUME-BIA MACHADO</t>
  </si>
  <si>
    <t>PERPOLO</t>
  </si>
  <si>
    <t>PERSONAL FLEX COMUN</t>
  </si>
  <si>
    <t>PERUSIN</t>
  </si>
  <si>
    <t>PETIT</t>
  </si>
  <si>
    <t>PETIT POA</t>
  </si>
  <si>
    <t>PETY LULY</t>
  </si>
  <si>
    <t>PIE BELLI</t>
  </si>
  <si>
    <t>PIERRE PROD DE SERV CINEM</t>
  </si>
  <si>
    <t>PIFFER INDUSTRIA COMERCIO</t>
  </si>
  <si>
    <t>PIGMENTUM IND</t>
  </si>
  <si>
    <t>PIMPOLHINHOS</t>
  </si>
  <si>
    <t>PIVESSO</t>
  </si>
  <si>
    <t>PIXULITO</t>
  </si>
  <si>
    <t>PK7</t>
  </si>
  <si>
    <t>PLAC COLOR</t>
  </si>
  <si>
    <t>PLACO DO BRASIL LTDA</t>
  </si>
  <si>
    <t>PLANET SOUL</t>
  </si>
  <si>
    <t>PLANET VEST</t>
  </si>
  <si>
    <t>PLANETA MALHAS</t>
  </si>
  <si>
    <t>PLANORDICON CONSTRUCOES</t>
  </si>
  <si>
    <t>PLANTAO INTIMUS</t>
  </si>
  <si>
    <t>POA TEXTIL</t>
  </si>
  <si>
    <t>POCA ROPA</t>
  </si>
  <si>
    <t>POKOTINHA</t>
  </si>
  <si>
    <t>POLIFORM INDUSTRIA</t>
  </si>
  <si>
    <t>POLO AVIAMENTOS</t>
  </si>
  <si>
    <t>POLO-WAY</t>
  </si>
  <si>
    <t>POLTEX</t>
  </si>
  <si>
    <t>POLY MANIA</t>
  </si>
  <si>
    <t>POMERPLAST IND E COM DE P</t>
  </si>
  <si>
    <t>POMME KIDS</t>
  </si>
  <si>
    <t>PONTICELLI</t>
  </si>
  <si>
    <t>PONTO DA CAMISA</t>
  </si>
  <si>
    <t>PONTO FORTE</t>
  </si>
  <si>
    <t>PONTO TRICOT</t>
  </si>
  <si>
    <t>PONTUAL MATS P ESCRITORIO</t>
  </si>
  <si>
    <t>POR DO SOL</t>
  </si>
  <si>
    <t>PORTAL DAS BOMDAS HIDRAU</t>
  </si>
  <si>
    <t>PORTO MADEIRA</t>
  </si>
  <si>
    <t>POSTO ALVORADA</t>
  </si>
  <si>
    <t>PRANCHA</t>
  </si>
  <si>
    <t>PRESAGE</t>
  </si>
  <si>
    <t>PRESAGE(A RHA)</t>
  </si>
  <si>
    <t>PRESOLLO</t>
  </si>
  <si>
    <t>PREST BATER COM  BATERIAS</t>
  </si>
  <si>
    <t>PRESTON</t>
  </si>
  <si>
    <t>PRIMA SERV DE CONS LTDA</t>
  </si>
  <si>
    <t>PRIMI FIORI</t>
  </si>
  <si>
    <t>PRIMUS ARAUJO EMPORIO</t>
  </si>
  <si>
    <t>PRINTSYS COML E SERV LTDA</t>
  </si>
  <si>
    <t>PRISMA</t>
  </si>
  <si>
    <t>PRO ATIVO</t>
  </si>
  <si>
    <t>PRO COMUNICACAO</t>
  </si>
  <si>
    <t>PRO SELVI PROJETOS</t>
  </si>
  <si>
    <t>PRO SOLUTION DIGITAL</t>
  </si>
  <si>
    <t>PRO WAVE</t>
  </si>
  <si>
    <t>PRO-SSESSO</t>
  </si>
  <si>
    <t>PROBYTE AUTOMAÇÃO</t>
  </si>
  <si>
    <t>PRODEP PREPARAÇÃO E DESEN</t>
  </si>
  <si>
    <t>PRODIAMOND SERV DE AGENC</t>
  </si>
  <si>
    <t>PROENG</t>
  </si>
  <si>
    <t>PROEX SEGURANCA E VIG</t>
  </si>
  <si>
    <t>PROFYLE TECHINOLOGY</t>
  </si>
  <si>
    <t>PROJETO 1 DECORACOES</t>
  </si>
  <si>
    <t>PROJETO A ADESIVOS</t>
  </si>
  <si>
    <t>PROMARKT TRANSPORTE</t>
  </si>
  <si>
    <t>PROSOFT TECNOLOGIA LTDA</t>
  </si>
  <si>
    <t>PROSPERAR MANUT DE EQUIP</t>
  </si>
  <si>
    <t>PROTEGE S/A</t>
  </si>
  <si>
    <t>PROTEGE S/A SANTOS</t>
  </si>
  <si>
    <t>PROTEGE S/A VARZEA DE BAI</t>
  </si>
  <si>
    <t>PSA</t>
  </si>
  <si>
    <t>PSIQUE</t>
  </si>
  <si>
    <t>PUIG ARQUI E DESING</t>
  </si>
  <si>
    <t>PUK PUK</t>
  </si>
  <si>
    <t>PUKET</t>
  </si>
  <si>
    <t>PUKET 2</t>
  </si>
  <si>
    <t>PULSE TEXTIL</t>
  </si>
  <si>
    <t>QCK BOYS</t>
  </si>
  <si>
    <t>QUALICORP</t>
  </si>
  <si>
    <t>QUALITY EXPRESS</t>
  </si>
  <si>
    <t>QUEBRA CABECA</t>
  </si>
  <si>
    <t>QUEEN</t>
  </si>
  <si>
    <t>QUEENS</t>
  </si>
  <si>
    <t>QUEENSLAND</t>
  </si>
  <si>
    <t>QUESTAO DE ESTILO</t>
  </si>
  <si>
    <t>QUESTAO DE ESTILO 2</t>
  </si>
  <si>
    <t>QUICAS BRASIL</t>
  </si>
  <si>
    <t>QUICK BEACH 2</t>
  </si>
  <si>
    <t>QUILDER</t>
  </si>
  <si>
    <t>QUORUM</t>
  </si>
  <si>
    <t>R &amp; R MALHAS LTDA - ME</t>
  </si>
  <si>
    <t>R A G DE OLIVEIRA</t>
  </si>
  <si>
    <t>R N INSTALACOES</t>
  </si>
  <si>
    <t>R&amp;I SOLUTIONS</t>
  </si>
  <si>
    <t>R&amp;P BOYS</t>
  </si>
  <si>
    <t>R-13</t>
  </si>
  <si>
    <t>R. MACHADO</t>
  </si>
  <si>
    <t>R.B. QUALITY COMERCIO</t>
  </si>
  <si>
    <t>R.C CIMENTO LTDA</t>
  </si>
  <si>
    <t>RA ATIVACAO LTDA</t>
  </si>
  <si>
    <t>RA MARKETING DE</t>
  </si>
  <si>
    <t>RABAGLIO ED E EM RH LTDA</t>
  </si>
  <si>
    <t>RACHELTEX</t>
  </si>
  <si>
    <t>RADIANCE</t>
  </si>
  <si>
    <t>RADICAL</t>
  </si>
  <si>
    <t>RADICAL 2</t>
  </si>
  <si>
    <t>RADICAL 3</t>
  </si>
  <si>
    <t>RADICAL 4</t>
  </si>
  <si>
    <t>RADICAL CHIC</t>
  </si>
  <si>
    <t>RADICAL STAYLE</t>
  </si>
  <si>
    <t>RADICAL TRIP</t>
  </si>
  <si>
    <t>RAFAEL CARVALHO SANTOS</t>
  </si>
  <si>
    <t>RAFIMEX</t>
  </si>
  <si>
    <t>RAI PUBLICIDADE</t>
  </si>
  <si>
    <t>RAIANY CONFECÇÕES</t>
  </si>
  <si>
    <t>RAICA</t>
  </si>
  <si>
    <t>RAIMUNDO T F ENTULHO ME</t>
  </si>
  <si>
    <t>RAIO JEANS</t>
  </si>
  <si>
    <t>RAISSA RAMOS DIAS - ME</t>
  </si>
  <si>
    <t>RAIZES</t>
  </si>
  <si>
    <t>RALA KIDS</t>
  </si>
  <si>
    <t>RALA KIDS 2</t>
  </si>
  <si>
    <t>RALCOH ASSESSORIA</t>
  </si>
  <si>
    <t>RAMATEL COMERCIO E SERV</t>
  </si>
  <si>
    <t>RAMB CONSULTORIA</t>
  </si>
  <si>
    <t>RAMOSKA &amp; CASTELLANI PROJ</t>
  </si>
  <si>
    <t>RAO INDUSTRIA E COMERCIO</t>
  </si>
  <si>
    <t>RARV COM MATS ELETRICOS</t>
  </si>
  <si>
    <t>RASELLO PRODUCOES E EVENT</t>
  </si>
  <si>
    <t>RAYSSA MALHAS</t>
  </si>
  <si>
    <t>RB CODE</t>
  </si>
  <si>
    <t>RC ENGENHARIA E PROJETOS</t>
  </si>
  <si>
    <t>RCR</t>
  </si>
  <si>
    <t>REAL COPIADORA LTDA</t>
  </si>
  <si>
    <t>REALTIME COMERCIO</t>
  </si>
  <si>
    <t>REATIVA</t>
  </si>
  <si>
    <t>REBOUCAS PRESTACOES</t>
  </si>
  <si>
    <t>RECORDI REPRESENTACAO COM</t>
  </si>
  <si>
    <t>REDD COMERCIO DE PRODUTOS</t>
  </si>
  <si>
    <t>REDD GRIFFE</t>
  </si>
  <si>
    <t>REFEN</t>
  </si>
  <si>
    <t>REGINA CELIA</t>
  </si>
  <si>
    <t>REGINA HELENA ME</t>
  </si>
  <si>
    <t>REGINALDO FERNANDES FERRE</t>
  </si>
  <si>
    <t>REGISTRON COM. MAQ.</t>
  </si>
  <si>
    <t>REISUL</t>
  </si>
  <si>
    <t>RELUANA</t>
  </si>
  <si>
    <t>REMASTER</t>
  </si>
  <si>
    <t>RENACAR SERV DE ORG LTDA</t>
  </si>
  <si>
    <t>RENATA PRUPER PAPAI ME</t>
  </si>
  <si>
    <t>RENATO DE O. MEIRELLES</t>
  </si>
  <si>
    <t>RENATO KOSLOWSKI</t>
  </si>
  <si>
    <t>RENTAL EMPILHADEIRAS LTDA</t>
  </si>
  <si>
    <t>REPUBLIC VIX COM</t>
  </si>
  <si>
    <t>REPUBLICA DO SOL</t>
  </si>
  <si>
    <t>RESIMA</t>
  </si>
  <si>
    <t>REST FAMILIA CESCON III</t>
  </si>
  <si>
    <t>RESTAURANTE CAMPESTRE</t>
  </si>
  <si>
    <t>RG 518</t>
  </si>
  <si>
    <t>RHAMAY CONFECCOES</t>
  </si>
  <si>
    <t>RHT FARIA</t>
  </si>
  <si>
    <t>RIAZOR</t>
  </si>
  <si>
    <t>RICARDO DE OLIVEIRA</t>
  </si>
  <si>
    <t>RICCI CONSTRUCOES</t>
  </si>
  <si>
    <t>RIKAS</t>
  </si>
  <si>
    <t>RIKKA BOLSAS</t>
  </si>
  <si>
    <t>RIO BRANCO</t>
  </si>
  <si>
    <t>RIO BRANCO COM DE PAPEIS</t>
  </si>
  <si>
    <t>RIO BRANCO PAPEIS</t>
  </si>
  <si>
    <t>RIO TRUFFLE CHOCOLATES</t>
  </si>
  <si>
    <t>RIOPACK INDUSTRIA</t>
  </si>
  <si>
    <t>RIOPLASTIC</t>
  </si>
  <si>
    <t>RIPSEA</t>
  </si>
  <si>
    <t>RITA DE CASSIA</t>
  </si>
  <si>
    <t>RITA DE CASSIA NEVES</t>
  </si>
  <si>
    <t>RL BOLSAS</t>
  </si>
  <si>
    <t>RLUCENTE</t>
  </si>
  <si>
    <t>RME - TANAKA</t>
  </si>
  <si>
    <t>RN COMERCIO</t>
  </si>
  <si>
    <t>ROBSON FLAVIO FERRAREZI</t>
  </si>
  <si>
    <t>ROCAMP</t>
  </si>
  <si>
    <t>ROCHINHA</t>
  </si>
  <si>
    <t>ROCK BRASIL</t>
  </si>
  <si>
    <t>ROCKFORD</t>
  </si>
  <si>
    <t>RODOLFO BELLEZZA JUNIOR</t>
  </si>
  <si>
    <t>RODRIGO PEPE MARTINS</t>
  </si>
  <si>
    <t>RODRIGUES SISTEMAS</t>
  </si>
  <si>
    <t>ROGERIO ANTONIO DECCO</t>
  </si>
  <si>
    <t>ROGERIO O P CONFECCOES</t>
  </si>
  <si>
    <t>ROMAPAK</t>
  </si>
  <si>
    <t>RONIX</t>
  </si>
  <si>
    <t>RONIX 2</t>
  </si>
  <si>
    <t>ROSA CHIC</t>
  </si>
  <si>
    <t>ROSA DI SARON</t>
  </si>
  <si>
    <t>ROSA EMILIA</t>
  </si>
  <si>
    <t>ROSA MARIA</t>
  </si>
  <si>
    <t>ROSANA SPERANZA ACESSORIO</t>
  </si>
  <si>
    <t>ROSAS E MEL</t>
  </si>
  <si>
    <t>ROSE CHICK</t>
  </si>
  <si>
    <t>ROSE FEIJAO</t>
  </si>
  <si>
    <t>ROSITONI</t>
  </si>
  <si>
    <t>ROTA 3 CONFECCOES LTDA</t>
  </si>
  <si>
    <t>ROTA DA ONDA</t>
  </si>
  <si>
    <t>ROTA KIDS</t>
  </si>
  <si>
    <t>ROTEC</t>
  </si>
  <si>
    <t>ROVITEX</t>
  </si>
  <si>
    <t>ROWERS</t>
  </si>
  <si>
    <t>RR COBRANCA</t>
  </si>
  <si>
    <t>RRM CONFECCOES LTDA</t>
  </si>
  <si>
    <t>RT INDUSTRIA</t>
  </si>
  <si>
    <t>RTA AR CONDICIONADO</t>
  </si>
  <si>
    <t>RUGGIERE</t>
  </si>
  <si>
    <t>S M &amp; R ARQUITETOS</t>
  </si>
  <si>
    <t>S.S. INDUSTRIA E COMERCIO</t>
  </si>
  <si>
    <t>S4 CONFECÇÕES LTDA ME</t>
  </si>
  <si>
    <t>SABESP</t>
  </si>
  <si>
    <t>SAES &amp; CIA TRICO</t>
  </si>
  <si>
    <t>SAFHIRA</t>
  </si>
  <si>
    <t>SAINT MARIE</t>
  </si>
  <si>
    <t>SALLY</t>
  </si>
  <si>
    <t>SALVARTE COM E PROD GRAF</t>
  </si>
  <si>
    <t>SALVATTA ENGENHARIA</t>
  </si>
  <si>
    <t>SAMAHA DE FARIA&amp;FARIA LT</t>
  </si>
  <si>
    <t>SAMBORA</t>
  </si>
  <si>
    <t>SAMGY</t>
  </si>
  <si>
    <t>SAN JOSE PALACE</t>
  </si>
  <si>
    <t>SANDER</t>
  </si>
  <si>
    <t>SANDER CONF.</t>
  </si>
  <si>
    <t>SANDRA REGINA RODRIGUES</t>
  </si>
  <si>
    <t>SANDRA YAYOI ONO INF LTDA</t>
  </si>
  <si>
    <t>SANJU</t>
  </si>
  <si>
    <t>SANTA FE</t>
  </si>
  <si>
    <t>SANTA HELENA</t>
  </si>
  <si>
    <t>SANTA INES</t>
  </si>
  <si>
    <t>SANTIL 2</t>
  </si>
  <si>
    <t>SANTIL COMERCIAL</t>
  </si>
  <si>
    <t>SANTO EXPEDITO</t>
  </si>
  <si>
    <t>SANTOS E SANTOS</t>
  </si>
  <si>
    <t>SANTOS SANTANA MANUTENCAO</t>
  </si>
  <si>
    <t>SAO BERNARDO CENTER HOTEL</t>
  </si>
  <si>
    <t>SÃO CARLOS</t>
  </si>
  <si>
    <t>SAPOPÉ</t>
  </si>
  <si>
    <t>SARA</t>
  </si>
  <si>
    <t>SARCA PROMOCAO</t>
  </si>
  <si>
    <t>SARPLAST</t>
  </si>
  <si>
    <t>SASA</t>
  </si>
  <si>
    <t>SAWARY</t>
  </si>
  <si>
    <t>SAWARY 2</t>
  </si>
  <si>
    <t>SBA</t>
  </si>
  <si>
    <t>SCAN SOURCE PR</t>
  </si>
  <si>
    <t>SCBR AUTOMAÇÃO DO BRASIL</t>
  </si>
  <si>
    <t>SCHEMUEL</t>
  </si>
  <si>
    <t>SCHIMIDT SERV DE SEG PATR</t>
  </si>
  <si>
    <t>SCHIMITD SERVIÇOS GERAIS</t>
  </si>
  <si>
    <t>SCHIO</t>
  </si>
  <si>
    <t>SCI - TECNOLOGIA DA INFOR</t>
  </si>
  <si>
    <t>SCOPINO</t>
  </si>
  <si>
    <t>SCORPIONS SERVICOS</t>
  </si>
  <si>
    <t>SEA BRAZIL</t>
  </si>
  <si>
    <t>SEA HILLS</t>
  </si>
  <si>
    <t>SEA MONG</t>
  </si>
  <si>
    <t>SEA PORT</t>
  </si>
  <si>
    <t>SEA TEXTIL</t>
  </si>
  <si>
    <t>SEA WIND</t>
  </si>
  <si>
    <t>SECOND DESIGN DIGITAL</t>
  </si>
  <si>
    <t>SEGREDOS DA MODA (R.CHIC)</t>
  </si>
  <si>
    <t>SEGSP DOSTRIBUIDORA</t>
  </si>
  <si>
    <t>SELENE</t>
  </si>
  <si>
    <t>SEM PARAR</t>
  </si>
  <si>
    <t>SEMAE</t>
  </si>
  <si>
    <t>SEMPRE JOIAS</t>
  </si>
  <si>
    <t>SENSORAMA PRODUÇÕES LTDA</t>
  </si>
  <si>
    <t>SEOUL</t>
  </si>
  <si>
    <t>SEQUOIA PAPEIS</t>
  </si>
  <si>
    <t>SERASA EXPERIAN</t>
  </si>
  <si>
    <t>SERASA SA</t>
  </si>
  <si>
    <t>SERIE UNICA</t>
  </si>
  <si>
    <t>SERPAS</t>
  </si>
  <si>
    <t>SERPHA</t>
  </si>
  <si>
    <t>SERPHA(OCEANO)</t>
  </si>
  <si>
    <t>SERRALHERIA DOIS IRMAOS</t>
  </si>
  <si>
    <t>SERRALHERIA EMOFER</t>
  </si>
  <si>
    <t>SERRALHERIA TESE LTDA ME</t>
  </si>
  <si>
    <t>SET TECNOLOGIA</t>
  </si>
  <si>
    <t>SETA DESENVOLVIMENTO</t>
  </si>
  <si>
    <t>SETE ESTRADAS LOGISTICA L</t>
  </si>
  <si>
    <t>SETOR INTIMO</t>
  </si>
  <si>
    <t>SEVEN SEAS</t>
  </si>
  <si>
    <t>SG TOPOGRAFIA</t>
  </si>
  <si>
    <t>SH (JULE)</t>
  </si>
  <si>
    <t>SH INDUSTRIA TEXTIL</t>
  </si>
  <si>
    <t>SHABBY CHIC(PEPPERMINT)</t>
  </si>
  <si>
    <t>SHAMMAH SERVICOS GERAIS</t>
  </si>
  <si>
    <t>SHANDA</t>
  </si>
  <si>
    <t>SHEKENAH BUFFET LTDA</t>
  </si>
  <si>
    <t>SHEKINAH TRICOT</t>
  </si>
  <si>
    <t>SHOP MIX</t>
  </si>
  <si>
    <t>SHOP MIX 2</t>
  </si>
  <si>
    <t>SHOP TIME</t>
  </si>
  <si>
    <t>SHOWA</t>
  </si>
  <si>
    <t>SHU</t>
  </si>
  <si>
    <t>SICARD</t>
  </si>
  <si>
    <t>SICOOB</t>
  </si>
  <si>
    <t>SIDE CRIAÇÃO E COMPUTAÇÃO</t>
  </si>
  <si>
    <t>SIEMENS</t>
  </si>
  <si>
    <t>SIEMENS LTDA</t>
  </si>
  <si>
    <t>SIGAMY</t>
  </si>
  <si>
    <t>SIGAMY 2</t>
  </si>
  <si>
    <t>SILK SCREEN IDEAL</t>
  </si>
  <si>
    <t>SILMARA RAMOS DE SOUZA</t>
  </si>
  <si>
    <t>SILO DA MODA</t>
  </si>
  <si>
    <t>SILTTI MALHAS</t>
  </si>
  <si>
    <t>SILTTY MALHAS</t>
  </si>
  <si>
    <t>SIM INCENTIVE</t>
  </si>
  <si>
    <t>SIMBOTEX</t>
  </si>
  <si>
    <t>SIMONE ASTRAL FASHION</t>
  </si>
  <si>
    <t>SIMONVIL TELECOM LTDA ME</t>
  </si>
  <si>
    <t>SINAI</t>
  </si>
  <si>
    <t>SINERGIA CONFECCOES</t>
  </si>
  <si>
    <t>SING 3D</t>
  </si>
  <si>
    <t>SINGOLA OPERIS</t>
  </si>
  <si>
    <t>SINHÁ MOÇA</t>
  </si>
  <si>
    <t>SISTEMA USEFASHIOM DE INF</t>
  </si>
  <si>
    <t>SISTEMAS TH INFORMATICA</t>
  </si>
  <si>
    <t>SIX DEGREES BRAZIL LTDA</t>
  </si>
  <si>
    <t>SKALIBUR</t>
  </si>
  <si>
    <t>SKALIBUR 2</t>
  </si>
  <si>
    <t>SKANDALUS</t>
  </si>
  <si>
    <t>SKAT TRACK</t>
  </si>
  <si>
    <t>SKENN</t>
  </si>
  <si>
    <t>SKYLINE</t>
  </si>
  <si>
    <t>SLAP</t>
  </si>
  <si>
    <t>SM ARTES GRAFICAS LTDA</t>
  </si>
  <si>
    <t>SMANY</t>
  </si>
  <si>
    <t>SMS TECNOLOGIA ELETRONICA</t>
  </si>
  <si>
    <t>SN AR CONDICIONADO</t>
  </si>
  <si>
    <t>SND DISTR DE PROD INF</t>
  </si>
  <si>
    <t>SO FITAS</t>
  </si>
  <si>
    <t>SO VESTIR</t>
  </si>
  <si>
    <t>SOCOMPRESSORES</t>
  </si>
  <si>
    <t>SOENGE SERV DE ENGENHARIA</t>
  </si>
  <si>
    <t>SOFTLINE</t>
  </si>
  <si>
    <t>SOFTWARE EXPRESS</t>
  </si>
  <si>
    <t>SOL DIESEL</t>
  </si>
  <si>
    <t>SOL E CIA</t>
  </si>
  <si>
    <t>SOL LOGISTICA</t>
  </si>
  <si>
    <t>SOL LUA</t>
  </si>
  <si>
    <t>SOLENE SABOR</t>
  </si>
  <si>
    <t>SOLETEX</t>
  </si>
  <si>
    <t>SOLMARE RIO</t>
  </si>
  <si>
    <t>SOLO ENGENHARIA S/C LTDA</t>
  </si>
  <si>
    <t>SOLON RIBEIRO</t>
  </si>
  <si>
    <t>SOLUCOES USIMINAS</t>
  </si>
  <si>
    <t>SOLUMAR</t>
  </si>
  <si>
    <t>SOMMA ARQUITETURA</t>
  </si>
  <si>
    <t>SOMOS</t>
  </si>
  <si>
    <t>SONHO DE AMOR</t>
  </si>
  <si>
    <t>SONHO FELIZ</t>
  </si>
  <si>
    <t>SONHO FELIZ  DE MURIAÉ</t>
  </si>
  <si>
    <t>SONHO VIVO</t>
  </si>
  <si>
    <t>SONHO.COM</t>
  </si>
  <si>
    <t>SONIA MARIA OLIVEIRA</t>
  </si>
  <si>
    <t>SONIA REGINA AP PINAFI</t>
  </si>
  <si>
    <t>SORENGE TECNOLOGIA</t>
  </si>
  <si>
    <t>SOUTEX</t>
  </si>
  <si>
    <t>SOUZA LIMA</t>
  </si>
  <si>
    <t>SOUZA LIMA SEGURANCA</t>
  </si>
  <si>
    <t>SP DIOR KIDS PROD FOTOG</t>
  </si>
  <si>
    <t>SP4R LOCADORA LTDA-ME</t>
  </si>
  <si>
    <t>SPIKER´S</t>
  </si>
  <si>
    <t>SPIO MALHAS</t>
  </si>
  <si>
    <t>SPORT SUL</t>
  </si>
  <si>
    <t>SPORT SUL MALHAS</t>
  </si>
  <si>
    <t>SPR INDUSTRIA (MG)</t>
  </si>
  <si>
    <t>SRC COMERCIO DE PRODUTOS</t>
  </si>
  <si>
    <t>SRJ</t>
  </si>
  <si>
    <t>STAMPA GRÁFICA E EDITORA</t>
  </si>
  <si>
    <t>STAR BELLA</t>
  </si>
  <si>
    <t>STAR CONFECCOES 2</t>
  </si>
  <si>
    <t>STAR LIVRE</t>
  </si>
  <si>
    <t>STARK FITNESS</t>
  </si>
  <si>
    <t>STARKFEST</t>
  </si>
  <si>
    <t>STAROUP</t>
  </si>
  <si>
    <t>STARQ SERVIÇOS DE TRATAM</t>
  </si>
  <si>
    <t>STATUS TRICOT</t>
  </si>
  <si>
    <t>STELLARUM</t>
  </si>
  <si>
    <t>STEMAC SA GRUPOS</t>
  </si>
  <si>
    <t>STILBER</t>
  </si>
  <si>
    <t>STILGRAF ARTES GRAFICAS</t>
  </si>
  <si>
    <t>STILL ASSESSORIA</t>
  </si>
  <si>
    <t>STILLOS COLLECTION</t>
  </si>
  <si>
    <t>STILO BORRACHAS E PLASTIC</t>
  </si>
  <si>
    <t>STILO HOTEL</t>
  </si>
  <si>
    <t>STONS</t>
  </si>
  <si>
    <t>STRATEGY LAB DES DE SOFTW</t>
  </si>
  <si>
    <t>STREET ZONE</t>
  </si>
  <si>
    <t>STYLO TROPICAL</t>
  </si>
  <si>
    <t>SUAVE</t>
  </si>
  <si>
    <t>SUAVI</t>
  </si>
  <si>
    <t>SUBURBAN</t>
  </si>
  <si>
    <t>SUED TEXTIL</t>
  </si>
  <si>
    <t>SUEZ</t>
  </si>
  <si>
    <t>SUL BBS INTERNET LTDA</t>
  </si>
  <si>
    <t>SULAMERICANA</t>
  </si>
  <si>
    <t>SUMMER GIRL</t>
  </si>
  <si>
    <t>SUMMERWIND MODAS</t>
  </si>
  <si>
    <t>SUPER STATION TRANSPORTE</t>
  </si>
  <si>
    <t>SUPERMIDIA COM E SERV PUB</t>
  </si>
  <si>
    <t>SUPRA MODAS</t>
  </si>
  <si>
    <t>SUR MODAS E CONF LTDA EPP</t>
  </si>
  <si>
    <t>SURF MACH</t>
  </si>
  <si>
    <t>SURFEROS</t>
  </si>
  <si>
    <t>SURYCATA</t>
  </si>
  <si>
    <t>SUSAMPAIO PROD ARTISTICAS</t>
  </si>
  <si>
    <t>SVK</t>
  </si>
  <si>
    <t>SYL</t>
  </si>
  <si>
    <t>SYS</t>
  </si>
  <si>
    <t>SYSCOB COBRANCA LTDA</t>
  </si>
  <si>
    <t>SYTHEX</t>
  </si>
  <si>
    <t>T A G ESTUDIO FILMAGENS</t>
  </si>
  <si>
    <t>T DRIVE TOYOTA TATUAPE</t>
  </si>
  <si>
    <t>T. CAMARGO CORREA</t>
  </si>
  <si>
    <t>TA YU</t>
  </si>
  <si>
    <t>TA&amp;FA COM E IND DE MOVEIS</t>
  </si>
  <si>
    <t>TALISMÃ MALHAS</t>
  </si>
  <si>
    <t>TAM LINHAS AEREAS S/A</t>
  </si>
  <si>
    <t>TANTUS</t>
  </si>
  <si>
    <t>TAPE COLOR COM VISUAL</t>
  </si>
  <si>
    <t>TAPECARIA SUZANA</t>
  </si>
  <si>
    <t>TARNOCZY</t>
  </si>
  <si>
    <t>TASK SIST DE COMPUTACAO</t>
  </si>
  <si>
    <t>TASSIANA SILVEIRA ARBIZA</t>
  </si>
  <si>
    <t>TAURI BLOCOS E PISOS</t>
  </si>
  <si>
    <t>TAYTHI TRICOT</t>
  </si>
  <si>
    <t>TDG</t>
  </si>
  <si>
    <t>TE ATENDE</t>
  </si>
  <si>
    <t>TEAM WORK CONFECCOES</t>
  </si>
  <si>
    <t>TEC DUTOS INST DE DUTOS E</t>
  </si>
  <si>
    <t>TECHINICAL SOLUTION CONS</t>
  </si>
  <si>
    <t>TECHLUCKY COM PROD DE INF</t>
  </si>
  <si>
    <t>TECLAN LTDA</t>
  </si>
  <si>
    <t>TECNBRAS IND E COM DE ELE</t>
  </si>
  <si>
    <t>TECNOGERA LOCAÇÃO E TRANS</t>
  </si>
  <si>
    <t>TECNOL</t>
  </si>
  <si>
    <t>TELASUL S/A</t>
  </si>
  <si>
    <t>TELCABOS TELEC LTDA</t>
  </si>
  <si>
    <t>TELEDATA INFORMAÇÕES</t>
  </si>
  <si>
    <t>TELEFONICA</t>
  </si>
  <si>
    <t>TELEMAR - OI FIXO</t>
  </si>
  <si>
    <t>TEMPERO MANERO</t>
  </si>
  <si>
    <t>TEN MODEL MANAGEMENT LTDA</t>
  </si>
  <si>
    <t>TENDENCIA INFORMACOES</t>
  </si>
  <si>
    <t>TENDENCY COMUNIC  EVENTOS</t>
  </si>
  <si>
    <t>TERRA MODA</t>
  </si>
  <si>
    <t>TERRITÓRIO TRICOT</t>
  </si>
  <si>
    <t>TEX NOVA</t>
  </si>
  <si>
    <t>TEXPORT</t>
  </si>
  <si>
    <t>TEXTIL ARTUR</t>
  </si>
  <si>
    <t>TEXTIL GUERREIRO</t>
  </si>
  <si>
    <t>TEXTIL PEROLA</t>
  </si>
  <si>
    <t>TEXTIL SANTA RITA</t>
  </si>
  <si>
    <t>TEXTIL WM</t>
  </si>
  <si>
    <t>THAIS FERREIRA</t>
  </si>
  <si>
    <t>THALITA LORENA</t>
  </si>
  <si>
    <t>THE COMUNICACAO E MKT</t>
  </si>
  <si>
    <t>THE POLICE</t>
  </si>
  <si>
    <t>THIBELILI</t>
  </si>
  <si>
    <t>THICIANY (MODA INTIMA)</t>
  </si>
  <si>
    <t>THOMAS GREG E SONS</t>
  </si>
  <si>
    <t>THOMSON RETERS SERVICOS</t>
  </si>
  <si>
    <t>THOR SERVIÇOS</t>
  </si>
  <si>
    <t>THYSSENKRUPP</t>
  </si>
  <si>
    <t>THYSSENKRUPP ELEVADORES</t>
  </si>
  <si>
    <t>TI JOB CONSULTORIA EM TEC</t>
  </si>
  <si>
    <t>TI TECH SHOP</t>
  </si>
  <si>
    <t>TIAGO FONSECA</t>
  </si>
  <si>
    <t>TIAGO MALHAS</t>
  </si>
  <si>
    <t>TIC TIC TAH</t>
  </si>
  <si>
    <t>TIENGO TRICÔ</t>
  </si>
  <si>
    <t>TIFA</t>
  </si>
  <si>
    <t>TIM CELULAR S A</t>
  </si>
  <si>
    <t>TIM CELULAR S/A</t>
  </si>
  <si>
    <t>TIME CARDS COM. E SERV</t>
  </si>
  <si>
    <t>TIP TOP</t>
  </si>
  <si>
    <t>TIP TOP 2</t>
  </si>
  <si>
    <t>TISSIE</t>
  </si>
  <si>
    <t>TL RESTAURANTES</t>
  </si>
  <si>
    <t>TOCAIA</t>
  </si>
  <si>
    <t>TOCANTINS TEXTEIS</t>
  </si>
  <si>
    <t>TOCO</t>
  </si>
  <si>
    <t>TODA DOCE</t>
  </si>
  <si>
    <t>TODA MULHER</t>
  </si>
  <si>
    <t>TODA TEEN</t>
  </si>
  <si>
    <t>TOM ERY</t>
  </si>
  <si>
    <t>TOP 10 COMUNICACAO</t>
  </si>
  <si>
    <t>TOP D CONFECCOES</t>
  </si>
  <si>
    <t>TOP EVOLUTION</t>
  </si>
  <si>
    <t>TOP FIVE</t>
  </si>
  <si>
    <t>TOP HELP COM DE INFORM</t>
  </si>
  <si>
    <t>TOP KIDS</t>
  </si>
  <si>
    <t>TOP MALHARIA</t>
  </si>
  <si>
    <t>TOP MALHARIA 2</t>
  </si>
  <si>
    <t>TOP MARK</t>
  </si>
  <si>
    <t>TOP ROCK</t>
  </si>
  <si>
    <t>TOP TEN</t>
  </si>
  <si>
    <t>TOPOGRAFIA.COM LTDA</t>
  </si>
  <si>
    <t>TOQUE DE COR</t>
  </si>
  <si>
    <t>TOTEM MODELOS LTDA</t>
  </si>
  <si>
    <t>TOUR HOUSE EVENTOS E INCE</t>
  </si>
  <si>
    <t>TOUR HOUSE VIAGENS E TURI</t>
  </si>
  <si>
    <t>TRANS HARO TRANSPORTES</t>
  </si>
  <si>
    <t>TRANSITO TEENS</t>
  </si>
  <si>
    <t>TRANSMAFEL LOGISTICA LTDA</t>
  </si>
  <si>
    <t>TRANSP NOVA ALIANCA DE AR</t>
  </si>
  <si>
    <t>TRANSPENHA MUDANCAS LTDA</t>
  </si>
  <si>
    <t>TRANSPORTE RASADOR</t>
  </si>
  <si>
    <t>TRANSPORTES DEL RIO LTDA</t>
  </si>
  <si>
    <t>TRAYME</t>
  </si>
  <si>
    <t>TREFF</t>
  </si>
  <si>
    <t>TREND SOLUCTION</t>
  </si>
  <si>
    <t>TRENZINHO DA FOLIA</t>
  </si>
  <si>
    <t>TRES COM DE PRUBLIC LTDA</t>
  </si>
  <si>
    <t>TRIBAL SURF</t>
  </si>
  <si>
    <t>TRIBO</t>
  </si>
  <si>
    <t>TRICOT &amp; CIA</t>
  </si>
  <si>
    <t>TRICOT E CIA</t>
  </si>
  <si>
    <t>TRICOT N &amp; E</t>
  </si>
  <si>
    <t>TRIFIL ITABUNA</t>
  </si>
  <si>
    <t>TRIFILL</t>
  </si>
  <si>
    <t>TRINCA MALHAS</t>
  </si>
  <si>
    <t>TRIPLETECH IT SOLUTIONS</t>
  </si>
  <si>
    <t>TRIPPYZ</t>
  </si>
  <si>
    <t>TRITEX</t>
  </si>
  <si>
    <t>TRIUNFO EXTINTORES E FERR</t>
  </si>
  <si>
    <t>TRIXIE</t>
  </si>
  <si>
    <t>TROFEUS GLOBO</t>
  </si>
  <si>
    <t>TROPA 43</t>
  </si>
  <si>
    <t>TRUMPET</t>
  </si>
  <si>
    <t>TUBA</t>
  </si>
  <si>
    <t>TUBOCORT IND E COM</t>
  </si>
  <si>
    <t>TUCURIVI MUDANCAS E TRANS</t>
  </si>
  <si>
    <t>TURMA DA JULLY</t>
  </si>
  <si>
    <t>TURMA DA NATHY</t>
  </si>
  <si>
    <t>TURMA DA VIVI</t>
  </si>
  <si>
    <t>TURMINHA FASHION</t>
  </si>
  <si>
    <t>TV TAUBATE S/A</t>
  </si>
  <si>
    <t>TWA SEGURANCA</t>
  </si>
  <si>
    <t>TYPCE MODAS</t>
  </si>
  <si>
    <t>U-NEAR S A</t>
  </si>
  <si>
    <t>UCCA AGENCIA</t>
  </si>
  <si>
    <t>UCOMMER COM IMP E EXP</t>
  </si>
  <si>
    <t>UKIL (JP MODA)</t>
  </si>
  <si>
    <t>UM2</t>
  </si>
  <si>
    <t>UMUARAMA PROD ARTISTICAS</t>
  </si>
  <si>
    <t>UNA FLOR</t>
  </si>
  <si>
    <t>UNA FLOR LINGERIE 2</t>
  </si>
  <si>
    <t>UNIAO DE DOCENTES DP BRAS</t>
  </si>
  <si>
    <t>UNIAO DOCENTES BRASIL MAT</t>
  </si>
  <si>
    <t>UNIFILA BRASIL IND METAL</t>
  </si>
  <si>
    <t>UNIKA</t>
  </si>
  <si>
    <t>UNITED PRIME</t>
  </si>
  <si>
    <t>UOL DIVEO S.A</t>
  </si>
  <si>
    <t>UOL DIVEO S.A BARUERI</t>
  </si>
  <si>
    <t>UP KIDS</t>
  </si>
  <si>
    <t>UTIL ARTE</t>
  </si>
  <si>
    <t>UTINO MANAGEMENT</t>
  </si>
  <si>
    <t>UVX</t>
  </si>
  <si>
    <t>V - EIGHT</t>
  </si>
  <si>
    <t>V7</t>
  </si>
  <si>
    <t>VAGABOYS</t>
  </si>
  <si>
    <t>VAGAS TECNOLOGIA DE SOFTW</t>
  </si>
  <si>
    <t>VAGAUS</t>
  </si>
  <si>
    <t>VAITWOLF SERVIÇOS</t>
  </si>
  <si>
    <t>VALLENTINA</t>
  </si>
  <si>
    <t>VALOR ECONOMICO SA</t>
  </si>
  <si>
    <t>VAN</t>
  </si>
  <si>
    <t>VAN CONF.</t>
  </si>
  <si>
    <t>VAN CONFECÇÕES</t>
  </si>
  <si>
    <t>VANATEX</t>
  </si>
  <si>
    <t>VANDERLEI SANCHES</t>
  </si>
  <si>
    <t>VANESSA DELEU PEQUENO</t>
  </si>
  <si>
    <t>VANTEX</t>
  </si>
  <si>
    <t>VB SERVICOS, COMERCIO</t>
  </si>
  <si>
    <t>VBN CONSULT CONTABIL</t>
  </si>
  <si>
    <t>VBN CONSULTORIA</t>
  </si>
  <si>
    <t>VEGAS</t>
  </si>
  <si>
    <t>VENE</t>
  </si>
  <si>
    <t>VENIA VENITUM</t>
  </si>
  <si>
    <t>VERONA IMPORTACOES</t>
  </si>
  <si>
    <t>VERTEC</t>
  </si>
  <si>
    <t>VESTY BRASIL</t>
  </si>
  <si>
    <t>VETOR EDITORA</t>
  </si>
  <si>
    <t>VF COM DE ART VESTUARIO</t>
  </si>
  <si>
    <t>VGI CONFECCOES</t>
  </si>
  <si>
    <t>VIA ONIX</t>
  </si>
  <si>
    <t>VIA TRENTO</t>
  </si>
  <si>
    <t>VICE VERSA</t>
  </si>
  <si>
    <t>VICK</t>
  </si>
  <si>
    <t>VICK COMERCIO</t>
  </si>
  <si>
    <t>VICK MODELS</t>
  </si>
  <si>
    <t>VICKY BLOCH &amp; ASSOCIADOS</t>
  </si>
  <si>
    <t>VICTOR ALMEIDA</t>
  </si>
  <si>
    <t>VICTOR BLUE</t>
  </si>
  <si>
    <t>VICTOR VIANA MASUMOTO</t>
  </si>
  <si>
    <t>VIDALINK</t>
  </si>
  <si>
    <t>VIDEO ONE TELECOMUNICACAO</t>
  </si>
  <si>
    <t>VILLASANT</t>
  </si>
  <si>
    <t>VILLEZE</t>
  </si>
  <si>
    <t>VINTEM</t>
  </si>
  <si>
    <t>VIP TELECOM</t>
  </si>
  <si>
    <t>VISAO</t>
  </si>
  <si>
    <t>VISIMAX TECNOL E GESTAO</t>
  </si>
  <si>
    <t>VISION</t>
  </si>
  <si>
    <t>VISION IND E COM LTDA ME</t>
  </si>
  <si>
    <t>VISIONARIO</t>
  </si>
  <si>
    <t>VISIONÁRIO COMERCIAL LTDA</t>
  </si>
  <si>
    <t>VISTA AEREA</t>
  </si>
  <si>
    <t>VISUAL GIRL</t>
  </si>
  <si>
    <t>VISUAL MODEL</t>
  </si>
  <si>
    <t>VISUAL TEEN</t>
  </si>
  <si>
    <t>VITATEX COMERCIO</t>
  </si>
  <si>
    <t>VITRYNE JEANS</t>
  </si>
  <si>
    <t>VIVA MARIA</t>
  </si>
  <si>
    <t>VIZZY</t>
  </si>
  <si>
    <t>VM PRODUCOES CINE FOTO</t>
  </si>
  <si>
    <t>VNT CONFECCOES</t>
  </si>
  <si>
    <t>VOZ DA PROPAGANDA E PUBL</t>
  </si>
  <si>
    <t>VRVOGUE PROD FOTOGRAFICAS</t>
  </si>
  <si>
    <t>VSI IMPORTADORA</t>
  </si>
  <si>
    <t>W F FRAGA SERVICOS</t>
  </si>
  <si>
    <t>W S DE MORAES APOIO OPER</t>
  </si>
  <si>
    <t>W&amp;S</t>
  </si>
  <si>
    <t>W.A JEANS</t>
  </si>
  <si>
    <t>WALDIR DIAZ DE SOUZA</t>
  </si>
  <si>
    <t>WALUMAR INDUSTRIA E COME.</t>
  </si>
  <si>
    <t>WANIA RANGEL PRODUCOES</t>
  </si>
  <si>
    <t>WARUSKY</t>
  </si>
  <si>
    <t>WBN</t>
  </si>
  <si>
    <t>WEAR COMPANY</t>
  </si>
  <si>
    <t>WEDOO CONSULTORIA</t>
  </si>
  <si>
    <t>WELLS MODAS</t>
  </si>
  <si>
    <t>WESLEY FERNANDEZ PRODUÇOE</t>
  </si>
  <si>
    <t>WESTCON BRASIL</t>
  </si>
  <si>
    <t>WESTCON LTDA</t>
  </si>
  <si>
    <t>WG PRODUCOES FOTOGRAFICAS</t>
  </si>
  <si>
    <t>WICETEX</t>
  </si>
  <si>
    <t>WILLIAN SANTOS DA SILVA</t>
  </si>
  <si>
    <t>WINSTON</t>
  </si>
  <si>
    <t>WITRISK PLANEJ EMPRES LTD</t>
  </si>
  <si>
    <t>WITTEL SERVIÇOS</t>
  </si>
  <si>
    <t>WMB COMERCIO ELETRONICO</t>
  </si>
  <si>
    <t>WOLLOCO</t>
  </si>
  <si>
    <t>WORK COMPILACAO</t>
  </si>
  <si>
    <t>WORK PEOPLE</t>
  </si>
  <si>
    <t>WORLD FASHION</t>
  </si>
  <si>
    <t>WORLDWIDE</t>
  </si>
  <si>
    <t>WR COM. VISUAL LTDA-ME</t>
  </si>
  <si>
    <t>WYMA TECNOLOGIA LTDA</t>
  </si>
  <si>
    <t>X STYL</t>
  </si>
  <si>
    <t>X-ROCK</t>
  </si>
  <si>
    <t>XERYUS</t>
  </si>
  <si>
    <t>XICA URBANA</t>
  </si>
  <si>
    <t>XIZEL</t>
  </si>
  <si>
    <t>YAJNA MACIEL</t>
  </si>
  <si>
    <t>YANG GUOXIANG</t>
  </si>
  <si>
    <t>YANG NING WEI</t>
  </si>
  <si>
    <t>YARTE</t>
  </si>
  <si>
    <t>YBRA JEANS</t>
  </si>
  <si>
    <t>YEAH DIGITAL</t>
  </si>
  <si>
    <t>YENDS</t>
  </si>
  <si>
    <t>ZAICO</t>
  </si>
  <si>
    <t>ZAMANY</t>
  </si>
  <si>
    <t>ZAMMER</t>
  </si>
  <si>
    <t>ZANFFER</t>
  </si>
  <si>
    <t>ZE BOLACHA COM DE GENEROS</t>
  </si>
  <si>
    <t>ZEFFERIN</t>
  </si>
  <si>
    <t>ZELIMARI</t>
  </si>
  <si>
    <t>ZENITH</t>
  </si>
  <si>
    <t>ZENITH MATERIAIS DE SEGUR</t>
  </si>
  <si>
    <t>ZEPHYRUS</t>
  </si>
  <si>
    <t>ZERO DB SERVICE CENTER</t>
  </si>
  <si>
    <t>ZEZINHO CAR. FUNILARIA</t>
  </si>
  <si>
    <t>ZIPYLIK</t>
  </si>
  <si>
    <t>ZIZI BELL</t>
  </si>
  <si>
    <t>ZMN INDUSTRIA E COMERCIO</t>
  </si>
  <si>
    <t>ZONIX</t>
  </si>
  <si>
    <t>ZORBA</t>
  </si>
  <si>
    <t>ZOTTIS IND. COM. E IMPORT</t>
  </si>
  <si>
    <t>ZOUH</t>
  </si>
  <si>
    <t>ZUBICK</t>
  </si>
  <si>
    <t>ZUBICK 2</t>
  </si>
  <si>
    <t>Filial_a_entregar</t>
  </si>
  <si>
    <t>Filial_cobranca</t>
  </si>
  <si>
    <t>Filial_a_faturar</t>
  </si>
  <si>
    <t>CD REGIS</t>
  </si>
  <si>
    <t>AVANTI- ADM C.CREDITO</t>
  </si>
  <si>
    <t>ANPPLA</t>
  </si>
  <si>
    <t>JUNDIAI</t>
  </si>
  <si>
    <t>REGISTRO</t>
  </si>
  <si>
    <t>TATUAPE</t>
  </si>
  <si>
    <t>SP - PARI</t>
  </si>
  <si>
    <t>BARUERI</t>
  </si>
  <si>
    <t>CARAPICUIBA</t>
  </si>
  <si>
    <t>IPIRANGA</t>
  </si>
  <si>
    <t>PINDAMONHANGABA</t>
  </si>
  <si>
    <t>SAO BERNARDO</t>
  </si>
  <si>
    <t>SAO MATHEUS</t>
  </si>
  <si>
    <t>LAJEADO</t>
  </si>
  <si>
    <t>POA</t>
  </si>
  <si>
    <t>SP - TUCURUVI</t>
  </si>
  <si>
    <t>DIADEMA</t>
  </si>
  <si>
    <t>ITAIM</t>
  </si>
  <si>
    <t>ITU</t>
  </si>
  <si>
    <t>JARDIM IGUATEMI</t>
  </si>
  <si>
    <t>JARDIM ZAIRA</t>
  </si>
  <si>
    <t>MOGI GUACU</t>
  </si>
  <si>
    <t>PIRASSUNUNGA</t>
  </si>
  <si>
    <t>SP - METRO CAPAO</t>
  </si>
  <si>
    <t>SP - PIRAPORINHA</t>
  </si>
  <si>
    <t>SUMARE</t>
  </si>
  <si>
    <t>CD EMBU</t>
  </si>
  <si>
    <t>CIDADE TIRADENTES</t>
  </si>
  <si>
    <t>CARAGUATATUBA</t>
  </si>
  <si>
    <t>HORTOLANDIA</t>
  </si>
  <si>
    <t>INDAIATUBA</t>
  </si>
  <si>
    <t>VARZEA PAULISTA</t>
  </si>
  <si>
    <t>COTIA</t>
  </si>
  <si>
    <t>FERRAZ</t>
  </si>
  <si>
    <t>FRANCISCO MORATO</t>
  </si>
  <si>
    <t>FRANCO DA ROCHA</t>
  </si>
  <si>
    <t>ITAPECERICA</t>
  </si>
  <si>
    <t>ITAPEVI</t>
  </si>
  <si>
    <t>ITAQUA</t>
  </si>
  <si>
    <t>ITAQUERA</t>
  </si>
  <si>
    <t>JAÇANA</t>
  </si>
  <si>
    <t>JARDIM ANGELA</t>
  </si>
  <si>
    <t>MAUA</t>
  </si>
  <si>
    <t>MOGI DAS CRUZES</t>
  </si>
  <si>
    <t>SP - BRASILANDIA</t>
  </si>
  <si>
    <t>VILA DAS MERCES</t>
  </si>
  <si>
    <t>VILA DIRCE</t>
  </si>
  <si>
    <t>VILA FORMOSA</t>
  </si>
  <si>
    <t>CIDADE OCIAN</t>
  </si>
  <si>
    <t>PRAIA GRANDE</t>
  </si>
  <si>
    <t>VICENTE DE CARVALHO</t>
  </si>
  <si>
    <t>CD IMPORTACAO</t>
  </si>
  <si>
    <t>NOVO SP - ATACADO 2</t>
  </si>
  <si>
    <t>SP - ATACADO</t>
  </si>
  <si>
    <t>NAVEGANTES CQ</t>
  </si>
  <si>
    <t>CRUZEIRO</t>
  </si>
  <si>
    <t>GUARATINGUETA</t>
  </si>
  <si>
    <t>TAUBATE</t>
  </si>
  <si>
    <t>SP - GRAJAU</t>
  </si>
  <si>
    <t>TRANSPORTADORA CAEDU</t>
  </si>
  <si>
    <t>AVANTI</t>
  </si>
  <si>
    <t>CD VAREJO</t>
  </si>
  <si>
    <t>QTD</t>
  </si>
  <si>
    <t>SQL</t>
  </si>
  <si>
    <t>Total Geral</t>
  </si>
  <si>
    <t>(Vários itens)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</si>
</sst>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49" fontId="1" fillId="2" borderId="1" xfId="0" applyNumberFormat="1" applyFont="1" applyFill="1" applyBorder="1"/>
    <xf numFmtId="49" fontId="1" fillId="2" borderId="0" xfId="0" applyNumberFormat="1" applyFont="1" applyFill="1" applyBorder="1"/>
    <xf numFmtId="0" fontId="0" fillId="0" borderId="0" xfId="0" pivotButton="1"/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FFFF00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aulo Devide" refreshedDate="42593.654518171294" createdVersion="6" refreshedVersion="6" minRefreshableVersion="3" recordCount="2485">
  <cacheSource type="worksheet">
    <worksheetSource ref="A1:F2486" sheet="FORNECEDOR"/>
  </cacheSource>
  <cacheFields count="6">
    <cacheField name="Fornecedor" numFmtId="49">
      <sharedItems count="2485">
        <s v=" ALLABARD"/>
        <s v=" CIMASA IND. COMER.BRNDES"/>
        <s v=" INFINIT SOLUCOES"/>
        <s v=" M2 SERVICOS ELETRICOS"/>
        <s v=" MARIA JOSE PINTO"/>
        <s v=" REINALDO BATISTA DA SILV"/>
        <s v="100NEXO"/>
        <s v="3 PONTO 1"/>
        <s v="4SERVERS TECHNOLOGIES"/>
        <s v="A J C TELE INFORMATICA"/>
        <s v="A M DE ANDRADE FILHO"/>
        <s v="A MAIS IND E COM"/>
        <s v="A MICHELOTTI AK COM CONF"/>
        <s v="A N D ASSESSORIA GRAFICA"/>
        <s v="A S INFORMATICA"/>
        <s v="A T KEARNEY CONSULTORIA"/>
        <s v="A. TELECOM"/>
        <s v="A.CABINE MATERIAIS"/>
        <s v="A.M"/>
        <s v="A.R.S COMERCIO DE ROUPAS"/>
        <s v="ABALLO"/>
        <s v="ABANO RJ DISTRIB LTDA"/>
        <s v="ABASERVICE INSTALACAO"/>
        <s v="ABATEX IND E COM LTDA."/>
        <s v="ABB INFORMATICA"/>
        <s v="ABERJEANS"/>
        <s v="ABL TEXTIL"/>
        <s v="ABRIL COMUNICACOES S.A"/>
        <s v="ABSOLUTO"/>
        <s v="ABUNDANT"/>
        <s v="ACALANTO TRICOT"/>
        <s v="ACAO INFORMATICA"/>
        <s v="AÇÃO INFORMATICA BRASIL"/>
        <s v="ACESSO DIGITAL TECN"/>
        <s v="ACIL TEXTIL"/>
        <s v="ACM COMUNICACAO"/>
        <s v="ACOCORTE FERRO E ACO"/>
        <s v="ACOS CONTINENTE IND E COM"/>
        <s v="ACP CONFECCOES"/>
        <s v="ACQUALARA"/>
        <s v="ACRILICOS ARTE- FORMA"/>
        <s v="ACS HARD SOFTWARE LTDA"/>
        <s v="ACS REPRESENTACOES"/>
        <s v="ACTIVA SUL"/>
        <s v="AD CRIACOES LINGERIE"/>
        <s v="AD4 SOLUÇÕES CORPORATIVAS"/>
        <s v="ADALBERTO MIGUEL"/>
        <s v="ADE"/>
        <s v="ADECIL COMERCIAL"/>
        <s v="ADILSON JOAQUIM"/>
        <s v="ADLER TEXTIL LTDA"/>
        <s v="ADLES"/>
        <s v="ADP BRASIL LTDA"/>
        <s v="ADRIANO GUARDANI - ME"/>
        <s v="AERIAL EVENTOS E LOCACAO"/>
        <s v="AES ELETROPAULO"/>
        <s v="AFAM CONSULTORIA EMPRES."/>
        <s v="AFINAL PRODUÇÃO E EVENTOS"/>
        <s v="AFIXCODE SOLUCOES GRAFICA"/>
        <s v="AFIXICODE PATRIMONIO"/>
        <s v="AGENCIA ALTERNATIVA"/>
        <s v="AGÊNCIA DE COCRIAÇÃO"/>
        <s v="AGENCIA DE COMUNICAO INTE"/>
        <s v="AGENCIA DE MODELOS CASTIN"/>
        <s v="AGENCIA SPLENDOR MODELOS"/>
        <s v="AGIS EQUIP E SERV DE INFO"/>
        <s v="AGIS EQUIPAMENTO"/>
        <s v="AGR CONSULTORES"/>
        <s v="AGROTAMA"/>
        <s v="AGUA E OPIO"/>
        <s v="AGUA VERDE"/>
        <s v="ÁGUA VIVA"/>
        <s v="AGUA VIVA (2)"/>
        <s v="AGUIA TEX"/>
        <s v="AGUIAR PROJETOS"/>
        <s v="AGVI COM DE APAR ELETRO"/>
        <s v="AIM MESAS E CADEIRAS"/>
        <s v="AIRTON TORRES BARBOSA"/>
        <s v="AISHTY"/>
        <s v="AJC TELE INFORMATICA LTDA"/>
        <s v="AJO JOMCCO FOTO E VIDEO"/>
        <s v="AK MALHAS"/>
        <s v="AKIYOSHI"/>
        <s v="AKTIVA EMBALAGENS"/>
        <s v="AL ACHEK"/>
        <s v="ALAMASTER SERV ELETRONICO"/>
        <s v="ALBANESE"/>
        <s v="ALBATEX"/>
        <s v="ALBATROZ"/>
        <s v="ALBERTO JARDIM DE GOUVEIA"/>
        <s v="ALCATEIA ENGENHARIA"/>
        <s v="ALEGANS"/>
        <s v="ALENICE"/>
        <s v="ALEPLAC IND."/>
        <s v="ALEX BATISTA SHIMABUKURO"/>
        <s v="ALEXANDRE MARCIO DA SILVA"/>
        <s v="ALEXANDRE SANTOS GALVÃO M"/>
        <s v="ALFA DEZ"/>
        <s v="ALFA GRIFF"/>
        <s v="ALFA PRISMA"/>
        <s v="ALIANÇA PROMOÇ E EVENTOS"/>
        <s v="ALIIANZ SEGUROS S/A"/>
        <s v="ALINE CONFECÇOES"/>
        <s v="ALL BOOKS LIVRARIA"/>
        <s v="ALL PASTIC COM SERV LTDA"/>
        <s v="ALLAMANDRA"/>
        <s v="ALLON MALHAS"/>
        <s v="ALLURE EIRELI - EPP"/>
        <s v="ALPHAQUIP"/>
        <s v="ALTEMBURG"/>
        <s v="ALTERACAO"/>
        <s v="ALTO ASTRAS"/>
        <s v="ALTO NIVEL"/>
        <s v="ALV LOCADORA"/>
        <s v="ALVEN PALACE HOTEL LTDA"/>
        <s v="AMABILI"/>
        <s v="AMAZON VEICULOS"/>
        <s v="AMAZONAS LESTE LTDA"/>
        <s v="AME ELETRONICA LTDA"/>
        <s v="AMERICANAS"/>
        <s v="AMG COMERCIAL"/>
        <s v="AMLAP"/>
        <s v="AMPOLA - PIMENTA MOCA"/>
        <s v="AMUAGE"/>
        <s v="AMULLETU JEANS"/>
        <s v="AMZ AMAZING MODEL"/>
        <s v="ANA BELLA TRICOT"/>
        <s v="ANA CANDIDA PIERONI"/>
        <s v="ANA LUISA"/>
        <s v="ANA MALHAS EIRELI"/>
        <s v="ANA MILA"/>
        <s v="ANA PAULA COSTA DA SILVA"/>
        <s v="ANA ROSA BOSSO"/>
        <s v="ANALYA"/>
        <s v="ANANDA METAIS"/>
        <s v="ANANDA METAIS LTDA"/>
        <s v="ANANDA QUALIDADE EM AÇOS"/>
        <s v="ANCEC AGRIMENSURA"/>
        <s v="AND MOTOS"/>
        <s v="ANDERSON BELLAZZI"/>
        <s v="ANDERSON BENTO MACENA EPP"/>
        <s v="ANDRE CALIL JORGE - EPP"/>
        <s v="ANDRE MAIA"/>
        <s v="ANDRESSA P MIIASHIRO"/>
        <s v="ANDRIMALHAS"/>
        <s v="ANDRITEX"/>
        <s v="ANGELO C CAMBRAIA"/>
        <s v="ANGERO"/>
        <s v="ANGERO-2"/>
        <s v="ANS- WORK SYSTEMS"/>
        <s v="ANSELMO &amp; LUPERINE COM"/>
        <s v="ANTICO PLAZA HOTEL LTDA"/>
        <s v="ANTONIO ALBERTO"/>
        <s v="ANTONIO DONIVALDO SOUZA"/>
        <s v="ANUNTIS BRASIL"/>
        <s v="APIMENTADAS"/>
        <s v="APIMENTADAS 2"/>
        <s v="APONTO SISTEMAS COMERCIO"/>
        <s v="APPLE COMPUTER"/>
        <s v="AQUA VENT"/>
        <s v="AQUARELLA TRICOT"/>
        <s v="AQUINIMA BRASIL LTDA"/>
        <s v="ARACE"/>
        <s v="ARAGUAIA"/>
        <s v="ARAGUAIA DERRO E AÇO"/>
        <s v="ARAX"/>
        <s v="ARC DISPLAY EQUIPAMENTOS"/>
        <s v="ARCA LOC E COM P FESTAS"/>
        <s v="ARCNET AUTOMACAO COML"/>
        <s v="ARCS BELLA RESTAURANTES"/>
        <s v="AREIA DA PRAIA"/>
        <s v="ARERE"/>
        <s v="ARMANDO ANTONIO DALRI"/>
        <s v="ARMANDO CIERO NETO"/>
        <s v="ARMANDO EDUARDO DOS SANTO"/>
        <s v="ARMAZEM DOS BRINDES LTDA."/>
        <s v="ARQUIMOVEL C/V DE IMOVEIS"/>
        <s v="ARQUITETURA DO TRICO"/>
        <s v="ARRAZANTTY FITNESS"/>
        <s v="ARRELIA ROCK"/>
        <s v="ARROJADOS"/>
        <s v="ARSENAL"/>
        <s v="ART AR CONDICIONADO LTDA"/>
        <s v="ART BABY"/>
        <s v="ART BRASIL"/>
        <s v="ART CENTER PROD DIGITAIS"/>
        <s v="ART LIVRE"/>
        <s v="ART MALHAS"/>
        <s v="ART STILLUS"/>
        <s v="ARTAR SERVIÇOS E MANUT"/>
        <s v="ARTE BAMBINI PROD LTDA"/>
        <s v="ARTE INVENTO E EVENTOS"/>
        <s v="ARTE SOLUÇÕES &amp; AUTOMAÇÃO"/>
        <s v="ARTEFATOS DE CIMENTO"/>
        <s v="ARTESIAN"/>
        <s v="ARTHUS PROMOÇÕES"/>
        <s v="ARTIGUS IND DE PLASTICOS"/>
        <s v="ARVORE E FRUTOS(TOQUE )"/>
        <s v="ARVORES E SEUS FRUTOS 2"/>
        <s v="AS PASTORINHAS"/>
        <s v="ASAP RECRUTAMENTO"/>
        <s v="ASIA SISTEMAS DE INFORM."/>
        <s v="ASPEC SERVIÇOS COMERCIAIS"/>
        <s v="ASPERCOM SERVICOS"/>
        <s v="ASSOC BRAS DE NORMAS"/>
        <s v="ASTURIAS"/>
        <s v="ATELIE"/>
        <s v="ATELIE CINTOS"/>
        <s v="ATI GLASS COMERCIO"/>
        <s v="ATLANTICA"/>
        <s v="ATM TEXTIL"/>
        <s v="ATUAL MODAS"/>
        <s v="AUDIE SCALDELAI ME"/>
        <s v="AURELI GODOI BERNARDO"/>
        <s v="AUTHENTICA"/>
        <s v="AUTO POSTO CANINDE"/>
        <s v="AUTO POSTO HAVAI LTDA"/>
        <s v="AUTO POSTO SOLUÇÃO"/>
        <s v="AVALON"/>
        <s v="AVALON 2"/>
        <s v="AVATEK"/>
        <s v="AYLANA"/>
        <s v="AYLANA MODA PRAIA"/>
        <s v="AZ KIDS"/>
        <s v="B B C REFRIGERACAO"/>
        <s v="B&amp;S EQUIPAMENTOS"/>
        <s v="B.K.L."/>
        <s v="B2G BUSINESS"/>
        <s v="B2U CONSULTORIA E DESENV"/>
        <s v="B3"/>
        <s v="B76"/>
        <s v="B76 (2)"/>
        <s v="BA-KOS"/>
        <s v="BABILÔNIA"/>
        <s v="BABUGEM"/>
        <s v="BACKER SA"/>
        <s v="BAG STYLE"/>
        <s v="BAGDAD COM DE BALÕES"/>
        <s v="BAGSTILL COMERCIO"/>
        <s v="BALBOA"/>
        <s v="BAM COM DE SERV LTDA"/>
        <s v="BANANA CLUB"/>
        <s v="BANDLEY (JM)"/>
        <s v="BARABU"/>
        <s v="BARBITEX"/>
        <s v="BARONESS"/>
        <s v="BARY´S BAR"/>
        <s v="BASE E RECURSOS HUMANOS"/>
        <s v="BASE URBANA"/>
        <s v="BASIC GIRLS"/>
        <s v="BASICA LINDA"/>
        <s v="BASICA LINDA 1"/>
        <s v="BATMAO"/>
        <s v="BB SPORTS"/>
        <s v="BB TRANSPORTES E TURISMO"/>
        <s v="BBC ENGENHARIA"/>
        <s v="BBC MALHAS"/>
        <s v="BC CONSULTING"/>
        <s v="BE MINI"/>
        <s v="BEACH &amp; COUNTRY"/>
        <s v="BEACH BOAT"/>
        <s v="BEACH CAT"/>
        <s v="BEACH CONFECCOES"/>
        <s v="BEATRIZ FASHION"/>
        <s v="BEAUTY(ONEIDE CONFECCOES)"/>
        <s v="BEBELA"/>
        <s v="BECK BOY"/>
        <s v="BECKER CONFECCOES"/>
        <s v="BEIJINHO BEIJOCA"/>
        <s v="BEL GADI"/>
        <s v="BELA BILU"/>
        <s v="BELA FLOR"/>
        <s v="BELA NOITE"/>
        <s v="BELA VISUAL"/>
        <s v="BELAS ARTES"/>
        <s v="BELCORPO LINGERIE"/>
        <s v="BELLA SEDA"/>
        <s v="BELLO PARKING"/>
        <s v="BEMATECH"/>
        <s v="BÊNÇÃO"/>
        <s v="BENCORP MEDICINA OCUPACIO"/>
        <s v="BENCORP S/A CORRET DE SEG"/>
        <s v="BENETEX"/>
        <s v="BENETEX 2"/>
        <s v="BENETRON COMERCIAL LTDA"/>
        <s v="BERTEX"/>
        <s v="BERTINELLI"/>
        <s v="BERTOLINI"/>
        <s v="BEST HOMENAGENS E FLORES"/>
        <s v="BETELLE"/>
        <s v="BETHA GRAPHICS COM E SERV"/>
        <s v="BETILHA"/>
        <s v="BETON GEOTECH"/>
        <s v="BEWAY"/>
        <s v="BHP AR CONDICIONADO"/>
        <s v="BIANCHESI"/>
        <s v="BIBOS AUTOS E PERSONAL"/>
        <s v="BICHO BAGUNCA"/>
        <s v="BICHO SOLTO"/>
        <s v="BIELZINHO"/>
        <s v="BIFO"/>
        <s v="BIG ASSESSORIA"/>
        <s v="BIG RAY"/>
        <s v="BIG RAY 2"/>
        <s v="BIG ROCK"/>
        <s v="BIG STAR"/>
        <s v="BIGGY BOYZ"/>
        <s v="BIKE"/>
        <s v="BILU NEW"/>
        <s v="BIMBUS"/>
        <s v="BIO TIPO"/>
        <s v="BIOBA"/>
        <s v="BIOBA 2"/>
        <s v="BIONDA"/>
        <s v="BIOTIPO"/>
        <s v="BIOVETOR SERVICOS"/>
        <s v="BIVIK 2"/>
        <s v="BLACK BEAR"/>
        <s v="BLACK BEAR ( NORMA )"/>
        <s v="BLACK BEAR 2"/>
        <s v="BLACK JEANS"/>
        <s v="BLISTER"/>
        <s v="BLUE BAY"/>
        <s v="BLUE DENIN"/>
        <s v="BLUE MACAW"/>
        <s v="BLUE TREE"/>
        <s v="BOA VISTA SERVIÇOS S/A"/>
        <s v="BOB BANDEIRA"/>
        <s v="BOBY BABY"/>
        <s v="BOCA  GRANDE"/>
        <s v="BOCAS SONORIZAÇÃO"/>
        <s v="BOCHECHINHA"/>
        <s v="BOCHECHINHA (SGA)"/>
        <s v="BODY SUMMER"/>
        <s v="BOGO"/>
        <s v="BOKKER"/>
        <s v="BOLINHA FUNILARIA"/>
        <s v="BOLSART"/>
        <s v="BONELESKA"/>
        <s v="BONELESKA BONES"/>
        <s v="BONETTI TRICOT"/>
        <s v="BOO-BOX"/>
        <s v="BOSLANG"/>
        <s v="BP SOLUTIONS CAJAMAR"/>
        <s v="BP SOLUTIONS LTDA"/>
        <s v="BP SOLUTIONS LTDA - PR"/>
        <s v="BR COFRES  MOVEIS P/ESCR"/>
        <s v="BR PARTICIPACOES LTDA"/>
        <s v="BRACIN IND E COM DE INF"/>
        <s v="BRANDÃO E MAIA"/>
        <s v="BRANDILI"/>
        <s v="BRASIL ATIVO IND E COM"/>
        <s v="BRASIL CRIANCA"/>
        <s v="BRASIL MEIAS"/>
        <s v="BRASILFER"/>
        <s v="BRAZILIAN SPORTS"/>
        <s v="BRBABY FOTOGRAFIA E CINEM"/>
        <s v="BRENGE CONSTRUCOES"/>
        <s v="BRILHO DA PRAIA"/>
        <s v="BRINCAR É ARTE"/>
        <s v="BRINDEPEL"/>
        <s v="BRINGIT COM ELETRONICO"/>
        <s v="BRINKS SAO JOSE DOS CAMP"/>
        <s v="BRINKS SEG.FILIAL CAMPI"/>
        <s v="BRINKS SEGURANCA E TRANSP"/>
        <s v="BRINKS SEGURANCA SANTOS"/>
        <s v="BRM MODEL MANAGEMENT COML"/>
        <s v="BROBIETTE"/>
        <s v="BRUNA MORAIS TRICOT"/>
        <s v="BRUNI SERVICE"/>
        <s v="BRUVI"/>
        <s v="BRVOGUE PRODUCOES"/>
        <s v="BRZ"/>
        <s v="BSL COMERCIO"/>
        <s v="BSS CARD CARTOES E IMPRES"/>
        <s v="BTH TEXTIL"/>
        <s v="BUETTNER"/>
        <s v="BUGALOO"/>
        <s v="BUNDYS LINGERIE"/>
        <s v="BURDAS"/>
        <s v="BUZZO COM. DE MATERIAL"/>
        <s v="BWMS LTDA"/>
        <s v="BYGUS"/>
        <s v="BYLA &amp; BOBY"/>
        <s v="C FORTALEZA C D TEC LTDA"/>
        <s v="C.C.C.A COMERCIAL"/>
        <s v="CABIDES STORE"/>
        <s v="CABILOG COMERCIO"/>
        <s v="CAEDU IMPORTACAO VAREJO"/>
        <s v="CAEDU IMPORTADORA"/>
        <s v="CAEDU IMPORTADORA 2"/>
        <s v="CAEDU IMPORTADORA SC"/>
        <s v="CAESA REPRES. E COMERCIO"/>
        <s v="CAFE VERDE"/>
        <s v="CALCINHAS FOLLY"/>
        <s v="CALENDULA"/>
        <s v="CALEX"/>
        <s v="CALIXTOS"/>
        <s v="CALVO COL IMP E EXP"/>
        <s v="CAMERA PRESS LET EDITORA"/>
        <s v="CAMESA"/>
        <s v="CAMPOTEX"/>
        <s v="CANTEGRIL COMERCIAL"/>
        <s v="CAPETRIN LTDA ME"/>
        <s v="CAPITAL CABIDES INDL"/>
        <s v="CAPITAL CARTÕES"/>
        <s v="CARA MELADA"/>
        <s v="CARA METADE"/>
        <s v="CARA SUJA"/>
        <s v="CARAMEL"/>
        <s v="CARAMMELO CONFECCAO"/>
        <s v="CARAN CONFECCOES"/>
        <s v="CARLOS EDUARDO DE MACEDO"/>
        <s v="CARLYLE DA MATTA ME"/>
        <s v="CARMESIN MALHAS LG"/>
        <s v="CAROL MALHAS"/>
        <s v="CAROLINE LEAL DA COSTA"/>
        <s v="CAROLIPE"/>
        <s v="CARRIEL TRANSP LTDA EPP"/>
        <s v="CARTEL CINTOS"/>
        <s v="CARTORIO"/>
        <s v="CASA DE TINTAS LALIN"/>
        <s v="CASA DO SUPORTE"/>
        <s v="CASA DOS BEBEDOUROS"/>
        <s v="CASA DOS MACACOS"/>
        <s v="CASA E VIDEO RJ"/>
        <s v="CASA FARIA MATERIAIS"/>
        <s v="CASAL 20"/>
        <s v="CASAS BAHIA"/>
        <s v="CASAS BAHIA COML LTDA"/>
        <s v="CASUALLE IND E COM"/>
        <s v="CATARINA HSU"/>
        <s v="CATARINA TEXTIL"/>
        <s v="CATAY"/>
        <s v="CATHO ON LINE LTDA"/>
        <s v="CATIVA MALHAS"/>
        <s v="CATIVA TEXTIL"/>
        <s v="CATLEIA LINGERIE"/>
        <s v="CAYMAN"/>
        <s v="CBJ CONFECCOES"/>
        <s v="CC.OK CONFECCOES LTDA"/>
        <s v="CCB TRANSPORTES LTDA - ME"/>
        <s v="CD ARAQUARI"/>
        <s v="CD NAVEGANTES"/>
        <s v="CDC BRASIL DISTRIBUIDORA"/>
        <s v="CDKA"/>
        <s v="CDTEX"/>
        <s v="CENA ENTRETENIMENTO"/>
        <s v="CENAV ENGENHARIA S/S LTDA"/>
        <s v="CENIL"/>
        <s v="CENNABRAS"/>
        <s v="CENOFISCO"/>
        <s v="CENSATO - NTC"/>
        <s v="CENTRO DE INTEGRACAO"/>
        <s v="CENTRO DE INTEGRACAO CIEE"/>
        <s v="CENTROCINCO EMBALAGENS"/>
        <s v="CENTROGRAFICA"/>
        <s v="CERAMICA SAO JOAO DE ITU"/>
        <s v="CERISE"/>
        <s v="CETEST MINAS ENG E SERV"/>
        <s v="CF ROCHA"/>
        <s v="CHADY CONFECÇÕES"/>
        <s v="CHAMEGO MALHAS"/>
        <s v="CHANTILLY"/>
        <s v="CHAPLIN"/>
        <s v="CHARME DE MENINA"/>
        <s v="CHENSON"/>
        <s v="CHERRY TRICOT"/>
        <s v="CHICOTE IND. COM. DE ROUP"/>
        <s v="CHIGUETO IND. E COMERCIO"/>
        <s v="CHOCO BIJOUX"/>
        <s v="CHOCO BIJOUX 2"/>
        <s v="CHOCO BIJOUX MODAS LTDA"/>
        <s v="CHOCO MENTHA"/>
        <s v="CHOPP"/>
        <s v="CHURRASCARIA ALTA NEIRA"/>
        <s v="CIA DA GRAVATA"/>
        <s v="CIA DA MODA"/>
        <s v="CIA DO JEANS"/>
        <s v="CIA DO VENTO"/>
        <s v="CICLO VITAL"/>
        <s v="CICOPAL S/A"/>
        <s v="CIEE"/>
        <s v="CINTYA NAOMI MISOBUSHI"/>
        <s v="CITIMAT IMPERMEABILIZANTE"/>
        <s v="CITY GIRL"/>
        <s v="CLAIKA SOCKS"/>
        <s v="CLARO"/>
        <s v="CLARO TRANSPORTE LTDA ME"/>
        <s v="CLASS LINGERIE"/>
        <s v="CLAUDINEI CARLOS"/>
        <s v="CLEOMARA"/>
        <s v="CLIO"/>
        <s v="CLIPPING SERVICE"/>
        <s v="CLONAGEN"/>
        <s v="CLOSER MODEL PRODUCOES"/>
        <s v="CM COM. DE SERV. DE EXTIN"/>
        <s v="CMA CONSULTORIA METODOS"/>
        <s v="COBRAVEST"/>
        <s v="COERENCIA"/>
        <s v="COFFEE INDUSTRIA E COM."/>
        <s v="COFIN ROCK"/>
        <s v="COLISAO"/>
        <s v="COLLORS COMERCIO DE"/>
        <s v="COMERCIAL CHARMZONE LTDA"/>
        <s v="COMÉRCIO DE VIDROS"/>
        <s v="COMERCIO REVISTAS MOURA"/>
        <s v="COMFIBRAS"/>
        <s v="COML CONSTRUCOES PRANDIX"/>
        <s v="COMPANHIA PIRATININGA DE"/>
        <s v="COMUNIQUE"/>
        <s v="COMUTACAO TELECOMUNICA"/>
        <s v="CONDE DUCK"/>
        <s v="CONDRINA SERVICOS LTDA"/>
        <s v="CONDUCTOR TECNOLOGIA S/A"/>
        <s v="CONDUTA"/>
        <s v="CONECTA ENG E CONST. LTDA"/>
        <s v="CONEXAO AIX LTDA"/>
        <s v="CONEXAO MALHAS"/>
        <s v="CONF MARANTONIO"/>
        <s v="CONFEC VIVA VIVA"/>
        <s v="CONFECCOES DE IBIRAMA"/>
        <s v="CONFECÇÕES EDNA"/>
        <s v="CONFECCOES FAVAN"/>
        <s v="CONFECÇÕES FERREIRA"/>
        <s v="CONFECÇOES MENINA BELA"/>
        <s v="CONFECCOES MIA"/>
        <s v="CONFECCOES ROLU LTDA"/>
        <s v="CONFECCOES SINDER LTDA"/>
        <s v="CONFECÇOES V2"/>
        <s v="CONFLUENCE SOLUCOES"/>
        <s v="CONFRONTO BRASIL"/>
        <s v="CONSELHEIRO VALENTIM"/>
        <s v="CONSOLINE AUDIOVISUAL"/>
        <s v="CONSTRUCAO RJC 18"/>
        <s v="CONSTRUTORA BRAS EIRELI"/>
        <s v="CONSTRUTORA FOCUS"/>
        <s v="CONTATTO TRICOT"/>
        <s v="CONTATTO TRICOT 2"/>
        <s v="CONTAZUL CONTABILIDADE LT"/>
        <s v="CONTINENTE TURISMO"/>
        <s v="CONTRAVENÇÃO"/>
        <s v="CONTROLE AGRIMENSURA"/>
        <s v="CONVENIENCE HOTEL LTDA"/>
        <s v="COOL CLUB"/>
        <s v="COOPERTAX"/>
        <s v="COPIADORA SPEED LIGHT"/>
        <s v="COPIADORAS SUCCESS"/>
        <s v="COR DE CEREJA"/>
        <s v="CORINGA"/>
        <s v="CORTE MIX"/>
        <s v="COSTA RICA"/>
        <s v="COTEMINAS"/>
        <s v="COTTON STAR"/>
        <s v="COURACAO"/>
        <s v="COUTION"/>
        <s v="CPFL"/>
        <s v="CRB EQUIP ESCRITORIO LTDA"/>
        <s v="CRB INSTALAÇÕES LTDA"/>
        <s v="CREACOES MISU"/>
        <s v="CREDENCIA TECNOLOGIA"/>
        <s v="CREDIDIO E DIACOLI"/>
        <s v="CRIS VAN"/>
        <s v="CRISMA CONFECCOES"/>
        <s v="CRISSOM /CRISTIANO LOPES"/>
        <s v="CRITTON"/>
        <s v="CROCKER"/>
        <s v="CROCKER 2"/>
        <s v="CS"/>
        <s v="CSED DIST DE AGUA MINERAL"/>
        <s v="CUALA"/>
        <s v="CURSOR MIRAI COM"/>
        <s v="CURVA PERFEITA"/>
        <s v="CUT &amp; FOLD"/>
        <s v="CVC BRASIL"/>
        <s v="CYKLOP DO BRASIL"/>
        <s v="CYKLOP DO BRASIL EMBALAG"/>
        <s v="D ART"/>
        <s v="D CANDIDO"/>
        <s v="D CANDIDO 2"/>
        <s v="D KARY LINGERIE"/>
        <s v="D L R ENGENHEIROS"/>
        <s v="D LUNE LANGERI"/>
        <s v="D LUNE MODA INTIMA"/>
        <s v="D REINE"/>
        <s v="D SARTORI"/>
        <s v="D.K.L. JEANS"/>
        <s v="D´GLOUSH"/>
        <s v="D5 AGENCIA DE ATORES"/>
        <s v="DA VINCI"/>
        <s v="DAAZ ARQUITETURA SOC SIMP"/>
        <s v="DADYS GIRL"/>
        <s v="DAKOR EDITORA"/>
        <s v="DALHKE EQUIPAMENTOS"/>
        <s v="DALLF"/>
        <s v="DALLF 2"/>
        <s v="DALRI"/>
        <s v="DAMANI"/>
        <s v="DANIANA"/>
        <s v="DARACK SOLUCOES"/>
        <s v="DARDAK"/>
        <s v="DARONE"/>
        <s v="DATASUPRI BRASIL"/>
        <s v="DAY OFF"/>
        <s v="DAY OFF 2"/>
        <s v="DB COMERCIO E SERVICOS"/>
        <s v="DCL BRASIL"/>
        <s v="DE BRITO PROPAGANDA LTDA"/>
        <s v="DE MARTA"/>
        <s v="DEBORA CANOVA SANCHES"/>
        <s v="DEBORA RIBEIRO TRICOT"/>
        <s v="DEBY MODAS"/>
        <s v="DECORO"/>
        <s v="DECRETO BASE"/>
        <s v="DEDETIZADORA A TANAKA"/>
        <s v="DEDETIZADORA COM LOREMI"/>
        <s v="DEDHAS"/>
        <s v="DEDO A DEDO"/>
        <s v="DEGRADE"/>
        <s v="DEGRAUS ANDAIMES MAQ E EQ"/>
        <s v="DEGRAUZINHO"/>
        <s v="DEINHA FASHION"/>
        <s v="DEL TEDESCO PUBLICIDADE"/>
        <s v="DELKER PLASTICOS"/>
        <s v="DELL COMPUTADORES"/>
        <s v="DELLAGRIS"/>
        <s v="DELLAGRIS 2"/>
        <s v="DEMARCHI MALHAS"/>
        <s v="DEMARCOS"/>
        <s v="DENIÊ"/>
        <s v="DEP MAT CONSTR MORATENSE"/>
        <s v="DERMIWIL"/>
        <s v="DESAYNER"/>
        <s v="DESORDEM/DECORTEX"/>
        <s v="DEVASEE"/>
        <s v="DEZALI"/>
        <s v="DI PEROLA"/>
        <s v="DI SOM  PRODUTOS ELETRON"/>
        <s v="DIANA FASHION"/>
        <s v="DIBETO CONFECCOES LTDA"/>
        <s v="DIEVO DISTRIBUIDORA"/>
        <s v="DIFER COMERCIO DE BOBINAS"/>
        <s v="DIG DOG"/>
        <s v="DIGITAL TEXTIL IND"/>
        <s v="DIMAS DE MELO"/>
        <s v="DIMAS DE MELO (FILIAL)"/>
        <s v="DIMAS DE MELO FILIAL SCS"/>
        <s v="DIMAS DE MELO PIMENTA"/>
        <s v="DIMENSAO IND. VESTUARIO"/>
        <s v="DINUS"/>
        <s v="DIOGO TORRES CANDIDO"/>
        <s v="DIONS"/>
        <s v="DIP NIK"/>
        <s v="DIRECTNET"/>
        <s v="DISKPEL"/>
        <s v="DIVA"/>
        <s v="DIVA 2"/>
        <s v="DIVA 3"/>
        <s v="DIVINOSABOR LANCHONETE"/>
        <s v="DIXIE"/>
        <s v="DIXX AVIAMENTOS"/>
        <s v="DJAK CAMISARIA"/>
        <s v="DJANA MALHAS"/>
        <s v="DL MALHAS"/>
        <s v="DN AUTOMACAO LTDA."/>
        <s v="DNA"/>
        <s v="DNA DIGITAL PRINT LTDA"/>
        <s v="DOCE BRILHO"/>
        <s v="DOCE ESTILO"/>
        <s v="DOLCE"/>
        <s v="DOLCE MODELING AGENCY"/>
        <s v="DOM JUAN"/>
        <s v="DOMARK"/>
        <s v="DONA BAKANA"/>
        <s v="DONA NEGONA CASTING"/>
        <s v="DONNA"/>
        <s v="DONNA CAROLE"/>
        <s v="DONNA CAROLE ME"/>
        <s v="DORBYN"/>
        <s v="DORIA RIBEIRO"/>
        <s v="DOYGA"/>
        <s v="DRAWING AR COND."/>
        <s v="DRP CONSULTORIA E LOGISTI"/>
        <s v="DRP PLANFLETAGEM LTDA ME"/>
        <s v="DU COLOR COMERCIAL"/>
        <s v="DUAL COMP COM E DISTR"/>
        <s v="DUANIP"/>
        <s v="DUARTE MODAS"/>
        <s v="DUCATTI AUTOMAÇÃO"/>
        <s v="DUDUKA"/>
        <s v="DUDYS BOY"/>
        <s v="DUDYS CONFECCOES LTDA"/>
        <s v="DUO FOTOCLUBE ESTUDIO"/>
        <s v="DUOMO"/>
        <s v="DUPLO B"/>
        <s v="DURIQUE"/>
        <s v="DUSS"/>
        <s v="DUTRA MAQUINAS"/>
        <s v="DY ANY"/>
        <s v="DY ANY 2"/>
        <s v="DYNAMICA DECORAÇÕES"/>
        <s v="DZAIRA"/>
        <s v="E A SANTOS - INSTALACOES"/>
        <s v="E. V. COMERCIAL LTDA - M"/>
        <s v="E.B.T EMBRATEL"/>
        <s v="E.FERREIRA ASSESSORIA"/>
        <s v="EASY INDUSTRIA"/>
        <s v="EBENEZER PREST DE SERVICO"/>
        <s v="ECAD ESCR E ARRECADAÇÃO"/>
        <s v="ECOLOGIC"/>
        <s v="ECOMAQ COMERCIO E MANUT"/>
        <s v="ECZOZ"/>
        <s v="EDITORA VOZES"/>
        <s v="EDP BANDEIRANTE"/>
        <s v="EDSON ANTONIO MOREIRA"/>
        <s v="EDUARDO BUSCARATTI CRUZ"/>
        <s v="EDUARDO EBURNIO -ME"/>
        <s v="EDVAN MALHAS"/>
        <s v="EDYTONY COM DE REVISTAS"/>
        <s v="EIVALDO ANTONIO FUZA"/>
        <s v="EIXO CONFECCOES"/>
        <s v="EIXO CONFECCOES LTDA"/>
        <s v="ELCRIL ACRILICOS LTDA"/>
        <s v="ELEKTRO ELETC E SERV S/A"/>
        <s v="ELEKTRO ELETRICIDADE E SE"/>
        <s v="ELETRO SATES LTDA"/>
        <s v="ELETRONICA SANTANA LTDA"/>
        <s v="ELEVA TEXTIL"/>
        <s v="ELEVADORES VILARTA"/>
        <s v="ELEVADORES VILLARTA (SBC)"/>
        <s v="ELEVADORES VILLARTA LTDA"/>
        <s v="ELIDI ELISABETH SCALOPPI"/>
        <s v="ELISEU CONSONI EPP"/>
        <s v="ELIZA TRICOT"/>
        <s v="ELLO MODEL MANAG AGENCIA"/>
        <s v="ELÔ MALHAS"/>
        <s v="ELOISA MENDONCA COBRA"/>
        <s v="ELSE"/>
        <s v="EMBRATEL"/>
        <s v="EMERSON F DA SILVA LIMP"/>
        <s v="EMILIA N FERNANDES ME"/>
        <s v="EMPORIO DO ALGODAO"/>
        <s v="EMPORIO SUL"/>
        <s v="EMPRESA JORNALISTICA"/>
        <s v="EMSENHUBER E ADVOGADOS"/>
        <s v="ENCANTA"/>
        <s v="ENCHANTE"/>
        <s v="ENCOMEX TRADING"/>
        <s v="ENERTRONIC"/>
        <s v="ENFOQUE EMP DE NEG FOC OP"/>
        <s v="ENGEBANC"/>
        <s v="ENGEMENTAL 0001-01"/>
        <s v="ENGEMENTAL 0001-18"/>
        <s v="ENGETI CONSULTORIA"/>
        <s v="ENQUETE"/>
        <s v="ENTEL"/>
        <s v="EQUIPALOJA - EQUIPAMENTOS"/>
        <s v="EQUIPE DUTRA MÁQUINAS"/>
        <s v="ERBELA"/>
        <s v="ERICA PRADO DA SILVA"/>
        <s v="ESPACIAL SUPRIMENTOS"/>
        <s v="ESSENCE"/>
        <s v="ESSENCE CONSULTORIA"/>
        <s v="ESTRURAS MET.TOMASTEC"/>
        <s v="ESTRUTURAL"/>
        <s v="ESTYLLOS"/>
        <s v="ESUR MODAS"/>
        <s v="ESYWORD SISTEMAS E INF"/>
        <s v="ETIQ PLAST"/>
        <s v="ETRURIA"/>
        <s v="ETURIA"/>
        <s v="EUROLA"/>
        <s v="EVENTOS E FESTAS CENTER"/>
        <s v="EVENTOS E FESTAS CENTER L"/>
        <s v="EVERBLUE"/>
        <s v="EVOLUCION COM DE IMP."/>
        <s v="EVOLUTEX"/>
        <s v="EXPOR MANEQUINS DISPLAYS"/>
        <s v="EXTINTORES FIRE WORK"/>
        <s v="EXTINTORES FRANCO"/>
        <s v="EZCONET S/A"/>
        <s v="F S IDEIA IND E COM LTDA"/>
        <s v="F&amp;F ETIQUETAS LTDA ME"/>
        <s v="F&amp;GS SERVIÇOS"/>
        <s v="F-PACK"/>
        <s v="F.T.G. COPIADORA LTDA ME"/>
        <s v="F4"/>
        <s v="FABIFER KIDS"/>
        <s v="FABIO TURISMO"/>
        <s v="FABRICA DOS SONHOS"/>
        <s v="FACE JOVEM"/>
        <s v="FACIL TEXTIL"/>
        <s v="FADEL"/>
        <s v="FAGEBE"/>
        <s v="FAISCA E ESPOLETA"/>
        <s v="FAKINI"/>
        <s v="FALKS"/>
        <s v="FAMA FASHION"/>
        <s v="FAP INDUSTRIA E COMERCIO"/>
        <s v="FAPECA"/>
        <s v="FARAELI"/>
        <s v="FASHION ART"/>
        <s v="FASHION BAR"/>
        <s v="FASHION BOYS"/>
        <s v="FASHION KIDS PRODUÇÕES"/>
        <s v="FASOLO"/>
        <s v="FAST TECH MANUT DE SISTEM"/>
        <s v="FATAL"/>
        <s v="FATAL SURF"/>
        <s v="FATO LION"/>
        <s v="FAVORITA"/>
        <s v="FAVORITO"/>
        <s v="FAZENDO FOLIA"/>
        <s v="FC BRASIL CONSULTORIA"/>
        <s v="FCO SOLANO"/>
        <s v="FEDERAL WAY"/>
        <s v="FEITO A MÃO"/>
        <s v="FEMINIZE LINGERIE"/>
        <s v="FEMME &amp; NINA MODAS"/>
        <s v="FENON"/>
        <s v="FERCOI S/A DIVISAO"/>
        <s v="FERMI FERRAMENTAS E MAQ"/>
        <s v="FERNANDA MALHAS"/>
        <s v="FERNANDA PEVIANI ME"/>
        <s v="FERNANDES E MARTINS CATAN"/>
        <s v="FERRAMENTAS GERAIS"/>
        <s v="FERREIRA PEREZ"/>
        <s v="FERUZE"/>
        <s v="FESA C R HUMANOS LTDA"/>
        <s v="FESA CONSUL. EM RECUR"/>
        <s v="FG TRICOT"/>
        <s v="FHORTEX"/>
        <s v="FIFI KIDS AGENCIA DE MOD"/>
        <s v="FIGURA &amp; AÇÃO"/>
        <s v="FIM DE SEMANA FILMES LTDA"/>
        <s v="FINA ESTAMPA LINGERIE"/>
        <s v="FINE"/>
        <s v="FIO &amp; ARTE"/>
        <s v="FIO DE OURO"/>
        <s v="FIORI EXPRESS"/>
        <s v="FISCHER/IBERPUNTO"/>
        <s v="FISCO SOFT"/>
        <s v="FISHERS"/>
        <s v="FISURA SURF"/>
        <s v="FIT COMERCIAL"/>
        <s v="FITASUL COMERCIO"/>
        <s v="FITWELL"/>
        <s v="FIVE JEANS"/>
        <s v="FIVE MODELS AGENCIA"/>
        <s v="FIXSOUL"/>
        <s v="FIZZIARTE"/>
        <s v="FJL"/>
        <s v="FLAVIO NARCHI R DESIGN"/>
        <s v="FLEUR LINGERIE"/>
        <s v="FLEXTEC PECAS E EQUIP."/>
        <s v="FLOREMA"/>
        <s v="FLY ONE"/>
        <s v="FLYCA GIRLS"/>
        <s v="FML TRANSPORTES LTDA - ME"/>
        <s v="FOCCUS"/>
        <s v="FOCUS SEGURANCA"/>
        <s v="FOFINHO"/>
        <s v="FOLLY"/>
        <s v="FONTE DAS AGUAS"/>
        <s v="FOR GIRL"/>
        <s v="FORANTO"/>
        <s v="FORCA DO MAR"/>
        <s v="FORD MODELS"/>
        <s v="FORE"/>
        <s v="FORMATO ARQUITETURA LTDA"/>
        <s v="FORMEN"/>
        <s v="FORMITZ"/>
        <s v="FORT FASHION"/>
        <s v="FORT INDUSTRIA E COMERCIO"/>
        <s v="FORTALEZA ARGAMASSAS"/>
        <s v="FORTCARPET"/>
        <s v="FOTOSFERA"/>
        <s v="FRAGATA"/>
        <s v="FRANCIELE DOS SANTOS"/>
        <s v="FRANCISCO BATISTA PRETO"/>
        <s v="FREDERICO ANACLETO"/>
        <s v="FREE COMBAT"/>
        <s v="FREE STYLE"/>
        <s v="FRICAN"/>
        <s v="FRICOTE MALHAS"/>
        <s v="FRITOMAQ EQUIPAMENTOS"/>
        <s v="FRONTEC INDUSTRIA"/>
        <s v="FRR"/>
        <s v="FS DE OLIVEIRA EMBALAGENS"/>
        <s v="FUERZA FILMS SERVICOS"/>
        <s v="FUNDACAO GETULIO VARGAS"/>
        <s v="FUNDACAO INSTITUTO ADM 2"/>
        <s v="FUSÃO IMPRESSÃO DIGITAL"/>
        <s v="FUXICO"/>
        <s v="G LUCCA"/>
        <s v="G&amp;F BRASIL"/>
        <s v="G.M.P GRAFICA"/>
        <s v="G3"/>
        <s v="G5"/>
        <s v="GABRIELA LINGERIE"/>
        <s v="GAGA BABY"/>
        <s v="GALA"/>
        <s v="GALA EMBALAGENS"/>
        <s v="GALERA DO SURF"/>
        <s v="GALERA DO SURF 1"/>
        <s v="GALERA DO SURF 2"/>
        <s v="GANGAS"/>
        <s v="GANGAS 2"/>
        <s v="GANGSTER"/>
        <s v="GANGSTER 1"/>
        <s v="GANGSTER UNIAO PL"/>
        <s v="GAPP´S"/>
        <s v="GAPP´S 2"/>
        <s v="GAROTA LUA"/>
        <s v="GASPRINT"/>
        <s v="GATEWAY SECURITY LTDA"/>
        <s v="GAVITTI E OLIVEIRA"/>
        <s v="GBC GUTIERREZ CONSULTORIA"/>
        <s v="GCI"/>
        <s v="GEHAKA"/>
        <s v="GEIZA MALHAS"/>
        <s v="GEOFUSION SISTEMAS"/>
        <s v="GEOGUS"/>
        <s v="GEOKLOCK CONSULTORIA"/>
        <s v="GEOMETRIC"/>
        <s v="GERALDO MARQUES DE MELO"/>
        <s v="GERAVOLT GERADORES"/>
        <s v="GET ONE IMPORTACAO"/>
        <s v="GFTK ENGENHARIA LTDA"/>
        <s v="GGTECH SISTEMAS"/>
        <s v="GH3"/>
        <s v="GIBSON SOLUCOES"/>
        <s v="GIL ENNES DO VALLE FILHO"/>
        <s v="GILA´S MODAS"/>
        <s v="GILBERTO TAVARES POUSADA"/>
        <s v="GILMAC"/>
        <s v="GIMAWA COML LTDA"/>
        <s v="GIMBA MATERIAIS P/ESCRIT"/>
        <s v="GIRAFFE"/>
        <s v="GIRAPLAST"/>
        <s v="GIULIANO SCATENA"/>
        <s v="GK"/>
        <s v="GL ELETRO"/>
        <s v="GLOBAL MCB SOLUCOES"/>
        <s v="GLOBALSITE NETWORKING"/>
        <s v="GLOG IMPORTAÇÃO E EXP LT"/>
        <s v="GODIGITAL"/>
        <s v="GOLDEN CAR"/>
        <s v="GOLDTEX"/>
        <s v="GOLVEIA DE SOUZA &amp; MD"/>
        <s v="GPS"/>
        <s v="GRAF"/>
        <s v="GRAFFITI PALACE HOTEL"/>
        <s v="GRAFICA E EDITORA REVELAÇ"/>
        <s v="GRAFICA ESCORPIAO"/>
        <s v="GRAFICA FINAL COM E EDIT"/>
        <s v="GRAMATURA"/>
        <s v="GRAMATURA COMERCIAL TEXTI"/>
        <s v="GRAN COFEE COM DE MAQ"/>
        <s v="GRANADA JEANS"/>
        <s v="GRIFFE"/>
        <s v="GUADAGNINI"/>
        <s v="GUARULHOS DOWNTOWN HOTEL"/>
        <s v="GUERRIER"/>
        <s v="GUI CONF."/>
        <s v="GUIDIN &amp; SILVA RESTAURANT"/>
        <s v="GUILHERME CONFECCOES"/>
        <s v="GUINDANI"/>
        <s v="GUITTA RIO"/>
        <s v="H MILANO"/>
        <s v="H-STEEL"/>
        <s v="HAR´TEXTIL"/>
        <s v="HARDY LINGERIE"/>
        <s v="HAT YAI"/>
        <s v="HAVANA"/>
        <s v="HAY DO BRASIL"/>
        <s v="HB TEXTIL"/>
        <s v="HD 110"/>
        <s v="HDR"/>
        <s v="HEBRU"/>
        <s v="HEGUR"/>
        <s v="HEIL"/>
        <s v="HELIO FAGUNDES"/>
        <s v="HELOMA"/>
        <s v="HEMAL"/>
        <s v="HERJA"/>
        <s v="HERMES"/>
        <s v="HERNANE ELETRICA"/>
        <s v="HI POP"/>
        <s v="HIDROTUDO MATERIAIS"/>
        <s v="HIME"/>
        <s v="HIPER FASHION"/>
        <s v="HIPER FASHION IMPORT"/>
        <s v="HISTERIA"/>
        <s v="HIT TELECOMUNICACOES LTDA"/>
        <s v="HITTY"/>
        <s v="HLERINHA"/>
        <s v="HM"/>
        <s v="HMY DO BRASIL"/>
        <s v="HOLYDAY"/>
        <s v="HONDA DO BRASIL"/>
        <s v="HOT PEPPERS"/>
        <s v="HOT POINT"/>
        <s v="HOT WORD"/>
        <s v="HOTEL  SANTA RITA"/>
        <s v="HOTEL GUARUMAR LTDA"/>
        <s v="HOTEL HETROPOLIS LTDA"/>
        <s v="HOTEL ORQUIDEA EXPRESS IN"/>
        <s v="HOTEL RANCHO SILVESTRE LT"/>
        <s v="HOTEL ROJAS LTDA"/>
        <s v="HOTEL SAO RAFAEL"/>
        <s v="HOTEL ZANON LTDA"/>
        <s v="HR ZUASNABAR"/>
        <s v="HROSA SERV GRAFICOS LTDA"/>
        <s v="HS VIDEO"/>
        <s v="HSM DO BRASIL S/A"/>
        <s v="HULLY CAR CENTRO AUTOM"/>
        <s v="HUUP LOOK"/>
        <s v="HYLKINHA MODA JEANS LTDA"/>
        <s v="I2I EVENTOS LTDA"/>
        <s v="IBEMA"/>
        <s v="IBERICAS PRAIA HOTEL"/>
        <s v="IBIRO"/>
        <s v="IBOPE INTELIGENCIA PESQ"/>
        <s v="IBRITEX"/>
        <s v="ICONE"/>
        <s v="ICOURO"/>
        <s v="IDEAL CLIMA AR COND."/>
        <s v="IDT LATIN AMERICA LTDA"/>
        <s v="IEMI PROCES. DE DADOS"/>
        <s v="IGNAZIO LOMBARDO SANTOS"/>
        <s v="IKINHA IND.TEXTIL"/>
        <s v="ILHA BRASIL"/>
        <s v="ILUMNA CONSULTORIA"/>
        <s v="ILUSTRADA LTDA - ME"/>
        <s v="IMAGE MODEL MANAGEMENT LT"/>
        <s v="IMAGE PRESS IMPRESSOES"/>
        <s v="IMAGEM KIDS"/>
        <s v="IMAGENS DIGITAIS LTDA"/>
        <s v="IMBRAFORTE IND BRAS"/>
        <s v="IMPERIO"/>
        <s v="IMPERIUM MALHAS"/>
        <s v="IMPORTS BABY"/>
        <s v="IN LOVE CONFECÇÕES"/>
        <s v="INA E INO"/>
        <s v="INA E INO 2"/>
        <s v="INBRAFIB IND. E COMERCIO"/>
        <s v="IND COM CONFEC SOBREMONTE"/>
        <s v="INDA FIRE EQUIPAMENTOS"/>
        <s v="INDELEVEL"/>
        <s v="INDEPENDENCE"/>
        <s v="INDIA FACTORY"/>
        <s v="INDICO S/A"/>
        <s v="INDIGO"/>
        <s v="INDIGO CONSULTORIA"/>
        <s v="INDUMENTARIA TRICOT LTDA"/>
        <s v="INDUSTRIA DA FAMA"/>
        <s v="INEDILA"/>
        <s v="INEX TECN ORGAN LTDA"/>
        <s v="INFANTUS"/>
        <s v="INFORSHOP 2"/>
        <s v="INFORSHOP SUPRIMENTOS LTD"/>
        <s v="INFOSOL"/>
        <s v="INGERSOLL RAND - CURITIBA"/>
        <s v="INGERSOLL RAND IND E COM"/>
        <s v="INGRAM - ES"/>
        <s v="INGRAN MICRO BRASIL"/>
        <s v="INOVE GRAFICA DIGITAL"/>
        <s v="INPRIMA SOLUCOES"/>
        <s v="INTEGRACAO CONSULTORES"/>
        <s v="INTEGRAL ALIMENTAÇÃO"/>
        <s v="INTELIGENTE"/>
        <s v="INTELISENSE RADIOCOMUNICA"/>
        <s v="INTER - SÃO B. DO CAMPO"/>
        <s v="INTERACAO"/>
        <s v="INTERACAO 2"/>
        <s v="INTERFILL GRAFICA"/>
        <s v="INTERMADICA- MAUA"/>
        <s v="INTERMEDICA - BARUERI"/>
        <s v="INTERMEDICA - CARAPICUIBA"/>
        <s v="INTERMEDICA - COTIA"/>
        <s v="INTERMEDICA - DIADEMA"/>
        <s v="INTERMEDICA - ITAPEVI"/>
        <s v="INTERMEDICA - JUNDIAI"/>
        <s v="INTERMEDICA PC DOM JOSE"/>
        <s v="INTERMEDICA S/A"/>
        <s v="INTERMEDICA-CARAPICUIBA"/>
        <s v="INTERNACIONAL"/>
        <s v="INTERODONTO SIST DE SAUDE"/>
        <s v="INTERSHOPPING LOGISTICA"/>
        <s v="INTERSYSTEMS DO BRASIL"/>
        <s v="INTERTEXTIL"/>
        <s v="INTIMA DIFF"/>
        <s v="INTRACO"/>
        <s v="INVERSAO"/>
        <s v="IOB INF OBJETIVAS PULIC"/>
        <s v="IOB INFORMAÇÕES"/>
        <s v="IPC MARKETING EDITORA"/>
        <s v="IRON MOUNTAIN DO BRASIL"/>
        <s v="ISA MORENA"/>
        <s v="ISA TEEN"/>
        <s v="ISABELA"/>
        <s v="ISABELA GARCIA"/>
        <s v="ISMY"/>
        <s v="ISSA"/>
        <s v="ISSAN SIDOM"/>
        <s v="IT2B"/>
        <s v="ITAJAI"/>
        <s v="ITALIAN COFFEE"/>
        <s v="ITALIAN COFFEE  COM  SERV"/>
        <s v="ITTONI ART"/>
        <s v="IVONE DE ASSIS ME"/>
        <s v="IWHA"/>
        <s v="J &amp; P CONFECCOES"/>
        <s v="J A DE RESENDE"/>
        <s v="J AKKA"/>
        <s v="J B KIDS"/>
        <s v="J C F ENGENHARIA"/>
        <s v="J INOX EQUIP P/COZINHA"/>
        <s v="J JULIO TOPOGRAFIA LTDA"/>
        <s v="J.F. ACRILICOS COMERCIAL"/>
        <s v="J.G. MARTINS CONSTRUÇÕES"/>
        <s v="J.K.M. CONFECCOES"/>
        <s v="J.L. CINE VIDEO"/>
        <s v="J.N KIDS"/>
        <s v="J.SHAYEB &amp; CIA LTDA"/>
        <s v="J.SHAYEB &amp; CIA LTDA 2"/>
        <s v="JACKELINE (SOL E AGUA)"/>
        <s v="JACKS FASHION"/>
        <s v="JAGUARE LAVANDERIA"/>
        <s v="JAKX CONFECCOES TEXTEIS"/>
        <s v="JANA JOUR"/>
        <s v="JAQUELINE MALHAS"/>
        <s v="JARDIM HOTEL LTDA EPP"/>
        <s v="JAVA COMERCIO IMPORTACAO"/>
        <s v="JBA"/>
        <s v="JBS"/>
        <s v="JD CONFECCOES"/>
        <s v="JD CONFECCOES 2"/>
        <s v="JD CONFECCOES ME"/>
        <s v="JEES"/>
        <s v="JEFFERSON MARCOS NALIN"/>
        <s v="JENELY MANIA"/>
        <s v="JEREMIAS VIEIRA NETO ME"/>
        <s v="JEZZIAN"/>
        <s v="JEZZIAN 2"/>
        <s v="JFILATTE SERVICOS ADM."/>
        <s v="JHD CONFECCOES LTDA"/>
        <s v="JIGGY MEIAS"/>
        <s v="JMK"/>
        <s v="JMS - SONHO VIVO"/>
        <s v="JO ESTILO MODAS LTDA"/>
        <s v="JOAO PAULINO"/>
        <s v="JOAO PESTANA FERREIRA"/>
        <s v="JOEL LIMA COSTA - EPP"/>
        <s v="JOFRAN"/>
        <s v="JOG"/>
        <s v="JOGRAL"/>
        <s v="JOLEVER"/>
        <s v="JOLI TEXTIL"/>
        <s v="JOLITEX-COBERTOR/COLCHA"/>
        <s v="JOSE ANDRE CONFECCÕES"/>
        <s v="JOSE ANTONIO ALBERTO"/>
        <s v="JOSE AUGUSTO GIOVANINI"/>
        <s v="JOSE FERRIRA DA SILVA"/>
        <s v="JOSE LUIS ALVES ELETRO."/>
        <s v="JOSE LUIS PEDROSO BAENA"/>
        <s v="JOVITEX"/>
        <s v="JOY TUBOS"/>
        <s v="JOYFER"/>
        <s v="JP ESCADAS LTDA"/>
        <s v="JP MODA FASHION"/>
        <s v="JR  ARTIGOS PARA LOJISTAS"/>
        <s v="JR CONFECCOES"/>
        <s v="JSRLO CONSULTORIA"/>
        <s v="JUBARTE"/>
        <s v="JUCELIO GOMES"/>
        <s v="JULE IND.(TOQUE DE COR)"/>
        <s v="JUMA"/>
        <s v="JUNIOR M. INT. VILANI"/>
        <s v="JUNIOR M. INTIMA(MATEUS)"/>
        <s v="JUNIOR MD.INT.(M. VILACI)"/>
        <s v="JUNIOR MODA INTIMA"/>
        <s v="JUSMAX"/>
        <s v="JUVENTUDE"/>
        <s v="JWS INST E MONTAGENS"/>
        <s v="K &amp; S"/>
        <s v="K&amp;M COM DE LACRES DE SEG"/>
        <s v="K-DU"/>
        <s v="K.L.A COMERCIO"/>
        <s v="KABUM S.A."/>
        <s v="KADU SIST CONTRA INCENDIO"/>
        <s v="KAFE HOTEL LTDA"/>
        <s v="KAFV PROJETOS E SERV"/>
        <s v="KAILANI (DOCE ESTILO)"/>
        <s v="KAJE"/>
        <s v="KAKA FASHION"/>
        <s v="KALAPY"/>
        <s v="KALUNGA COM IND GRAFICA"/>
        <s v="KALUNGA COM. E IND. GRAFI"/>
        <s v="KAMBRI"/>
        <s v="KAMPEN"/>
        <s v="KAMYLUS"/>
        <s v="KANAPE"/>
        <s v="KANGA JUNGEE"/>
        <s v="KANTO DOS SONHOS"/>
        <s v="KARASUJA"/>
        <s v="KARASUJA 2"/>
        <s v="KARIN SAMANTHA GIORGETTA"/>
        <s v="KARINA MALHAS"/>
        <s v="KARISMAR"/>
        <s v="KAROBINHA"/>
        <s v="KAROL L MALHAS"/>
        <s v="KARSTEN"/>
        <s v="KASHIMA BRAZILIAN"/>
        <s v="KASTON CONFECCOES"/>
        <s v="KAZZO"/>
        <s v="KBO"/>
        <s v="KC SHOP"/>
        <s v="KDT"/>
        <s v="KEEP"/>
        <s v="KEFEL"/>
        <s v="KELAR DIST. E REPR. LTDA"/>
        <s v="KEM SUPRIMENTOS"/>
        <s v="KENTUCHE"/>
        <s v="KENY"/>
        <s v="KERPYZ"/>
        <s v="KERR ENGENHARIA E FUNDACA"/>
        <s v="KEVLAND"/>
        <s v="KEYD"/>
        <s v="KHAGE"/>
        <s v="KHAGE 2"/>
        <s v="KIKA LINGERIE"/>
        <s v="KIKERS"/>
        <s v="KIKI XODO"/>
        <s v="KIKO"/>
        <s v="KILT"/>
        <s v="KIMALUKOO"/>
        <s v="KINWAY"/>
        <s v="KINWAY MODA PRAIA"/>
        <s v="KM 10"/>
        <s v="KOALA"/>
        <s v="KOHMAR"/>
        <s v="KOKIRI"/>
        <s v="KOLLY"/>
        <s v="KOMPORT"/>
        <s v="KOSIUKO"/>
        <s v="KOSIUKO 2"/>
        <s v="KS MIL"/>
        <s v="KTF //FELIPE BITENCOURT D"/>
        <s v="KYLY"/>
        <s v="KYOTO"/>
        <s v="KZARA CONFECCOES"/>
        <s v="L E C CHRIS"/>
        <s v="L EQUIPE AGENCE"/>
        <s v="L M DE CARVALHO TRANSP"/>
        <s v="L.L COM. DE FERRAMENTAS"/>
        <s v="L2L IMP E EXP"/>
        <s v="LA BELLEZZA"/>
        <s v="LA ONDA"/>
        <s v="LACERDA &amp; LACERDA"/>
        <s v="LACHER IND. E COM. LTDA"/>
        <s v="LADY IN ORANGE"/>
        <s v="LAIBEL CONFECOES EIRELI"/>
        <s v="LALA"/>
        <s v="LALYK JEANS"/>
        <s v="LAMARCA 3 VEICULOAÇÃO"/>
        <s v="LAMOUR"/>
        <s v="LANCHER"/>
        <s v="LANG"/>
        <s v="LANGERRIL"/>
        <s v="LANIO TECELAGEM"/>
        <s v="LANNA FIOLI"/>
        <s v="LAOS 26"/>
        <s v="LAR PLASTICOS"/>
        <s v="LARISSA"/>
        <s v="LAROSY"/>
        <s v="LAS VEGAS"/>
        <s v="LATREILLE"/>
        <s v="LAURYANE"/>
        <s v="LAURYNE"/>
        <s v="LAW &amp; PS MULTIDADOS INF"/>
        <s v="LB KIDS"/>
        <s v="LB MODAS"/>
        <s v="LBS BRINDES DO BRASIL"/>
        <s v="LC DISTRIBUIDORA"/>
        <s v="LCR ENGENHARIA LTDA"/>
        <s v="LDN TEXTIL"/>
        <s v="LE FIX"/>
        <s v="LE SAC"/>
        <s v="LEANDREX COME. DE BRINDES"/>
        <s v="LECIMAR"/>
        <s v="LEDERTEX"/>
        <s v="LEDERTEX PLASTICOS."/>
        <s v="LEGAL SISTEMAS DE INFORM"/>
        <s v="LELO MALHAS"/>
        <s v="LELUI"/>
        <s v="LEMANG"/>
        <s v="LEMIER"/>
        <s v="LEONORA LUZIA MATTEI"/>
        <s v="LEPETIT"/>
        <s v="LEPOK"/>
        <s v="LEPOK - CDL"/>
        <s v="LEPPER"/>
        <s v="LESECASSI PROM DE EVENTOS"/>
        <s v="LESSENTIEL"/>
        <s v="LESTE SERVICOS"/>
        <s v="LETE"/>
        <s v="LEVION"/>
        <s v="LEXMAR (SH)"/>
        <s v="LEXMAR INDUSTRIA"/>
        <s v="LEXMAR INDUSTRIA 2"/>
        <s v="LEXMARK"/>
        <s v="LFL ENGENHARIA"/>
        <s v="LHD ELETRONICOS"/>
        <s v="LIANAN"/>
        <s v="LIBELL ELETRODOMESTICO"/>
        <s v="LIBELULA"/>
        <s v="LICENTEC CONSTRUCOES"/>
        <s v="LIEBE"/>
        <s v="LIFE LONG"/>
        <s v="LILY BILY"/>
        <s v="LIMA E CASTRO"/>
        <s v="LIMITE VIRTUAL"/>
        <s v="LIMPADORA CANADA"/>
        <s v="LINE"/>
        <s v="LINHA 13"/>
        <s v="LINK"/>
        <s v="LINX SISTEMAS"/>
        <s v="LIP NIK"/>
        <s v="LITOGRAFIA LIDERGRAF LTDA"/>
        <s v="LITTLE STAR"/>
        <s v="LIVCORP"/>
        <s v="LIVIA"/>
        <s v="LIVIA SALLES"/>
        <s v="LIVY MALHAS"/>
        <s v="LKM COMUNICACAO VISUAL"/>
        <s v="LOCAL SURF"/>
        <s v="LOCALIZA"/>
        <s v="LOCANDAIMES COMERCIO"/>
        <s v="LOCAWEB SERVIÇOS DE INT"/>
        <s v="LOG &amp; PRINT"/>
        <s v="LOG &amp; PRINT DADOS"/>
        <s v="LOG FASHION -ARMAZENAGEM"/>
        <s v="LOGAN"/>
        <s v="LOGITÉCNICA COM E SERVIÇO"/>
        <s v="LOHANNY MALHAS"/>
        <s v="LOJAS EMOFER"/>
        <s v="LOJATECNICA DE NOBREAK"/>
        <s v="LOLYPOP"/>
        <s v="LOLYPOP 2"/>
        <s v="LONG BEACH"/>
        <s v="LONG WALK"/>
        <s v="LOOK COMERCIAL TEXTIL"/>
        <s v="LOOK MIX"/>
        <s v="LOOK NOW"/>
        <s v="LOOP POP"/>
        <s v="LOPOK"/>
        <s v="LORD IND E COM DE EMBALAG"/>
        <s v="LORDPLASTICS EMBALAGENS"/>
        <s v="LOTUS GRAFICA"/>
        <s v="LOURRAN"/>
        <s v="LOVE FASHION"/>
        <s v="LOVELY BABY"/>
        <s v="LPM (NOVO HOR. MALHAS)"/>
        <s v="LUA LUA (INFA BORD)"/>
        <s v="LUA LUA 2"/>
        <s v="LUA PRODUCOES SONORAS"/>
        <s v="LUANA MALHAS"/>
        <s v="LUCASKOK"/>
        <s v="LUCIANA REGINA DE AGUIAR"/>
        <s v="LUCIELLA"/>
        <s v="LUCITEX"/>
        <s v="LUCK"/>
        <s v="LUIZ CARLOS CUNHA"/>
        <s v="LUIZ CAVALINI"/>
        <s v="LUIZ HENRIQUE LOPES"/>
        <s v="LUKY &amp; BUKY"/>
        <s v="LULI"/>
        <s v="LUMATEX"/>
        <s v="LUMEN SERVICOS GRAFICOS"/>
        <s v="LUMIERE AGENCIA DE MODELO"/>
        <s v="LUNENDER"/>
        <s v="LUNERA"/>
        <s v="LUPO"/>
        <s v="LUTESTIL"/>
        <s v="LUXCEL"/>
        <s v="LUZ AQUI"/>
        <s v="LX TEXTIL"/>
        <s v="LYGER"/>
        <s v="LYOS"/>
        <s v="LYRA NETWORK TELECOM"/>
        <s v="M CAFF CONFECÇÕES"/>
        <s v="M CALANDRIN"/>
        <s v="M J CLIMATIZACAO"/>
        <s v="M L CONFECCOES"/>
        <s v="M S PRISMA TRIBUTOS"/>
        <s v="M.C. FONSECA ANDRADE"/>
        <s v="M.F.Q. GUIMARAES IMP"/>
        <s v="M.G.S."/>
        <s v="M.J DE PAULA FILHO"/>
        <s v="M.P.T.COMERCIO DE ELETRO"/>
        <s v="M.V.L PROJETOS"/>
        <s v="M2A"/>
        <s v="MAAD"/>
        <s v="MAB-21"/>
        <s v="MABUIA"/>
        <s v="MAC ROSE"/>
        <s v="MACAW"/>
        <s v="MADI DESCARTAVEIS"/>
        <s v="MADRECITTA"/>
        <s v="MAFITA SONAR"/>
        <s v="MAG CONFECCOES"/>
        <s v="MAGAZINE LUIZA"/>
        <s v="MAGAZINE LUIZA LOUVEIRA"/>
        <s v="MAGAZINE LUIZA S/A"/>
        <s v="MAGAZINE LUIZA SA"/>
        <s v="MAGAZINELUIZA MATEO BEI"/>
        <s v="MAGIC"/>
        <s v="MAGIC COLLOR"/>
        <s v="MAGISTRAL"/>
        <s v="MAGNUM INDUSTRIAL"/>
        <s v="MAIA &amp; MAIA"/>
        <s v="MAK LEN"/>
        <s v="MAKAY"/>
        <s v="MALHARIA CRISTINA"/>
        <s v="MALHARIA JK"/>
        <s v="MALHARIA LOURDINHA"/>
        <s v="MALHARIA MAGNIN LTDA - ME"/>
        <s v="MALHARIA PIO XII"/>
        <s v="MALHARIA SANTA RITA"/>
        <s v="MALHARIA STA RITA (2)"/>
        <s v="MALHAS CARAVELA"/>
        <s v="MALHAS CASUAL &amp; CHIK LTDA"/>
        <s v="MALHAS ELOISA"/>
        <s v="MALHAS ELZA"/>
        <s v="MALHAS INGRID"/>
        <s v="MALHAS KASSIA"/>
        <s v="MALHAS MACIEL"/>
        <s v="MALHAS MAGIOLI"/>
        <s v="MALHAS SALEN"/>
        <s v="MALHAS SUL"/>
        <s v="MALHAS TRICOT FASHION"/>
        <s v="MALI"/>
        <s v="MALU MACEDO"/>
        <s v="MALUPI"/>
        <s v="MALWEE MALHAS"/>
        <s v="MANGA LARGA"/>
        <s v="MANIA DE SEDUÇÃO"/>
        <s v="MANTTO"/>
        <s v="MANULI FITAS DO BRASIL"/>
        <s v="MANUTENCOES OLIVEIRA"/>
        <s v="MAO SANTA COM E PROD"/>
        <s v="MAPA DAS ESTRELAS"/>
        <s v="MAR QUENTE(GANGSTER)"/>
        <s v="MAR-FHIL MODA PRAIA"/>
        <s v="MARCEL BR"/>
        <s v="MARCELO NUNES"/>
        <s v="MARCIA ME"/>
        <s v="MARCILIO BANCHER"/>
        <s v="MARCO JOSE DE CARVALHO"/>
        <s v="MARCOS BRUNO"/>
        <s v="MARCOS DE ANDRADE MENDES"/>
        <s v="MARCOS ROLANDO CABRERA"/>
        <s v="MARE DELUI"/>
        <s v="MARFRAN"/>
        <s v="MARIA APARECIDA FAVARO"/>
        <s v="MARIA BEATRIZ"/>
        <s v="MARIA DE LEUZA SILVA ME"/>
        <s v="MARIA GERMANA MARTINS"/>
        <s v="MARIA HELENA MACHADO"/>
        <s v="MARIA LUCIA GUIMARAES"/>
        <s v="MARIA MARIA"/>
        <s v="MARIA MULHER"/>
        <s v="MARIANA KATO SILVA TELLES"/>
        <s v="MARIANA MENDONCA COBRA"/>
        <s v="MARIELLA UNDERWEAR"/>
        <s v="MARINA MORENA"/>
        <s v="MARINEIDE CORDEIRO SANTOS"/>
        <s v="MARISTUR"/>
        <s v="MARIZA M DOS SANTOS ME"/>
        <s v="MARKK"/>
        <s v="MARLAN"/>
        <s v="MARMOEX COMERCIO"/>
        <s v="MARO MODAS"/>
        <s v="MARTE MODAS"/>
        <s v="MARTEX CONFECCOES"/>
        <s v="MARTIN OFFICE"/>
        <s v="MARYSLENE"/>
        <s v="MASH"/>
        <s v="MASTER BUFALO"/>
        <s v="MASTER COMERCIAL"/>
        <s v="MASTER EXPRESS ENTREGA"/>
        <s v="MASTER GRANDE CONF DE MAL"/>
        <s v="MASTER MODAS"/>
        <s v="MATRIX"/>
        <s v="MATRIZ"/>
        <s v="MATRIZ BRESSER"/>
        <s v="MATSUMOTO PAPELARIA E ART"/>
        <s v="MATTEUS"/>
        <s v="MATTHEW DENNIS BURNS"/>
        <s v="MATTOS FILHO"/>
        <s v="MAURO MAGALHAES MED INF"/>
        <s v="MAUSER SECURITY &amp; LABELS"/>
        <s v="MAX GRANDE LESTE SOLUÇÕES"/>
        <s v="MAXPRAG CONTROLE DE PRAGA"/>
        <s v="MAXXI MALOTES"/>
        <s v="MAYENNE"/>
        <s v="MAZZUCHI"/>
        <s v="MBX PRODUCOES E COMERCIO"/>
        <s v="MC CAMISARIA"/>
        <s v="MC CAMISARIA 2"/>
        <s v="MC COM DE AGUA MINERAL LT"/>
        <s v="MC JO"/>
        <s v="MC MALHAS"/>
        <s v="MC2"/>
        <s v="MD CARIMBOS"/>
        <s v="MD CARIMBOS COMERCIO"/>
        <s v="MEGA IDEIA"/>
        <s v="MEGA MEGA"/>
        <s v="MEGA REEF"/>
        <s v="MEGA SUPORTE"/>
        <s v="MEKOR"/>
        <s v="MEKTREFE"/>
        <s v="MELO &amp; JR"/>
        <s v="MELTEX"/>
        <s v="MELTEX 2"/>
        <s v="MENINA BONITA"/>
        <s v="MENINA CHARMOSA"/>
        <s v="MENINA DE OURO"/>
        <s v="MENINA LINDA"/>
        <s v="MENINA SAPEKA"/>
        <s v="MENPHIS"/>
        <s v="MENTA &amp; MELLOW COMERCIAL"/>
        <s v="MENTA E MELLOW ( KAINOA )"/>
        <s v="MERCADO 13"/>
        <s v="MERCES MALHAS"/>
        <s v="MERCI"/>
        <s v="METAL GRAFICA MOGI LTDA"/>
        <s v="METROPOLITAN TRANSPORTES"/>
        <s v="MFD COM DE EQUIPAMENTOS"/>
        <s v="MG&amp;A CONSULTORES DE SOLO"/>
        <s v="MGM ARQUITETURA"/>
        <s v="MGM COMUNICAÇÃO VISUAL"/>
        <s v="MH CONFECCOES"/>
        <s v="MICHELLE ROSEMARA B SILVA"/>
        <s v="MICROSTRATEGY BRASIL LTDA"/>
        <s v="MICROTON INFORMATICA"/>
        <s v="MIDDYA"/>
        <s v="MIDIA JA"/>
        <s v="MIDIA JA PROM E EVENTOS"/>
        <s v="MILAGRES"/>
        <s v="MILAGRO COM IMP E EXP"/>
        <s v="MILAMUR"/>
        <s v="MILENIUM MODAS"/>
        <s v="MILITAO ARQUITETO"/>
        <s v="MILITAO JOSE MOTA NETO"/>
        <s v="MILLANIM"/>
        <s v="MIMIKAS"/>
        <s v="MIMOZINHA"/>
        <s v="MINI LUNNY"/>
        <s v="MIRALUX IND E COM DE AP"/>
        <s v="MISS BELLY"/>
        <s v="MISS CALLA"/>
        <s v="MISS FASHION"/>
        <s v="MISS LADY"/>
        <s v="MISS PANDORA"/>
        <s v="MISS PECK"/>
        <s v="MISSO"/>
        <s v="MISTER X (AYATEX)"/>
        <s v="MIX"/>
        <s v="MIX 2"/>
        <s v="MJN"/>
        <s v="MJN 2"/>
        <s v="MKGL IND E COM DE ARAME"/>
        <s v="MKR"/>
        <s v="MMB PROD DE EVENTOS"/>
        <s v="MMCAFE SERVICOS"/>
        <s v="MNFHASHION CONFECCOES"/>
        <s v="MNOVA"/>
        <s v="MODA ATUAL MALHAS"/>
        <s v="MODA E CIA"/>
        <s v="MODA LIBERADA"/>
        <s v="MODULAR"/>
        <s v="MOLEKADA INDUSTRIA E COM"/>
        <s v="MOMENTUS"/>
        <s v="MONDIALE PROD ARTISTICAS"/>
        <s v="MONDICAP CABIDES LTDA"/>
        <s v="MONICA DIAS"/>
        <s v="MONO"/>
        <s v="MONOGRAM CONFECÇÕES"/>
        <s v="MONOPOLIO"/>
        <s v="MONTE SINAI"/>
        <s v="MOON CITY"/>
        <s v="MORAES &amp; MORAES ESTACION"/>
        <s v="MORIO ABE"/>
        <s v="MOS PUCCIARELLI"/>
        <s v="MR KIDS"/>
        <s v="MR SONDAGENS E ESTACAS"/>
        <s v="MR TRANSPORTES DE DOC"/>
        <s v="MUC  S 2"/>
        <s v="MUC´S"/>
        <s v="MUG CONFECCOES"/>
        <s v="MULTI DADOS INFORMATICA"/>
        <s v="MULTI TECH"/>
        <s v="MULTIFORME"/>
        <s v="MULTILINEAS"/>
        <s v="MULTILIXO REMOCOES"/>
        <s v="MULTIMARCAS"/>
        <s v="MULTINET TECNOLOGIA"/>
        <s v="MUNDI TEXTIL LTDA"/>
        <s v="MUNDO INFANTIL"/>
        <s v="MUNIK CHOCOLATES"/>
        <s v="MURANO"/>
        <s v="MURIA"/>
        <s v="MX-72"/>
        <s v="MX2"/>
        <s v="MY BOLSAS"/>
        <s v="MYBYZ"/>
        <s v="MYSTIK"/>
        <s v="MYTHUS"/>
        <s v="MYX COMERCIAL"/>
        <s v="MZSOLUTION"/>
        <s v="N CHAVES PERITOS MEDICOS"/>
        <s v="N L ORMUNDO MOVEIS"/>
        <s v="N MALHAS"/>
        <s v="N P S FORTUNATO"/>
        <s v="NACOES EMBALAGENS"/>
        <s v="NAGAMAQ COM ELETRONICA"/>
        <s v="NAINA"/>
        <s v="NARDO PURO"/>
        <s v="NATHALIA MALHAS"/>
        <s v="NATIVO/BLUEWAVE"/>
        <s v="NATS BABY"/>
        <s v="NAXOS"/>
        <s v="NAXOS IND IMP E EXP"/>
        <s v="NELLONDA"/>
        <s v="NELSON CHERUBIN IMPRESSOS"/>
        <s v="NEOBAND SOLUÇÃOES GRAF"/>
        <s v="NEOGRID SOFTWARE S/A"/>
        <s v="NEOVIA TELECOMUNICACOES"/>
        <s v="NET SERVIÇOS"/>
        <s v="NET VIRTUA"/>
        <s v="NEUROTECH"/>
        <s v="NEUS TECNOLOGIA DA INF"/>
        <s v="NEUZA CAMPOS"/>
        <s v="NEW ACO"/>
        <s v="NEW CO LTDA"/>
        <s v="NEW FACE SANTOS LTDA"/>
        <s v="NEW LOOK MALHAS"/>
        <s v="NEW MAGIC"/>
        <s v="NEW MALU"/>
        <s v="NEW MAX"/>
        <s v="NEW VEST"/>
        <s v="NEW WAY"/>
        <s v="NEXT FASHION"/>
        <s v="NEXTEL TELECOMUNICACOES"/>
        <s v="NEXTEL TELECOMUNICAÇÕES"/>
        <s v="NEY FAR"/>
        <s v="NG2 CONFECCOES"/>
        <s v="NGR COMERCIO"/>
        <s v="NIC BR"/>
        <s v="NICE BRASIL"/>
        <s v="NICK FASHION"/>
        <s v="NILCATEX TEXTIL"/>
        <s v="NILTON VIEIRA"/>
        <s v="NINA MOCA"/>
        <s v="NINANDO"/>
        <s v="NO STOP"/>
        <s v="NOG COMERCIO DE BRINDES"/>
        <s v="NOROESTE CONSTRUCOES"/>
        <s v="NOSSO MUNDO"/>
        <s v="NOUK INDUSTRIA E COMERCIO"/>
        <s v="NOVA COMERCIO"/>
        <s v="NOVA GERACAO"/>
        <s v="NOVA PONTOCOM"/>
        <s v="NOVA RIO"/>
        <s v="NOVAPACK"/>
        <s v="NOVITTÁ"/>
        <s v="NOVO CORACAO BRASILEIRO"/>
        <s v="NOVO ESTILO CONF."/>
        <s v="NOVO HORIZONTE"/>
        <s v="NOW BUCK"/>
        <s v="NPR"/>
        <s v="NUCLEAR"/>
        <s v="NUCLEO INDUSTRIA TEXTIL"/>
        <s v="NURIA TRICOT"/>
        <s v="NYTRON"/>
        <s v="NZ CONFECCOES"/>
        <s v="O GATO COMEU CONFECCOES"/>
        <s v="OBJETIVA"/>
        <s v="OBJETO BRASIL"/>
        <s v="OBSESSÃO JEANS"/>
        <s v="OCA MODELS AGENCIA DE MOD"/>
        <s v="OCCY"/>
        <s v="OCEAN"/>
        <s v="OCEAN BROTHERS"/>
        <s v="OCEANICA"/>
        <s v="OCO"/>
        <s v="ODYMALHAS"/>
        <s v="OFFCER DISTRIB"/>
        <s v="OFFICER DISTRIBUIDORA"/>
        <s v="OFFICER DISTRIBUIDORA -ES"/>
        <s v="OFFICINA SOPHIA CON APL."/>
        <s v="OKAVANGOO"/>
        <s v="OLINDA FRANCISCA"/>
        <s v="OLIVEIRA CRIACOES"/>
        <s v="OLIVEIRA EUFRAZIO DE CARV"/>
        <s v="OLIVEIRA PRADO MARCAS"/>
        <s v="OLIVEIRA-COM R.IR.OLIVEIR"/>
        <s v="OMARTEX"/>
        <s v="OMBAK"/>
        <s v="OMEGA"/>
        <s v="ONCROSS"/>
        <s v="ONDULAPEL"/>
        <s v="ONIX TELEINFORMATICA"/>
        <s v="ONNES"/>
        <s v="OPÇÃO GRAFICA EDITORA LTD"/>
        <s v="OPEN COUNTRY"/>
        <s v="OPEN DAY (MH)"/>
        <s v="OPTIMIST"/>
        <s v="OPUS DESIGN LTDA"/>
        <s v="ORBITAL SIGNS"/>
        <s v="ORIENTHA ASSESSORIA"/>
        <s v="ORIGINAL ENGENHARIA E CON"/>
        <s v="ORTUNHO"/>
        <s v="ORV"/>
        <s v="OST SERVICES"/>
        <s v="OSTENSIVA ELETRONICA"/>
        <s v="OSVALDO - FIORI"/>
        <s v="OTK SISTEMAS DE INFOR"/>
        <s v="OVERLINE INFORMATICA LTDA"/>
        <s v="OVINI"/>
        <s v="OZNES"/>
        <s v="P. PEREIRA EXTINTORES"/>
        <s v="P.DAS S. GRACINDO"/>
        <s v="PABST ENGENHARIA"/>
        <s v="PACIFIC COMPANY"/>
        <s v="PACIFIC CROSS"/>
        <s v="PACKSEVEN IND E COM LTDA"/>
        <s v="PACKSEVEN INDÚSTRIA"/>
        <s v="PADARIA E CONF NOVO SABOR"/>
        <s v="PADARIA FLOR DE COIMBRA"/>
        <s v="PADRINHA KIDS"/>
        <s v="PAES SETE DE SETEMBRO"/>
        <s v="PAGIO"/>
        <s v="PAGIO(MAURILIO)"/>
        <s v="PAIOL"/>
        <s v="PALLAS"/>
        <s v="PALLAS DESIGN E ARTES"/>
        <s v="PALMAPLASTIC COMERCIO"/>
        <s v="PAMESA DO BRASIL S/A"/>
        <s v="PANATEC AUDIO DE VIDEO"/>
        <s v="PANDARECOS"/>
        <s v="PANDURATA ALIMENTOS LTDA"/>
        <s v="PANIFICADORA PINHEIRO"/>
        <s v="PAOLITA"/>
        <s v="PAPARREL"/>
        <s v="PAPELARIA SAO MIGUEL LTDA"/>
        <s v="PAPYTO"/>
        <s v="PARAFUSOS RUDGE RAMOS"/>
        <s v="PARI PASSO"/>
        <s v="PARIGI CONFECCOES"/>
        <s v="PASHIMINA"/>
        <s v="PASHIMINA 2"/>
        <s v="PASHMINA"/>
        <s v="PASSIONATA"/>
        <s v="PATY NEWS"/>
        <s v="PAULATEX"/>
        <s v="PAULO BOLA SONORIZAÇÕES"/>
        <s v="PAULO EDUARDO LACERDA"/>
        <s v="PAULO SERGIO PEREIRA TRAN"/>
        <s v="PAULOS MALHAS"/>
        <s v="PAUTA DISTR E LOGISTICA"/>
        <s v="PAUTA DISTRIBUIDORA"/>
        <s v="PAVA MOLDURAS"/>
        <s v="PAXA"/>
        <s v="PDA SOLUÇÕES EM INFORM"/>
        <s v="PEATON DO BRASIL COM"/>
        <s v="PECINI &amp; PECINI"/>
        <s v="PECINI INDUSTRIA"/>
        <s v="PEDABLIO"/>
        <s v="PEDRO LUIZ VILAS BOAS"/>
        <s v="PEIXOTO E CURY ADVOGADOS"/>
        <s v="PENNA E PENNA"/>
        <s v="PENPEN SERVICOS"/>
        <s v="PEPTIL EMBALAGENS LTDA"/>
        <s v="PEPTUCHY"/>
        <s v="PEQUENA BELA"/>
        <s v="PEQUENA ESTRELA"/>
        <s v="PEQUENA ESTRELA-FOR GIRL"/>
        <s v="PEQUENOS BRILHANTES"/>
        <s v="PERFECTION JEANS"/>
        <s v="PERFIL"/>
        <s v="PERFUME DE BONECA"/>
        <s v="PERFUME-BIA MACHADO"/>
        <s v="PERPOLO"/>
        <s v="PERSONAL FLEX COMUN"/>
        <s v="PERUSIN"/>
        <s v="PETIT"/>
        <s v="PETIT POA"/>
        <s v="PETY LULY"/>
        <s v="PIE BELLI"/>
        <s v="PIERRE PROD DE SERV CINEM"/>
        <s v="PIFFER INDUSTRIA COMERCIO"/>
        <s v="PIGMENTUM IND"/>
        <s v="PIMPOLHINHOS"/>
        <s v="PIVESSO"/>
        <s v="PIXULITO"/>
        <s v="PK7"/>
        <s v="PLAC COLOR"/>
        <s v="PLACO DO BRASIL LTDA"/>
        <s v="PLANET SOUL"/>
        <s v="PLANET VEST"/>
        <s v="PLANETA MALHAS"/>
        <s v="PLANORDICON CONSTRUCOES"/>
        <s v="PLANTAO INTIMUS"/>
        <s v="POA TEXTIL"/>
        <s v="POCA ROPA"/>
        <s v="POKOTINHA"/>
        <s v="POLIFORM INDUSTRIA"/>
        <s v="POLO AVIAMENTOS"/>
        <s v="POLO-WAY"/>
        <s v="POLTEX"/>
        <s v="POLY MANIA"/>
        <s v="POMERPLAST IND E COM DE P"/>
        <s v="POMME KIDS"/>
        <s v="PONTICELLI"/>
        <s v="PONTO DA CAMISA"/>
        <s v="PONTO FORTE"/>
        <s v="PONTO TRICOT"/>
        <s v="PONTUAL MATS P ESCRITORIO"/>
        <s v="POR DO SOL"/>
        <s v="PORTAL DAS BOMDAS HIDRAU"/>
        <s v="PORTO MADEIRA"/>
        <s v="POSTO ALVORADA"/>
        <s v="PRANCHA"/>
        <s v="PRESAGE"/>
        <s v="PRESAGE(A RHA)"/>
        <s v="PRESOLLO"/>
        <s v="PREST BATER COM  BATERIAS"/>
        <s v="PRESTON"/>
        <s v="PRIMA SERV DE CONS LTDA"/>
        <s v="PRIMI FIORI"/>
        <s v="PRIMUS ARAUJO EMPORIO"/>
        <s v="PRINTSYS COML E SERV LTDA"/>
        <s v="PRISMA"/>
        <s v="PRO ATIVO"/>
        <s v="PRO COMUNICACAO"/>
        <s v="PRO SELVI PROJETOS"/>
        <s v="PRO SOLUTION DIGITAL"/>
        <s v="PRO WAVE"/>
        <s v="PRO-SSESSO"/>
        <s v="PROBYTE AUTOMAÇÃO"/>
        <s v="PRODEP PREPARAÇÃO E DESEN"/>
        <s v="PRODIAMOND SERV DE AGENC"/>
        <s v="PROENG"/>
        <s v="PROEX SEGURANCA E VIG"/>
        <s v="PROFYLE TECHINOLOGY"/>
        <s v="PROJETO 1 DECORACOES"/>
        <s v="PROJETO A ADESIVOS"/>
        <s v="PROMARKT TRANSPORTE"/>
        <s v="PROSOFT TECNOLOGIA LTDA"/>
        <s v="PROSPERAR MANUT DE EQUIP"/>
        <s v="PROTEGE S/A"/>
        <s v="PROTEGE S/A SANTOS"/>
        <s v="PROTEGE S/A VARZEA DE BAI"/>
        <s v="PSA"/>
        <s v="PSIQUE"/>
        <s v="PUIG ARQUI E DESING"/>
        <s v="PUK PUK"/>
        <s v="PUKET"/>
        <s v="PUKET 2"/>
        <s v="PULSE TEXTIL"/>
        <s v="QCK BOYS"/>
        <s v="QUALICORP"/>
        <s v="QUALITY EXPRESS"/>
        <s v="QUEBRA CABECA"/>
        <s v="QUEEN"/>
        <s v="QUEENS"/>
        <s v="QUEENSLAND"/>
        <s v="QUESTAO DE ESTILO"/>
        <s v="QUESTAO DE ESTILO 2"/>
        <s v="QUICAS BRASIL"/>
        <s v="QUICK BEACH 2"/>
        <s v="QUILDER"/>
        <s v="QUORUM"/>
        <s v="R &amp; R MALHAS LTDA - ME"/>
        <s v="R A G DE OLIVEIRA"/>
        <s v="R N INSTALACOES"/>
        <s v="R&amp;I SOLUTIONS"/>
        <s v="R&amp;P BOYS"/>
        <s v="R-13"/>
        <s v="R. MACHADO"/>
        <s v="R.B. QUALITY COMERCIO"/>
        <s v="R.C CIMENTO LTDA"/>
        <s v="RA ATIVACAO LTDA"/>
        <s v="RA MARKETING DE"/>
        <s v="RABAGLIO ED E EM RH LTDA"/>
        <s v="RACHELTEX"/>
        <s v="RADIANCE"/>
        <s v="RADICAL"/>
        <s v="RADICAL 2"/>
        <s v="RADICAL 3"/>
        <s v="RADICAL 4"/>
        <s v="RADICAL CHIC"/>
        <s v="RADICAL STAYLE"/>
        <s v="RADICAL TRIP"/>
        <s v="RAFAEL CARVALHO SANTOS"/>
        <s v="RAFIMEX"/>
        <s v="RAI PUBLICIDADE"/>
        <s v="RAIANY CONFECÇÕES"/>
        <s v="RAICA"/>
        <s v="RAIMUNDO T F ENTULHO ME"/>
        <s v="RAIO JEANS"/>
        <s v="RAISSA RAMOS DIAS - ME"/>
        <s v="RAIZES"/>
        <s v="RALA KIDS"/>
        <s v="RALA KIDS 2"/>
        <s v="RALCOH ASSESSORIA"/>
        <s v="RAMATEL COMERCIO E SERV"/>
        <s v="RAMB CONSULTORIA"/>
        <s v="RAMOSKA &amp; CASTELLANI PROJ"/>
        <s v="RAO INDUSTRIA E COMERCIO"/>
        <s v="RARV COM MATS ELETRICOS"/>
        <s v="RASELLO PRODUCOES E EVENT"/>
        <s v="RAYSSA MALHAS"/>
        <s v="RB CODE"/>
        <s v="RC ENGENHARIA E PROJETOS"/>
        <s v="RCR"/>
        <s v="REAL COPIADORA LTDA"/>
        <s v="REALTIME COMERCIO"/>
        <s v="REATIVA"/>
        <s v="REBOUCAS PRESTACOES"/>
        <s v="RECORDI REPRESENTACAO COM"/>
        <s v="REDD COMERCIO DE PRODUTOS"/>
        <s v="REDD GRIFFE"/>
        <s v="REFEN"/>
        <s v="REGINA CELIA"/>
        <s v="REGINA HELENA ME"/>
        <s v="REGINALDO FERNANDES FERRE"/>
        <s v="REGISTRON COM. MAQ."/>
        <s v="REISUL"/>
        <s v="RELUANA"/>
        <s v="REMASTER"/>
        <s v="RENACAR SERV DE ORG LTDA"/>
        <s v="RENATA PRUPER PAPAI ME"/>
        <s v="RENATO DE O. MEIRELLES"/>
        <s v="RENATO KOSLOWSKI"/>
        <s v="RENTAL EMPILHADEIRAS LTDA"/>
        <s v="REPUBLIC VIX COM"/>
        <s v="REPUBLICA DO SOL"/>
        <s v="RESIMA"/>
        <s v="REST FAMILIA CESCON III"/>
        <s v="RESTAURANTE CAMPESTRE"/>
        <s v="RG 518"/>
        <s v="RHAMAY CONFECCOES"/>
        <s v="RHT FARIA"/>
        <s v="RIAZOR"/>
        <s v="RICARDO DE OLIVEIRA"/>
        <s v="RICCI CONSTRUCOES"/>
        <s v="RIKAS"/>
        <s v="RIKKA BOLSAS"/>
        <s v="RIO BRANCO"/>
        <s v="RIO BRANCO COM DE PAPEIS"/>
        <s v="RIO BRANCO PAPEIS"/>
        <s v="RIO TRUFFLE CHOCOLATES"/>
        <s v="RIOPACK INDUSTRIA"/>
        <s v="RIOPLASTIC"/>
        <s v="RIPSEA"/>
        <s v="RITA DE CASSIA"/>
        <s v="RITA DE CASSIA NEVES"/>
        <s v="RL BOLSAS"/>
        <s v="RLUCENTE"/>
        <s v="RME - TANAKA"/>
        <s v="RN COMERCIO"/>
        <s v="ROBSON FLAVIO FERRAREZI"/>
        <s v="ROCAMP"/>
        <s v="ROCHINHA"/>
        <s v="ROCK BRASIL"/>
        <s v="ROCKFORD"/>
        <s v="RODOLFO BELLEZZA JUNIOR"/>
        <s v="RODRIGO PEPE MARTINS"/>
        <s v="RODRIGUES SISTEMAS"/>
        <s v="ROGERIO ANTONIO DECCO"/>
        <s v="ROGERIO O P CONFECCOES"/>
        <s v="ROMAPAK"/>
        <s v="RONIX"/>
        <s v="RONIX 2"/>
        <s v="ROSA CHIC"/>
        <s v="ROSA DI SARON"/>
        <s v="ROSA EMILIA"/>
        <s v="ROSA MARIA"/>
        <s v="ROSANA SPERANZA ACESSORIO"/>
        <s v="ROSAS E MEL"/>
        <s v="ROSE CHICK"/>
        <s v="ROSE FEIJAO"/>
        <s v="ROSITONI"/>
        <s v="ROTA 3 CONFECCOES LTDA"/>
        <s v="ROTA DA ONDA"/>
        <s v="ROTA KIDS"/>
        <s v="ROTEC"/>
        <s v="ROVITEX"/>
        <s v="ROWERS"/>
        <s v="RR COBRANCA"/>
        <s v="RRM CONFECCOES LTDA"/>
        <s v="RT INDUSTRIA"/>
        <s v="RTA AR CONDICIONADO"/>
        <s v="RUGGIERE"/>
        <s v="S M &amp; R ARQUITETOS"/>
        <s v="S.S. INDUSTRIA E COMERCIO"/>
        <s v="S4 CONFECÇÕES LTDA ME"/>
        <s v="SABESP"/>
        <s v="SAES &amp; CIA TRICO"/>
        <s v="SAFHIRA"/>
        <s v="SAINT MARIE"/>
        <s v="SALLY"/>
        <s v="SALVARTE COM E PROD GRAF"/>
        <s v="SALVATTA ENGENHARIA"/>
        <s v="SAMAHA DE FARIA&amp;FARIA LT"/>
        <s v="SAMBORA"/>
        <s v="SAMGY"/>
        <s v="SAN JOSE PALACE"/>
        <s v="SANDER"/>
        <s v="SANDER CONF."/>
        <s v="SANDRA REGINA RODRIGUES"/>
        <s v="SANDRA YAYOI ONO INF LTDA"/>
        <s v="SANJU"/>
        <s v="SANTA FE"/>
        <s v="SANTA HELENA"/>
        <s v="SANTA INES"/>
        <s v="SANTIL 2"/>
        <s v="SANTIL COMERCIAL"/>
        <s v="SANTO EXPEDITO"/>
        <s v="SANTOS E SANTOS"/>
        <s v="SANTOS SANTANA MANUTENCAO"/>
        <s v="SAO BERNARDO CENTER HOTEL"/>
        <s v="SÃO CARLOS"/>
        <s v="SAPOPÉ"/>
        <s v="SARA"/>
        <s v="SARCA PROMOCAO"/>
        <s v="SARPLAST"/>
        <s v="SASA"/>
        <s v="SAWARY"/>
        <s v="SAWARY 2"/>
        <s v="SBA"/>
        <s v="SCAN SOURCE PR"/>
        <s v="SCBR AUTOMAÇÃO DO BRASIL"/>
        <s v="SCHEMUEL"/>
        <s v="SCHIMIDT SERV DE SEG PATR"/>
        <s v="SCHIMITD SERVIÇOS GERAIS"/>
        <s v="SCHIO"/>
        <s v="SCI - TECNOLOGIA DA INFOR"/>
        <s v="SCOPINO"/>
        <s v="SCORPIONS SERVICOS"/>
        <s v="SEA BRAZIL"/>
        <s v="SEA HILLS"/>
        <s v="SEA MONG"/>
        <s v="SEA PORT"/>
        <s v="SEA TEXTIL"/>
        <s v="SEA WIND"/>
        <s v="SECOND DESIGN DIGITAL"/>
        <s v="SEGREDOS DA MODA (R.CHIC)"/>
        <s v="SEGSP DOSTRIBUIDORA"/>
        <s v="SELENE"/>
        <s v="SEM PARAR"/>
        <s v="SEMAE"/>
        <s v="SEMPRE JOIAS"/>
        <s v="SENSORAMA PRODUÇÕES LTDA"/>
        <s v="SEOUL"/>
        <s v="SEQUOIA PAPEIS"/>
        <s v="SERASA EXPERIAN"/>
        <s v="SERASA SA"/>
        <s v="SERIE UNICA"/>
        <s v="SERPAS"/>
        <s v="SERPHA"/>
        <s v="SERPHA(OCEANO)"/>
        <s v="SERRALHERIA DOIS IRMAOS"/>
        <s v="SERRALHERIA EMOFER"/>
        <s v="SERRALHERIA TESE LTDA ME"/>
        <s v="SET TECNOLOGIA"/>
        <s v="SETA DESENVOLVIMENTO"/>
        <s v="SETE ESTRADAS LOGISTICA L"/>
        <s v="SETOR INTIMO"/>
        <s v="SEVEN SEAS"/>
        <s v="SG TOPOGRAFIA"/>
        <s v="SH (JULE)"/>
        <s v="SH INDUSTRIA TEXTIL"/>
        <s v="SHABBY CHIC(PEPPERMINT)"/>
        <s v="SHAMMAH SERVICOS GERAIS"/>
        <s v="SHANDA"/>
        <s v="SHEKENAH BUFFET LTDA"/>
        <s v="SHEKINAH TRICOT"/>
        <s v="SHOP MIX"/>
        <s v="SHOP MIX 2"/>
        <s v="SHOP TIME"/>
        <s v="SHOWA"/>
        <s v="SHU"/>
        <s v="SICARD"/>
        <s v="SICOOB"/>
        <s v="SIDE CRIAÇÃO E COMPUTAÇÃO"/>
        <s v="SIEMENS"/>
        <s v="SIEMENS LTDA"/>
        <s v="SIGAMY"/>
        <s v="SIGAMY 2"/>
        <s v="SILK SCREEN IDEAL"/>
        <s v="SILMARA RAMOS DE SOUZA"/>
        <s v="SILO DA MODA"/>
        <s v="SILTTI MALHAS"/>
        <s v="SILTTY MALHAS"/>
        <s v="SIM INCENTIVE"/>
        <s v="SIMBOTEX"/>
        <s v="SIMONE ASTRAL FASHION"/>
        <s v="SIMONVIL TELECOM LTDA ME"/>
        <s v="SINAI"/>
        <s v="SINERGIA CONFECCOES"/>
        <s v="SING 3D"/>
        <s v="SINGOLA OPERIS"/>
        <s v="SINHÁ MOÇA"/>
        <s v="SISTEMA USEFASHIOM DE INF"/>
        <s v="SISTEMAS TH INFORMATICA"/>
        <s v="SIX DEGREES BRAZIL LTDA"/>
        <s v="SKALIBUR"/>
        <s v="SKALIBUR 2"/>
        <s v="SKANDALUS"/>
        <s v="SKAT TRACK"/>
        <s v="SKENN"/>
        <s v="SKYLINE"/>
        <s v="SLAP"/>
        <s v="SM ARTES GRAFICAS LTDA"/>
        <s v="SMANY"/>
        <s v="SMS TECNOLOGIA ELETRONICA"/>
        <s v="SN AR CONDICIONADO"/>
        <s v="SND DISTR DE PROD INF"/>
        <s v="SO FITAS"/>
        <s v="SO VESTIR"/>
        <s v="SOCOMPRESSORES"/>
        <s v="SOENGE SERV DE ENGENHARIA"/>
        <s v="SOFTLINE"/>
        <s v="SOFTWARE EXPRESS"/>
        <s v="SOL DIESEL"/>
        <s v="SOL E CIA"/>
        <s v="SOL LOGISTICA"/>
        <s v="SOL LUA"/>
        <s v="SOLENE SABOR"/>
        <s v="SOLETEX"/>
        <s v="SOLMARE RIO"/>
        <s v="SOLO ENGENHARIA S/C LTDA"/>
        <s v="SOLON RIBEIRO"/>
        <s v="SOLUCOES USIMINAS"/>
        <s v="SOLUMAR"/>
        <s v="SOMMA ARQUITETURA"/>
        <s v="SOMOS"/>
        <s v="SONHO DE AMOR"/>
        <s v="SONHO FELIZ"/>
        <s v="SONHO FELIZ  DE MURIAÉ"/>
        <s v="SONHO VIVO"/>
        <s v="SONHO.COM"/>
        <s v="SONIA MARIA OLIVEIRA"/>
        <s v="SONIA REGINA AP PINAFI"/>
        <s v="SORENGE TECNOLOGIA"/>
        <s v="SOUTEX"/>
        <s v="SOUZA LIMA"/>
        <s v="SOUZA LIMA SEGURANCA"/>
        <s v="SP DIOR KIDS PROD FOTOG"/>
        <s v="SP4R LOCADORA LTDA-ME"/>
        <s v="SPIKER´S"/>
        <s v="SPIO MALHAS"/>
        <s v="SPORT SUL"/>
        <s v="SPORT SUL MALHAS"/>
        <s v="SPR INDUSTRIA (MG)"/>
        <s v="SRC COMERCIO DE PRODUTOS"/>
        <s v="SRJ"/>
        <s v="STAMPA GRÁFICA E EDITORA"/>
        <s v="STAR BELLA"/>
        <s v="STAR CONFECCOES 2"/>
        <s v="STAR LIVRE"/>
        <s v="STARK FITNESS"/>
        <s v="STARKFEST"/>
        <s v="STAROUP"/>
        <s v="STARQ SERVIÇOS DE TRATAM"/>
        <s v="STATUS TRICOT"/>
        <s v="STELLARUM"/>
        <s v="STEMAC SA GRUPOS"/>
        <s v="STILBER"/>
        <s v="STILGRAF ARTES GRAFICAS"/>
        <s v="STILL ASSESSORIA"/>
        <s v="STILLOS COLLECTION"/>
        <s v="STILO BORRACHAS E PLASTIC"/>
        <s v="STILO HOTEL"/>
        <s v="STONS"/>
        <s v="STRATEGY LAB DES DE SOFTW"/>
        <s v="STREET ZONE"/>
        <s v="STYLO TROPICAL"/>
        <s v="SUAVE"/>
        <s v="SUAVI"/>
        <s v="SUBURBAN"/>
        <s v="SUED TEXTIL"/>
        <s v="SUEZ"/>
        <s v="SUL BBS INTERNET LTDA"/>
        <s v="SULAMERICANA"/>
        <s v="SUMMER GIRL"/>
        <s v="SUMMERWIND MODAS"/>
        <s v="SUPER STATION TRANSPORTE"/>
        <s v="SUPERMIDIA COM E SERV PUB"/>
        <s v="SUPRA MODAS"/>
        <s v="SUR MODAS E CONF LTDA EPP"/>
        <s v="SURF MACH"/>
        <s v="SURFEROS"/>
        <s v="SURYCATA"/>
        <s v="SUSAMPAIO PROD ARTISTICAS"/>
        <s v="SVK"/>
        <s v="SYL"/>
        <s v="SYS"/>
        <s v="SYSCOB COBRANCA LTDA"/>
        <s v="SYTHEX"/>
        <s v="T A G ESTUDIO FILMAGENS"/>
        <s v="T DRIVE TOYOTA TATUAPE"/>
        <s v="T. CAMARGO CORREA"/>
        <s v="TA YU"/>
        <s v="TA&amp;FA COM E IND DE MOVEIS"/>
        <s v="TALISMÃ MALHAS"/>
        <s v="TAM LINHAS AEREAS S/A"/>
        <s v="TANTUS"/>
        <s v="TAPE COLOR COM VISUAL"/>
        <s v="TAPECARIA SUZANA"/>
        <s v="TARNOCZY"/>
        <s v="TASK SIST DE COMPUTACAO"/>
        <s v="TASSIANA SILVEIRA ARBIZA"/>
        <s v="TAURI BLOCOS E PISOS"/>
        <s v="TAYTHI TRICOT"/>
        <s v="TDG"/>
        <s v="TE ATENDE"/>
        <s v="TEAM WORK CONFECCOES"/>
        <s v="TEC DUTOS INST DE DUTOS E"/>
        <s v="TECHINICAL SOLUTION CONS"/>
        <s v="TECHLUCKY COM PROD DE INF"/>
        <s v="TECLAN LTDA"/>
        <s v="TECNBRAS IND E COM DE ELE"/>
        <s v="TECNOGERA LOCAÇÃO E TRANS"/>
        <s v="TECNOL"/>
        <s v="TELASUL S/A"/>
        <s v="TELCABOS TELEC LTDA"/>
        <s v="TELEDATA INFORMAÇÕES"/>
        <s v="TELEFONICA"/>
        <s v="TELEMAR - OI FIXO"/>
        <s v="TEMPERO MANERO"/>
        <s v="TEN MODEL MANAGEMENT LTDA"/>
        <s v="TENDENCIA INFORMACOES"/>
        <s v="TENDENCY COMUNIC  EVENTOS"/>
        <s v="TERRA MODA"/>
        <s v="TERRITÓRIO TRICOT"/>
        <s v="TEX NOVA"/>
        <s v="TEXPORT"/>
        <s v="TEXTIL ARTUR"/>
        <s v="TEXTIL GUERREIRO"/>
        <s v="TEXTIL PEROLA"/>
        <s v="TEXTIL SANTA RITA"/>
        <s v="TEXTIL WM"/>
        <s v="THAIS FERREIRA"/>
        <s v="THALITA LORENA"/>
        <s v="THE COMUNICACAO E MKT"/>
        <s v="THE POLICE"/>
        <s v="THIBELILI"/>
        <s v="THICIANY (MODA INTIMA)"/>
        <s v="THOMAS GREG E SONS"/>
        <s v="THOMSON RETERS SERVICOS"/>
        <s v="THOR SERVIÇOS"/>
        <s v="THYSSENKRUPP"/>
        <s v="THYSSENKRUPP ELEVADORES"/>
        <s v="TI JOB CONSULTORIA EM TEC"/>
        <s v="TI TECH SHOP"/>
        <s v="TIAGO FONSECA"/>
        <s v="TIAGO MALHAS"/>
        <s v="TIC TIC TAH"/>
        <s v="TIENGO TRICÔ"/>
        <s v="TIFA"/>
        <s v="TIM CELULAR S A"/>
        <s v="TIM CELULAR S/A"/>
        <s v="TIME CARDS COM. E SERV"/>
        <s v="TIP TOP"/>
        <s v="TIP TOP 2"/>
        <s v="TISSIE"/>
        <s v="TL RESTAURANTES"/>
        <s v="TOCAIA"/>
        <s v="TOCANTINS TEXTEIS"/>
        <s v="TOCO"/>
        <s v="TODA DOCE"/>
        <s v="TODA MULHER"/>
        <s v="TODA TEEN"/>
        <s v="TOM ERY"/>
        <s v="TOP 10 COMUNICACAO"/>
        <s v="TOP D CONFECCOES"/>
        <s v="TOP EVOLUTION"/>
        <s v="TOP FIVE"/>
        <s v="TOP HELP COM DE INFORM"/>
        <s v="TOP KIDS"/>
        <s v="TOP MALHARIA"/>
        <s v="TOP MALHARIA 2"/>
        <s v="TOP MARK"/>
        <s v="TOP ROCK"/>
        <s v="TOP TEN"/>
        <s v="TOPOGRAFIA.COM LTDA"/>
        <s v="TOQUE DE COR"/>
        <s v="TOTEM MODELOS LTDA"/>
        <s v="TOUR HOUSE EVENTOS E INCE"/>
        <s v="TOUR HOUSE VIAGENS E TURI"/>
        <s v="TRANS HARO TRANSPORTES"/>
        <s v="TRANSITO TEENS"/>
        <s v="TRANSMAFEL LOGISTICA LTDA"/>
        <s v="TRANSP NOVA ALIANCA DE AR"/>
        <s v="TRANSPENHA MUDANCAS LTDA"/>
        <s v="TRANSPORTE RASADOR"/>
        <s v="TRANSPORTES DEL RIO LTDA"/>
        <s v="TRAYME"/>
        <s v="TREFF"/>
        <s v="TREND SOLUCTION"/>
        <s v="TRENZINHO DA FOLIA"/>
        <s v="TRES COM DE PRUBLIC LTDA"/>
        <s v="TRIBAL SURF"/>
        <s v="TRIBO"/>
        <s v="TRICOT &amp; CIA"/>
        <s v="TRICOT E CIA"/>
        <s v="TRICOT N &amp; E"/>
        <s v="TRIFIL ITABUNA"/>
        <s v="TRIFILL"/>
        <s v="TRINCA MALHAS"/>
        <s v="TRIPLETECH IT SOLUTIONS"/>
        <s v="TRIPPYZ"/>
        <s v="TRITEX"/>
        <s v="TRIUNFO EXTINTORES E FERR"/>
        <s v="TRIXIE"/>
        <s v="TROFEUS GLOBO"/>
        <s v="TROPA 43"/>
        <s v="TRUMPET"/>
        <s v="TUBA"/>
        <s v="TUBOCORT IND E COM"/>
        <s v="TUCURIVI MUDANCAS E TRANS"/>
        <s v="TURMA DA JULLY"/>
        <s v="TURMA DA NATHY"/>
        <s v="TURMA DA VIVI"/>
        <s v="TURMINHA FASHION"/>
        <s v="TV TAUBATE S/A"/>
        <s v="TWA SEGURANCA"/>
        <s v="TYPCE MODAS"/>
        <s v="U-NEAR S A"/>
        <s v="UCCA AGENCIA"/>
        <s v="UCOMMER COM IMP E EXP"/>
        <s v="UKIL (JP MODA)"/>
        <s v="UM2"/>
        <s v="UMUARAMA PROD ARTISTICAS"/>
        <s v="UNA FLOR"/>
        <s v="UNA FLOR LINGERIE 2"/>
        <s v="UNIAO DE DOCENTES DP BRAS"/>
        <s v="UNIAO DOCENTES BRASIL MAT"/>
        <s v="UNIFILA BRASIL IND METAL"/>
        <s v="UNIKA"/>
        <s v="UNITED PRIME"/>
        <s v="UOL DIVEO S.A"/>
        <s v="UOL DIVEO S.A BARUERI"/>
        <s v="UP KIDS"/>
        <s v="UTIL ARTE"/>
        <s v="UTINO MANAGEMENT"/>
        <s v="UVX"/>
        <s v="V - EIGHT"/>
        <s v="V7"/>
        <s v="VAGABOYS"/>
        <s v="VAGAS TECNOLOGIA DE SOFTW"/>
        <s v="VAGAUS"/>
        <s v="VAITWOLF SERVIÇOS"/>
        <s v="VALLENTINA"/>
        <s v="VALOR ECONOMICO SA"/>
        <s v="VAN"/>
        <s v="VAN CONF."/>
        <s v="VAN CONFECÇÕES"/>
        <s v="VANATEX"/>
        <s v="VANDERLEI SANCHES"/>
        <s v="VANESSA DELEU PEQUENO"/>
        <s v="VANTEX"/>
        <s v="VB SERVICOS, COMERCIO"/>
        <s v="VBN CONSULT CONTABIL"/>
        <s v="VBN CONSULTORIA"/>
        <s v="VEGAS"/>
        <s v="VENE"/>
        <s v="VENIA VENITUM"/>
        <s v="VERONA IMPORTACOES"/>
        <s v="VERTEC"/>
        <s v="VESTY BRASIL"/>
        <s v="VETOR EDITORA"/>
        <s v="VF COM DE ART VESTUARIO"/>
        <s v="VGI CONFECCOES"/>
        <s v="VIA ONIX"/>
        <s v="VIA TRENTO"/>
        <s v="VICE VERSA"/>
        <s v="VICK"/>
        <s v="VICK COMERCIO"/>
        <s v="VICK MODELS"/>
        <s v="VICKY BLOCH &amp; ASSOCIADOS"/>
        <s v="VICTOR ALMEIDA"/>
        <s v="VICTOR BLUE"/>
        <s v="VICTOR VIANA MASUMOTO"/>
        <s v="VIDALINK"/>
        <s v="VIDEO ONE TELECOMUNICACAO"/>
        <s v="VILLASANT"/>
        <s v="VILLEZE"/>
        <s v="VINTEM"/>
        <s v="VIP TELECOM"/>
        <s v="VISAO"/>
        <s v="VISIMAX TECNOL E GESTAO"/>
        <s v="VISION"/>
        <s v="VISION IND E COM LTDA ME"/>
        <s v="VISIONARIO"/>
        <s v="VISIONÁRIO COMERCIAL LTDA"/>
        <s v="VISTA AEREA"/>
        <s v="VISUAL GIRL"/>
        <s v="VISUAL MODEL"/>
        <s v="VISUAL TEEN"/>
        <s v="VITATEX COMERCIO"/>
        <s v="VITRYNE JEANS"/>
        <s v="VIVA MARIA"/>
        <s v="VIZZY"/>
        <s v="VM PRODUCOES CINE FOTO"/>
        <s v="VNT CONFECCOES"/>
        <s v="VOZ DA PROPAGANDA E PUBL"/>
        <s v="VRVOGUE PROD FOTOGRAFICAS"/>
        <s v="VSI IMPORTADORA"/>
        <s v="W F FRAGA SERVICOS"/>
        <s v="W S DE MORAES APOIO OPER"/>
        <s v="W&amp;S"/>
        <s v="W.A JEANS"/>
        <s v="WALDIR DIAZ DE SOUZA"/>
        <s v="WALUMAR INDUSTRIA E COME."/>
        <s v="WANIA RANGEL PRODUCOES"/>
        <s v="WARUSKY"/>
        <s v="WBN"/>
        <s v="WEAR COMPANY"/>
        <s v="WEDOO CONSULTORIA"/>
        <s v="WELLS MODAS"/>
        <s v="WESLEY FERNANDEZ PRODUÇOE"/>
        <s v="WESTCON BRASIL"/>
        <s v="WESTCON LTDA"/>
        <s v="WG PRODUCOES FOTOGRAFICAS"/>
        <s v="WICETEX"/>
        <s v="WILLIAN SANTOS DA SILVA"/>
        <s v="WINSTON"/>
        <s v="WITRISK PLANEJ EMPRES LTD"/>
        <s v="WITTEL SERVIÇOS"/>
        <s v="WMB COMERCIO ELETRONICO"/>
        <s v="WOLLOCO"/>
        <s v="WORK COMPILACAO"/>
        <s v="WORK PEOPLE"/>
        <s v="WORLD FASHION"/>
        <s v="WORLDWIDE"/>
        <s v="WR COM. VISUAL LTDA-ME"/>
        <s v="WYMA TECNOLOGIA LTDA"/>
        <s v="X STYL"/>
        <s v="X-ROCK"/>
        <s v="XERYUS"/>
        <s v="XICA URBANA"/>
        <s v="XIZEL"/>
        <s v="YAJNA MACIEL"/>
        <s v="YANG GUOXIANG"/>
        <s v="YANG NING WEI"/>
        <s v="YARTE"/>
        <s v="YBRA JEANS"/>
        <s v="YEAH DIGITAL"/>
        <s v="YENDS"/>
        <s v="ZAICO"/>
        <s v="ZAMANY"/>
        <s v="ZAMMER"/>
        <s v="ZANFFER"/>
        <s v="ZE BOLACHA COM DE GENEROS"/>
        <s v="ZEFFERIN"/>
        <s v="ZELIMARI"/>
        <s v="ZENITH"/>
        <s v="ZENITH MATERIAIS DE SEGUR"/>
        <s v="ZEPHYRUS"/>
        <s v="ZERO DB SERVICE CENTER"/>
        <s v="ZEZINHO CAR. FUNILARIA"/>
        <s v="ZIPYLIK"/>
        <s v="ZIZI BELL"/>
        <s v="ZMN INDUSTRIA E COMERCIO"/>
        <s v="ZONIX"/>
        <s v="ZORBA"/>
        <s v="ZOTTIS IND. COM. E IMPORT"/>
      </sharedItems>
    </cacheField>
    <cacheField name="QTD" numFmtId="0">
      <sharedItems containsSemiMixedTypes="0" containsString="0" containsNumber="1" containsInteger="1" minValue="0" maxValue="47" count="22">
        <n v="0"/>
        <n v="1"/>
        <n v="3"/>
        <n v="2"/>
        <n v="9"/>
        <n v="7"/>
        <n v="4"/>
        <n v="13"/>
        <n v="28"/>
        <n v="22"/>
        <n v="6"/>
        <n v="5"/>
        <n v="47"/>
        <n v="12"/>
        <n v="10"/>
        <n v="8"/>
        <n v="19"/>
        <n v="29"/>
        <n v="18"/>
        <n v="17"/>
        <n v="11"/>
        <n v="44"/>
      </sharedItems>
    </cacheField>
    <cacheField name="Filial_a_entregar" numFmtId="0">
      <sharedItems count="39">
        <e v="#N/A"/>
        <s v="CD REGIS"/>
        <s v="AVANTI- ADM C.CREDITO"/>
        <s v="ANPPLA"/>
        <s v="MATRIZ"/>
        <s v="CD ARAQUARI"/>
        <s v="SP - PARI"/>
        <s v="CD NAVEGANTES"/>
        <s v="POA"/>
        <s v="CD EMBU"/>
        <s v="IPIRANGA"/>
        <s v="SAO BERNARDO"/>
        <s v="CIDADE TIRADENTES"/>
        <s v="CARAGUATATUBA"/>
        <s v="HORTOLANDIA"/>
        <s v="BARUERI"/>
        <s v="CIDADE OCIAN"/>
        <s v="CD IMPORTACAO"/>
        <s v="ITAQUERA"/>
        <s v="JUNDIAI"/>
        <s v="ITAPEVI"/>
        <s v="FRANCISCO MORATO"/>
        <s v="CARAPICUIBA"/>
        <s v="SP - PIRAPORINHA"/>
        <s v="PIRASSUNUNGA"/>
        <s v="ITAIM"/>
        <s v="MAUA"/>
        <s v="TAUBATE"/>
        <s v="DIADEMA"/>
        <s v="SP - GRAJAU"/>
        <s v="MOGI GUACU"/>
        <s v="COTIA"/>
        <s v="FERRAZ"/>
        <s v="FRANCO DA ROCHA"/>
        <s v="AVANTI"/>
        <s v="VILA DIRCE"/>
        <s v="INDAIATUBA"/>
        <s v="CRUZEIRO"/>
        <s v="SUMARE"/>
      </sharedItems>
    </cacheField>
    <cacheField name="Filial_cobranca" numFmtId="0">
      <sharedItems count="39">
        <e v="#N/A"/>
        <s v="CD REGIS"/>
        <s v="AVANTI- ADM C.CREDITO"/>
        <s v="ANPPLA"/>
        <s v="TATUAPE"/>
        <s v="MATRIZ"/>
        <s v="SP - PARI"/>
        <s v="POA"/>
        <s v="CD EMBU"/>
        <s v="IPIRANGA"/>
        <s v="SAO BERNARDO"/>
        <s v="CIDADE TIRADENTES"/>
        <s v="CARAGUATATUBA"/>
        <s v="HORTOLANDIA"/>
        <s v="BARUERI"/>
        <s v="CIDADE OCIAN"/>
        <s v="ITAQUERA"/>
        <s v="JUNDIAI"/>
        <s v="ITAPEVI"/>
        <s v="FRANCISCO MORATO"/>
        <s v="CARAPICUIBA"/>
        <s v="SP - PIRAPORINHA"/>
        <s v="PIRASSUNUNGA"/>
        <s v="ITAIM"/>
        <s v="MAUA"/>
        <s v="TAUBATE"/>
        <s v="DIADEMA"/>
        <s v="LAJEADO"/>
        <s v="SP - GRAJAU"/>
        <s v="MOGI GUACU"/>
        <s v="COTIA"/>
        <s v="FERRAZ"/>
        <s v="FRANCO DA ROCHA"/>
        <s v="CD ARAQUARI"/>
        <s v="AVANTI"/>
        <s v="VILA DIRCE"/>
        <s v="INDAIATUBA"/>
        <s v="CRUZEIRO"/>
        <s v="SUMARE"/>
      </sharedItems>
    </cacheField>
    <cacheField name="Filial_a_faturar" numFmtId="0">
      <sharedItems count="39">
        <e v="#N/A"/>
        <s v="CD REGIS"/>
        <s v="AVANTI- ADM C.CREDITO"/>
        <s v="ANPPLA"/>
        <s v="MATRIZ"/>
        <s v="CD ARAQUARI"/>
        <s v="SP - PARI"/>
        <s v="CD NAVEGANTES"/>
        <s v="POA"/>
        <s v="CD EMBU"/>
        <s v="IPIRANGA"/>
        <s v="SAO BERNARDO"/>
        <s v="CIDADE TIRADENTES"/>
        <s v="CARAGUATATUBA"/>
        <s v="HORTOLANDIA"/>
        <s v="BARUERI"/>
        <s v="CIDADE OCIAN"/>
        <s v="CD IMPORTACAO"/>
        <s v="ITAQUERA"/>
        <s v="JUNDIAI"/>
        <s v="ITAPEVI"/>
        <s v="FRANCISCO MORATO"/>
        <s v="CARAPICUIBA"/>
        <s v="SP - PIRAPORINHA"/>
        <s v="PIRASSUNUNGA"/>
        <s v="ITAIM"/>
        <s v="MAUA"/>
        <s v="TAUBATE"/>
        <s v="DIADEMA"/>
        <s v="SP - GRAJAU"/>
        <s v="MOGI GUACU"/>
        <s v="COTIA"/>
        <s v="FERRAZ"/>
        <s v="FRANCO DA ROCHA"/>
        <s v="AVANTI"/>
        <s v="VILA DIRCE"/>
        <s v="INDAIATUBA"/>
        <s v="CRUZEIRO"/>
        <s v="SUMARE"/>
      </sharedItems>
    </cacheField>
    <cacheField name="SQL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85">
  <r>
    <x v="0"/>
    <x v="0"/>
    <x v="0"/>
    <x v="0"/>
    <x v="0"/>
    <m/>
  </r>
  <r>
    <x v="1"/>
    <x v="1"/>
    <x v="1"/>
    <x v="1"/>
    <x v="1"/>
    <m/>
  </r>
  <r>
    <x v="2"/>
    <x v="1"/>
    <x v="2"/>
    <x v="2"/>
    <x v="2"/>
    <m/>
  </r>
  <r>
    <x v="3"/>
    <x v="2"/>
    <x v="3"/>
    <x v="3"/>
    <x v="3"/>
    <m/>
  </r>
  <r>
    <x v="4"/>
    <x v="0"/>
    <x v="0"/>
    <x v="0"/>
    <x v="0"/>
    <m/>
  </r>
  <r>
    <x v="5"/>
    <x v="0"/>
    <x v="0"/>
    <x v="0"/>
    <x v="0"/>
    <m/>
  </r>
  <r>
    <x v="6"/>
    <x v="0"/>
    <x v="0"/>
    <x v="0"/>
    <x v="0"/>
    <m/>
  </r>
  <r>
    <x v="7"/>
    <x v="1"/>
    <x v="1"/>
    <x v="4"/>
    <x v="1"/>
    <m/>
  </r>
  <r>
    <x v="8"/>
    <x v="0"/>
    <x v="0"/>
    <x v="0"/>
    <x v="0"/>
    <m/>
  </r>
  <r>
    <x v="9"/>
    <x v="3"/>
    <x v="1"/>
    <x v="1"/>
    <x v="1"/>
    <m/>
  </r>
  <r>
    <x v="10"/>
    <x v="0"/>
    <x v="0"/>
    <x v="0"/>
    <x v="0"/>
    <m/>
  </r>
  <r>
    <x v="11"/>
    <x v="0"/>
    <x v="0"/>
    <x v="0"/>
    <x v="0"/>
    <m/>
  </r>
  <r>
    <x v="12"/>
    <x v="1"/>
    <x v="1"/>
    <x v="1"/>
    <x v="1"/>
    <m/>
  </r>
  <r>
    <x v="13"/>
    <x v="0"/>
    <x v="0"/>
    <x v="0"/>
    <x v="0"/>
    <m/>
  </r>
  <r>
    <x v="14"/>
    <x v="0"/>
    <x v="0"/>
    <x v="0"/>
    <x v="0"/>
    <m/>
  </r>
  <r>
    <x v="15"/>
    <x v="0"/>
    <x v="0"/>
    <x v="0"/>
    <x v="0"/>
    <m/>
  </r>
  <r>
    <x v="16"/>
    <x v="0"/>
    <x v="0"/>
    <x v="0"/>
    <x v="0"/>
    <m/>
  </r>
  <r>
    <x v="17"/>
    <x v="0"/>
    <x v="0"/>
    <x v="0"/>
    <x v="0"/>
    <m/>
  </r>
  <r>
    <x v="18"/>
    <x v="0"/>
    <x v="0"/>
    <x v="0"/>
    <x v="0"/>
    <m/>
  </r>
  <r>
    <x v="19"/>
    <x v="1"/>
    <x v="1"/>
    <x v="1"/>
    <x v="1"/>
    <m/>
  </r>
  <r>
    <x v="20"/>
    <x v="0"/>
    <x v="0"/>
    <x v="0"/>
    <x v="0"/>
    <m/>
  </r>
  <r>
    <x v="21"/>
    <x v="0"/>
    <x v="0"/>
    <x v="0"/>
    <x v="0"/>
    <m/>
  </r>
  <r>
    <x v="22"/>
    <x v="0"/>
    <x v="0"/>
    <x v="0"/>
    <x v="0"/>
    <m/>
  </r>
  <r>
    <x v="23"/>
    <x v="0"/>
    <x v="0"/>
    <x v="0"/>
    <x v="0"/>
    <m/>
  </r>
  <r>
    <x v="24"/>
    <x v="1"/>
    <x v="4"/>
    <x v="5"/>
    <x v="4"/>
    <m/>
  </r>
  <r>
    <x v="25"/>
    <x v="0"/>
    <x v="0"/>
    <x v="0"/>
    <x v="0"/>
    <m/>
  </r>
  <r>
    <x v="26"/>
    <x v="0"/>
    <x v="0"/>
    <x v="0"/>
    <x v="0"/>
    <m/>
  </r>
  <r>
    <x v="27"/>
    <x v="0"/>
    <x v="0"/>
    <x v="0"/>
    <x v="0"/>
    <m/>
  </r>
  <r>
    <x v="28"/>
    <x v="0"/>
    <x v="0"/>
    <x v="0"/>
    <x v="0"/>
    <m/>
  </r>
  <r>
    <x v="29"/>
    <x v="0"/>
    <x v="0"/>
    <x v="0"/>
    <x v="0"/>
    <m/>
  </r>
  <r>
    <x v="30"/>
    <x v="1"/>
    <x v="1"/>
    <x v="4"/>
    <x v="1"/>
    <m/>
  </r>
  <r>
    <x v="31"/>
    <x v="1"/>
    <x v="4"/>
    <x v="5"/>
    <x v="4"/>
    <m/>
  </r>
  <r>
    <x v="32"/>
    <x v="1"/>
    <x v="4"/>
    <x v="5"/>
    <x v="4"/>
    <m/>
  </r>
  <r>
    <x v="33"/>
    <x v="1"/>
    <x v="2"/>
    <x v="2"/>
    <x v="2"/>
    <m/>
  </r>
  <r>
    <x v="34"/>
    <x v="2"/>
    <x v="5"/>
    <x v="5"/>
    <x v="5"/>
    <m/>
  </r>
  <r>
    <x v="35"/>
    <x v="1"/>
    <x v="4"/>
    <x v="5"/>
    <x v="4"/>
    <m/>
  </r>
  <r>
    <x v="36"/>
    <x v="1"/>
    <x v="6"/>
    <x v="6"/>
    <x v="6"/>
    <m/>
  </r>
  <r>
    <x v="37"/>
    <x v="0"/>
    <x v="0"/>
    <x v="0"/>
    <x v="0"/>
    <m/>
  </r>
  <r>
    <x v="38"/>
    <x v="0"/>
    <x v="0"/>
    <x v="0"/>
    <x v="0"/>
    <m/>
  </r>
  <r>
    <x v="39"/>
    <x v="0"/>
    <x v="0"/>
    <x v="0"/>
    <x v="0"/>
    <m/>
  </r>
  <r>
    <x v="40"/>
    <x v="0"/>
    <x v="0"/>
    <x v="0"/>
    <x v="0"/>
    <m/>
  </r>
  <r>
    <x v="41"/>
    <x v="0"/>
    <x v="0"/>
    <x v="0"/>
    <x v="0"/>
    <m/>
  </r>
  <r>
    <x v="42"/>
    <x v="0"/>
    <x v="0"/>
    <x v="0"/>
    <x v="0"/>
    <m/>
  </r>
  <r>
    <x v="43"/>
    <x v="3"/>
    <x v="5"/>
    <x v="5"/>
    <x v="5"/>
    <m/>
  </r>
  <r>
    <x v="44"/>
    <x v="1"/>
    <x v="1"/>
    <x v="5"/>
    <x v="1"/>
    <m/>
  </r>
  <r>
    <x v="45"/>
    <x v="0"/>
    <x v="0"/>
    <x v="0"/>
    <x v="0"/>
    <m/>
  </r>
  <r>
    <x v="46"/>
    <x v="0"/>
    <x v="0"/>
    <x v="0"/>
    <x v="0"/>
    <m/>
  </r>
  <r>
    <x v="47"/>
    <x v="2"/>
    <x v="5"/>
    <x v="5"/>
    <x v="5"/>
    <m/>
  </r>
  <r>
    <x v="48"/>
    <x v="1"/>
    <x v="6"/>
    <x v="6"/>
    <x v="6"/>
    <m/>
  </r>
  <r>
    <x v="49"/>
    <x v="0"/>
    <x v="0"/>
    <x v="0"/>
    <x v="0"/>
    <m/>
  </r>
  <r>
    <x v="50"/>
    <x v="2"/>
    <x v="7"/>
    <x v="5"/>
    <x v="7"/>
    <m/>
  </r>
  <r>
    <x v="51"/>
    <x v="0"/>
    <x v="0"/>
    <x v="0"/>
    <x v="0"/>
    <m/>
  </r>
  <r>
    <x v="52"/>
    <x v="2"/>
    <x v="3"/>
    <x v="3"/>
    <x v="3"/>
    <m/>
  </r>
  <r>
    <x v="53"/>
    <x v="0"/>
    <x v="0"/>
    <x v="0"/>
    <x v="0"/>
    <m/>
  </r>
  <r>
    <x v="54"/>
    <x v="0"/>
    <x v="0"/>
    <x v="0"/>
    <x v="0"/>
    <m/>
  </r>
  <r>
    <x v="55"/>
    <x v="4"/>
    <x v="2"/>
    <x v="2"/>
    <x v="2"/>
    <m/>
  </r>
  <r>
    <x v="56"/>
    <x v="0"/>
    <x v="0"/>
    <x v="0"/>
    <x v="0"/>
    <m/>
  </r>
  <r>
    <x v="57"/>
    <x v="0"/>
    <x v="0"/>
    <x v="0"/>
    <x v="0"/>
    <m/>
  </r>
  <r>
    <x v="58"/>
    <x v="0"/>
    <x v="0"/>
    <x v="0"/>
    <x v="0"/>
    <m/>
  </r>
  <r>
    <x v="59"/>
    <x v="0"/>
    <x v="0"/>
    <x v="0"/>
    <x v="0"/>
    <m/>
  </r>
  <r>
    <x v="60"/>
    <x v="0"/>
    <x v="0"/>
    <x v="0"/>
    <x v="0"/>
    <m/>
  </r>
  <r>
    <x v="61"/>
    <x v="0"/>
    <x v="0"/>
    <x v="0"/>
    <x v="0"/>
    <m/>
  </r>
  <r>
    <x v="62"/>
    <x v="0"/>
    <x v="0"/>
    <x v="0"/>
    <x v="0"/>
    <m/>
  </r>
  <r>
    <x v="63"/>
    <x v="0"/>
    <x v="0"/>
    <x v="0"/>
    <x v="0"/>
    <m/>
  </r>
  <r>
    <x v="64"/>
    <x v="0"/>
    <x v="0"/>
    <x v="0"/>
    <x v="0"/>
    <m/>
  </r>
  <r>
    <x v="65"/>
    <x v="0"/>
    <x v="0"/>
    <x v="0"/>
    <x v="0"/>
    <m/>
  </r>
  <r>
    <x v="66"/>
    <x v="1"/>
    <x v="6"/>
    <x v="6"/>
    <x v="6"/>
    <m/>
  </r>
  <r>
    <x v="67"/>
    <x v="0"/>
    <x v="0"/>
    <x v="0"/>
    <x v="0"/>
    <m/>
  </r>
  <r>
    <x v="68"/>
    <x v="1"/>
    <x v="1"/>
    <x v="1"/>
    <x v="1"/>
    <m/>
  </r>
  <r>
    <x v="69"/>
    <x v="1"/>
    <x v="1"/>
    <x v="5"/>
    <x v="1"/>
    <m/>
  </r>
  <r>
    <x v="70"/>
    <x v="1"/>
    <x v="1"/>
    <x v="4"/>
    <x v="1"/>
    <m/>
  </r>
  <r>
    <x v="71"/>
    <x v="0"/>
    <x v="0"/>
    <x v="0"/>
    <x v="0"/>
    <m/>
  </r>
  <r>
    <x v="72"/>
    <x v="3"/>
    <x v="1"/>
    <x v="5"/>
    <x v="1"/>
    <m/>
  </r>
  <r>
    <x v="73"/>
    <x v="5"/>
    <x v="5"/>
    <x v="5"/>
    <x v="5"/>
    <m/>
  </r>
  <r>
    <x v="74"/>
    <x v="1"/>
    <x v="6"/>
    <x v="6"/>
    <x v="6"/>
    <m/>
  </r>
  <r>
    <x v="75"/>
    <x v="0"/>
    <x v="0"/>
    <x v="0"/>
    <x v="0"/>
    <m/>
  </r>
  <r>
    <x v="76"/>
    <x v="0"/>
    <x v="0"/>
    <x v="0"/>
    <x v="0"/>
    <m/>
  </r>
  <r>
    <x v="77"/>
    <x v="0"/>
    <x v="0"/>
    <x v="0"/>
    <x v="0"/>
    <m/>
  </r>
  <r>
    <x v="78"/>
    <x v="0"/>
    <x v="0"/>
    <x v="0"/>
    <x v="0"/>
    <m/>
  </r>
  <r>
    <x v="79"/>
    <x v="0"/>
    <x v="0"/>
    <x v="0"/>
    <x v="0"/>
    <m/>
  </r>
  <r>
    <x v="80"/>
    <x v="0"/>
    <x v="0"/>
    <x v="0"/>
    <x v="0"/>
    <m/>
  </r>
  <r>
    <x v="81"/>
    <x v="1"/>
    <x v="1"/>
    <x v="4"/>
    <x v="1"/>
    <m/>
  </r>
  <r>
    <x v="82"/>
    <x v="2"/>
    <x v="1"/>
    <x v="1"/>
    <x v="1"/>
    <m/>
  </r>
  <r>
    <x v="83"/>
    <x v="0"/>
    <x v="0"/>
    <x v="0"/>
    <x v="0"/>
    <m/>
  </r>
  <r>
    <x v="84"/>
    <x v="0"/>
    <x v="0"/>
    <x v="0"/>
    <x v="0"/>
    <m/>
  </r>
  <r>
    <x v="85"/>
    <x v="0"/>
    <x v="0"/>
    <x v="0"/>
    <x v="0"/>
    <m/>
  </r>
  <r>
    <x v="86"/>
    <x v="1"/>
    <x v="8"/>
    <x v="7"/>
    <x v="8"/>
    <m/>
  </r>
  <r>
    <x v="87"/>
    <x v="0"/>
    <x v="0"/>
    <x v="0"/>
    <x v="0"/>
    <m/>
  </r>
  <r>
    <x v="88"/>
    <x v="0"/>
    <x v="0"/>
    <x v="0"/>
    <x v="0"/>
    <m/>
  </r>
  <r>
    <x v="89"/>
    <x v="1"/>
    <x v="4"/>
    <x v="5"/>
    <x v="4"/>
    <m/>
  </r>
  <r>
    <x v="90"/>
    <x v="1"/>
    <x v="6"/>
    <x v="6"/>
    <x v="6"/>
    <m/>
  </r>
  <r>
    <x v="91"/>
    <x v="1"/>
    <x v="1"/>
    <x v="5"/>
    <x v="1"/>
    <m/>
  </r>
  <r>
    <x v="92"/>
    <x v="0"/>
    <x v="0"/>
    <x v="0"/>
    <x v="0"/>
    <m/>
  </r>
  <r>
    <x v="93"/>
    <x v="0"/>
    <x v="0"/>
    <x v="0"/>
    <x v="0"/>
    <m/>
  </r>
  <r>
    <x v="94"/>
    <x v="0"/>
    <x v="0"/>
    <x v="0"/>
    <x v="0"/>
    <m/>
  </r>
  <r>
    <x v="95"/>
    <x v="0"/>
    <x v="0"/>
    <x v="0"/>
    <x v="0"/>
    <m/>
  </r>
  <r>
    <x v="96"/>
    <x v="0"/>
    <x v="0"/>
    <x v="0"/>
    <x v="0"/>
    <m/>
  </r>
  <r>
    <x v="97"/>
    <x v="0"/>
    <x v="0"/>
    <x v="0"/>
    <x v="0"/>
    <m/>
  </r>
  <r>
    <x v="98"/>
    <x v="0"/>
    <x v="0"/>
    <x v="0"/>
    <x v="0"/>
    <m/>
  </r>
  <r>
    <x v="99"/>
    <x v="0"/>
    <x v="0"/>
    <x v="0"/>
    <x v="0"/>
    <m/>
  </r>
  <r>
    <x v="100"/>
    <x v="0"/>
    <x v="0"/>
    <x v="0"/>
    <x v="0"/>
    <m/>
  </r>
  <r>
    <x v="101"/>
    <x v="0"/>
    <x v="0"/>
    <x v="0"/>
    <x v="0"/>
    <m/>
  </r>
  <r>
    <x v="102"/>
    <x v="0"/>
    <x v="0"/>
    <x v="0"/>
    <x v="0"/>
    <m/>
  </r>
  <r>
    <x v="103"/>
    <x v="0"/>
    <x v="0"/>
    <x v="0"/>
    <x v="0"/>
    <m/>
  </r>
  <r>
    <x v="104"/>
    <x v="0"/>
    <x v="0"/>
    <x v="0"/>
    <x v="0"/>
    <m/>
  </r>
  <r>
    <x v="105"/>
    <x v="0"/>
    <x v="0"/>
    <x v="0"/>
    <x v="0"/>
    <m/>
  </r>
  <r>
    <x v="106"/>
    <x v="0"/>
    <x v="0"/>
    <x v="0"/>
    <x v="0"/>
    <m/>
  </r>
  <r>
    <x v="107"/>
    <x v="0"/>
    <x v="0"/>
    <x v="0"/>
    <x v="0"/>
    <m/>
  </r>
  <r>
    <x v="108"/>
    <x v="0"/>
    <x v="0"/>
    <x v="0"/>
    <x v="0"/>
    <m/>
  </r>
  <r>
    <x v="109"/>
    <x v="0"/>
    <x v="0"/>
    <x v="0"/>
    <x v="0"/>
    <m/>
  </r>
  <r>
    <x v="110"/>
    <x v="0"/>
    <x v="0"/>
    <x v="0"/>
    <x v="0"/>
    <m/>
  </r>
  <r>
    <x v="111"/>
    <x v="0"/>
    <x v="0"/>
    <x v="0"/>
    <x v="0"/>
    <m/>
  </r>
  <r>
    <x v="112"/>
    <x v="0"/>
    <x v="0"/>
    <x v="0"/>
    <x v="0"/>
    <m/>
  </r>
  <r>
    <x v="113"/>
    <x v="0"/>
    <x v="0"/>
    <x v="0"/>
    <x v="0"/>
    <m/>
  </r>
  <r>
    <x v="114"/>
    <x v="0"/>
    <x v="0"/>
    <x v="0"/>
    <x v="0"/>
    <m/>
  </r>
  <r>
    <x v="115"/>
    <x v="3"/>
    <x v="7"/>
    <x v="5"/>
    <x v="7"/>
    <m/>
  </r>
  <r>
    <x v="116"/>
    <x v="1"/>
    <x v="4"/>
    <x v="5"/>
    <x v="4"/>
    <m/>
  </r>
  <r>
    <x v="117"/>
    <x v="0"/>
    <x v="0"/>
    <x v="0"/>
    <x v="0"/>
    <m/>
  </r>
  <r>
    <x v="118"/>
    <x v="3"/>
    <x v="1"/>
    <x v="1"/>
    <x v="1"/>
    <m/>
  </r>
  <r>
    <x v="119"/>
    <x v="0"/>
    <x v="0"/>
    <x v="0"/>
    <x v="0"/>
    <m/>
  </r>
  <r>
    <x v="120"/>
    <x v="0"/>
    <x v="0"/>
    <x v="0"/>
    <x v="0"/>
    <m/>
  </r>
  <r>
    <x v="121"/>
    <x v="0"/>
    <x v="0"/>
    <x v="0"/>
    <x v="0"/>
    <m/>
  </r>
  <r>
    <x v="122"/>
    <x v="0"/>
    <x v="0"/>
    <x v="0"/>
    <x v="0"/>
    <m/>
  </r>
  <r>
    <x v="123"/>
    <x v="1"/>
    <x v="1"/>
    <x v="4"/>
    <x v="1"/>
    <m/>
  </r>
  <r>
    <x v="124"/>
    <x v="0"/>
    <x v="0"/>
    <x v="0"/>
    <x v="0"/>
    <m/>
  </r>
  <r>
    <x v="125"/>
    <x v="1"/>
    <x v="4"/>
    <x v="5"/>
    <x v="4"/>
    <m/>
  </r>
  <r>
    <x v="126"/>
    <x v="0"/>
    <x v="0"/>
    <x v="0"/>
    <x v="0"/>
    <m/>
  </r>
  <r>
    <x v="127"/>
    <x v="0"/>
    <x v="0"/>
    <x v="0"/>
    <x v="0"/>
    <m/>
  </r>
  <r>
    <x v="128"/>
    <x v="1"/>
    <x v="1"/>
    <x v="5"/>
    <x v="1"/>
    <m/>
  </r>
  <r>
    <x v="129"/>
    <x v="2"/>
    <x v="7"/>
    <x v="5"/>
    <x v="7"/>
    <m/>
  </r>
  <r>
    <x v="130"/>
    <x v="0"/>
    <x v="0"/>
    <x v="0"/>
    <x v="0"/>
    <m/>
  </r>
  <r>
    <x v="131"/>
    <x v="0"/>
    <x v="0"/>
    <x v="0"/>
    <x v="0"/>
    <m/>
  </r>
  <r>
    <x v="132"/>
    <x v="0"/>
    <x v="0"/>
    <x v="0"/>
    <x v="0"/>
    <m/>
  </r>
  <r>
    <x v="133"/>
    <x v="0"/>
    <x v="0"/>
    <x v="0"/>
    <x v="0"/>
    <m/>
  </r>
  <r>
    <x v="134"/>
    <x v="0"/>
    <x v="0"/>
    <x v="0"/>
    <x v="0"/>
    <m/>
  </r>
  <r>
    <x v="135"/>
    <x v="0"/>
    <x v="0"/>
    <x v="0"/>
    <x v="0"/>
    <m/>
  </r>
  <r>
    <x v="136"/>
    <x v="0"/>
    <x v="0"/>
    <x v="0"/>
    <x v="0"/>
    <m/>
  </r>
  <r>
    <x v="137"/>
    <x v="0"/>
    <x v="0"/>
    <x v="0"/>
    <x v="0"/>
    <m/>
  </r>
  <r>
    <x v="138"/>
    <x v="0"/>
    <x v="0"/>
    <x v="0"/>
    <x v="0"/>
    <m/>
  </r>
  <r>
    <x v="139"/>
    <x v="0"/>
    <x v="0"/>
    <x v="0"/>
    <x v="0"/>
    <m/>
  </r>
  <r>
    <x v="140"/>
    <x v="0"/>
    <x v="0"/>
    <x v="0"/>
    <x v="0"/>
    <m/>
  </r>
  <r>
    <x v="141"/>
    <x v="1"/>
    <x v="1"/>
    <x v="1"/>
    <x v="1"/>
    <m/>
  </r>
  <r>
    <x v="142"/>
    <x v="0"/>
    <x v="0"/>
    <x v="0"/>
    <x v="0"/>
    <m/>
  </r>
  <r>
    <x v="143"/>
    <x v="0"/>
    <x v="0"/>
    <x v="0"/>
    <x v="0"/>
    <m/>
  </r>
  <r>
    <x v="144"/>
    <x v="6"/>
    <x v="5"/>
    <x v="5"/>
    <x v="5"/>
    <m/>
  </r>
  <r>
    <x v="145"/>
    <x v="3"/>
    <x v="5"/>
    <x v="5"/>
    <x v="5"/>
    <m/>
  </r>
  <r>
    <x v="146"/>
    <x v="3"/>
    <x v="4"/>
    <x v="5"/>
    <x v="4"/>
    <m/>
  </r>
  <r>
    <x v="147"/>
    <x v="0"/>
    <x v="0"/>
    <x v="0"/>
    <x v="0"/>
    <m/>
  </r>
  <r>
    <x v="148"/>
    <x v="0"/>
    <x v="0"/>
    <x v="0"/>
    <x v="0"/>
    <m/>
  </r>
  <r>
    <x v="149"/>
    <x v="3"/>
    <x v="2"/>
    <x v="2"/>
    <x v="2"/>
    <m/>
  </r>
  <r>
    <x v="150"/>
    <x v="0"/>
    <x v="0"/>
    <x v="0"/>
    <x v="0"/>
    <m/>
  </r>
  <r>
    <x v="151"/>
    <x v="0"/>
    <x v="0"/>
    <x v="0"/>
    <x v="0"/>
    <m/>
  </r>
  <r>
    <x v="152"/>
    <x v="0"/>
    <x v="0"/>
    <x v="0"/>
    <x v="0"/>
    <m/>
  </r>
  <r>
    <x v="153"/>
    <x v="0"/>
    <x v="0"/>
    <x v="0"/>
    <x v="0"/>
    <m/>
  </r>
  <r>
    <x v="154"/>
    <x v="1"/>
    <x v="4"/>
    <x v="5"/>
    <x v="4"/>
    <m/>
  </r>
  <r>
    <x v="155"/>
    <x v="0"/>
    <x v="0"/>
    <x v="0"/>
    <x v="0"/>
    <m/>
  </r>
  <r>
    <x v="156"/>
    <x v="0"/>
    <x v="0"/>
    <x v="0"/>
    <x v="0"/>
    <m/>
  </r>
  <r>
    <x v="157"/>
    <x v="0"/>
    <x v="0"/>
    <x v="0"/>
    <x v="0"/>
    <m/>
  </r>
  <r>
    <x v="158"/>
    <x v="0"/>
    <x v="0"/>
    <x v="0"/>
    <x v="0"/>
    <m/>
  </r>
  <r>
    <x v="159"/>
    <x v="0"/>
    <x v="0"/>
    <x v="0"/>
    <x v="0"/>
    <m/>
  </r>
  <r>
    <x v="160"/>
    <x v="1"/>
    <x v="1"/>
    <x v="4"/>
    <x v="1"/>
    <m/>
  </r>
  <r>
    <x v="161"/>
    <x v="0"/>
    <x v="0"/>
    <x v="0"/>
    <x v="0"/>
    <m/>
  </r>
  <r>
    <x v="162"/>
    <x v="0"/>
    <x v="0"/>
    <x v="0"/>
    <x v="0"/>
    <m/>
  </r>
  <r>
    <x v="163"/>
    <x v="3"/>
    <x v="1"/>
    <x v="5"/>
    <x v="1"/>
    <m/>
  </r>
  <r>
    <x v="164"/>
    <x v="0"/>
    <x v="0"/>
    <x v="0"/>
    <x v="0"/>
    <m/>
  </r>
  <r>
    <x v="165"/>
    <x v="0"/>
    <x v="0"/>
    <x v="0"/>
    <x v="0"/>
    <m/>
  </r>
  <r>
    <x v="166"/>
    <x v="1"/>
    <x v="1"/>
    <x v="1"/>
    <x v="1"/>
    <m/>
  </r>
  <r>
    <x v="167"/>
    <x v="0"/>
    <x v="0"/>
    <x v="0"/>
    <x v="0"/>
    <m/>
  </r>
  <r>
    <x v="168"/>
    <x v="0"/>
    <x v="0"/>
    <x v="0"/>
    <x v="0"/>
    <m/>
  </r>
  <r>
    <x v="169"/>
    <x v="0"/>
    <x v="0"/>
    <x v="0"/>
    <x v="0"/>
    <m/>
  </r>
  <r>
    <x v="170"/>
    <x v="0"/>
    <x v="0"/>
    <x v="0"/>
    <x v="0"/>
    <m/>
  </r>
  <r>
    <x v="171"/>
    <x v="0"/>
    <x v="0"/>
    <x v="0"/>
    <x v="0"/>
    <m/>
  </r>
  <r>
    <x v="172"/>
    <x v="0"/>
    <x v="0"/>
    <x v="0"/>
    <x v="0"/>
    <m/>
  </r>
  <r>
    <x v="173"/>
    <x v="0"/>
    <x v="0"/>
    <x v="0"/>
    <x v="0"/>
    <m/>
  </r>
  <r>
    <x v="174"/>
    <x v="0"/>
    <x v="0"/>
    <x v="0"/>
    <x v="0"/>
    <m/>
  </r>
  <r>
    <x v="175"/>
    <x v="1"/>
    <x v="1"/>
    <x v="1"/>
    <x v="1"/>
    <m/>
  </r>
  <r>
    <x v="176"/>
    <x v="3"/>
    <x v="3"/>
    <x v="3"/>
    <x v="3"/>
    <m/>
  </r>
  <r>
    <x v="177"/>
    <x v="1"/>
    <x v="1"/>
    <x v="5"/>
    <x v="1"/>
    <m/>
  </r>
  <r>
    <x v="178"/>
    <x v="3"/>
    <x v="7"/>
    <x v="5"/>
    <x v="7"/>
    <m/>
  </r>
  <r>
    <x v="179"/>
    <x v="0"/>
    <x v="0"/>
    <x v="0"/>
    <x v="0"/>
    <m/>
  </r>
  <r>
    <x v="180"/>
    <x v="0"/>
    <x v="0"/>
    <x v="0"/>
    <x v="0"/>
    <m/>
  </r>
  <r>
    <x v="181"/>
    <x v="0"/>
    <x v="0"/>
    <x v="0"/>
    <x v="0"/>
    <m/>
  </r>
  <r>
    <x v="182"/>
    <x v="3"/>
    <x v="4"/>
    <x v="5"/>
    <x v="4"/>
    <m/>
  </r>
  <r>
    <x v="183"/>
    <x v="0"/>
    <x v="0"/>
    <x v="0"/>
    <x v="0"/>
    <m/>
  </r>
  <r>
    <x v="184"/>
    <x v="0"/>
    <x v="0"/>
    <x v="0"/>
    <x v="0"/>
    <m/>
  </r>
  <r>
    <x v="185"/>
    <x v="0"/>
    <x v="0"/>
    <x v="0"/>
    <x v="0"/>
    <m/>
  </r>
  <r>
    <x v="186"/>
    <x v="3"/>
    <x v="1"/>
    <x v="5"/>
    <x v="1"/>
    <m/>
  </r>
  <r>
    <x v="187"/>
    <x v="0"/>
    <x v="0"/>
    <x v="0"/>
    <x v="0"/>
    <m/>
  </r>
  <r>
    <x v="188"/>
    <x v="3"/>
    <x v="1"/>
    <x v="5"/>
    <x v="1"/>
    <m/>
  </r>
  <r>
    <x v="189"/>
    <x v="7"/>
    <x v="2"/>
    <x v="2"/>
    <x v="2"/>
    <m/>
  </r>
  <r>
    <x v="190"/>
    <x v="0"/>
    <x v="0"/>
    <x v="0"/>
    <x v="0"/>
    <m/>
  </r>
  <r>
    <x v="191"/>
    <x v="0"/>
    <x v="0"/>
    <x v="0"/>
    <x v="0"/>
    <m/>
  </r>
  <r>
    <x v="192"/>
    <x v="0"/>
    <x v="0"/>
    <x v="0"/>
    <x v="0"/>
    <m/>
  </r>
  <r>
    <x v="193"/>
    <x v="3"/>
    <x v="4"/>
    <x v="5"/>
    <x v="4"/>
    <m/>
  </r>
  <r>
    <x v="194"/>
    <x v="0"/>
    <x v="0"/>
    <x v="0"/>
    <x v="0"/>
    <m/>
  </r>
  <r>
    <x v="195"/>
    <x v="1"/>
    <x v="6"/>
    <x v="6"/>
    <x v="6"/>
    <m/>
  </r>
  <r>
    <x v="196"/>
    <x v="0"/>
    <x v="0"/>
    <x v="0"/>
    <x v="0"/>
    <m/>
  </r>
  <r>
    <x v="197"/>
    <x v="0"/>
    <x v="0"/>
    <x v="0"/>
    <x v="0"/>
    <m/>
  </r>
  <r>
    <x v="198"/>
    <x v="3"/>
    <x v="1"/>
    <x v="5"/>
    <x v="1"/>
    <m/>
  </r>
  <r>
    <x v="199"/>
    <x v="0"/>
    <x v="0"/>
    <x v="0"/>
    <x v="0"/>
    <m/>
  </r>
  <r>
    <x v="200"/>
    <x v="0"/>
    <x v="0"/>
    <x v="0"/>
    <x v="0"/>
    <m/>
  </r>
  <r>
    <x v="201"/>
    <x v="1"/>
    <x v="4"/>
    <x v="5"/>
    <x v="4"/>
    <m/>
  </r>
  <r>
    <x v="202"/>
    <x v="1"/>
    <x v="4"/>
    <x v="5"/>
    <x v="4"/>
    <m/>
  </r>
  <r>
    <x v="203"/>
    <x v="0"/>
    <x v="0"/>
    <x v="0"/>
    <x v="0"/>
    <m/>
  </r>
  <r>
    <x v="204"/>
    <x v="0"/>
    <x v="0"/>
    <x v="0"/>
    <x v="0"/>
    <m/>
  </r>
  <r>
    <x v="205"/>
    <x v="0"/>
    <x v="0"/>
    <x v="0"/>
    <x v="0"/>
    <m/>
  </r>
  <r>
    <x v="206"/>
    <x v="3"/>
    <x v="1"/>
    <x v="5"/>
    <x v="1"/>
    <m/>
  </r>
  <r>
    <x v="207"/>
    <x v="1"/>
    <x v="1"/>
    <x v="5"/>
    <x v="1"/>
    <m/>
  </r>
  <r>
    <x v="208"/>
    <x v="0"/>
    <x v="0"/>
    <x v="0"/>
    <x v="0"/>
    <m/>
  </r>
  <r>
    <x v="209"/>
    <x v="0"/>
    <x v="0"/>
    <x v="0"/>
    <x v="0"/>
    <m/>
  </r>
  <r>
    <x v="210"/>
    <x v="0"/>
    <x v="0"/>
    <x v="0"/>
    <x v="0"/>
    <m/>
  </r>
  <r>
    <x v="211"/>
    <x v="1"/>
    <x v="1"/>
    <x v="4"/>
    <x v="1"/>
    <m/>
  </r>
  <r>
    <x v="212"/>
    <x v="0"/>
    <x v="0"/>
    <x v="0"/>
    <x v="0"/>
    <m/>
  </r>
  <r>
    <x v="213"/>
    <x v="0"/>
    <x v="0"/>
    <x v="0"/>
    <x v="0"/>
    <m/>
  </r>
  <r>
    <x v="214"/>
    <x v="0"/>
    <x v="0"/>
    <x v="0"/>
    <x v="0"/>
    <m/>
  </r>
  <r>
    <x v="215"/>
    <x v="1"/>
    <x v="4"/>
    <x v="5"/>
    <x v="4"/>
    <m/>
  </r>
  <r>
    <x v="216"/>
    <x v="1"/>
    <x v="4"/>
    <x v="5"/>
    <x v="4"/>
    <m/>
  </r>
  <r>
    <x v="217"/>
    <x v="3"/>
    <x v="9"/>
    <x v="8"/>
    <x v="9"/>
    <m/>
  </r>
  <r>
    <x v="218"/>
    <x v="0"/>
    <x v="0"/>
    <x v="0"/>
    <x v="0"/>
    <m/>
  </r>
  <r>
    <x v="219"/>
    <x v="0"/>
    <x v="0"/>
    <x v="0"/>
    <x v="0"/>
    <m/>
  </r>
  <r>
    <x v="220"/>
    <x v="0"/>
    <x v="0"/>
    <x v="0"/>
    <x v="0"/>
    <m/>
  </r>
  <r>
    <x v="221"/>
    <x v="3"/>
    <x v="1"/>
    <x v="5"/>
    <x v="1"/>
    <m/>
  </r>
  <r>
    <x v="222"/>
    <x v="0"/>
    <x v="0"/>
    <x v="0"/>
    <x v="0"/>
    <m/>
  </r>
  <r>
    <x v="223"/>
    <x v="0"/>
    <x v="0"/>
    <x v="0"/>
    <x v="0"/>
    <m/>
  </r>
  <r>
    <x v="224"/>
    <x v="0"/>
    <x v="0"/>
    <x v="0"/>
    <x v="0"/>
    <m/>
  </r>
  <r>
    <x v="225"/>
    <x v="0"/>
    <x v="0"/>
    <x v="0"/>
    <x v="0"/>
    <m/>
  </r>
  <r>
    <x v="226"/>
    <x v="0"/>
    <x v="0"/>
    <x v="0"/>
    <x v="0"/>
    <m/>
  </r>
  <r>
    <x v="227"/>
    <x v="0"/>
    <x v="0"/>
    <x v="0"/>
    <x v="0"/>
    <m/>
  </r>
  <r>
    <x v="228"/>
    <x v="0"/>
    <x v="0"/>
    <x v="0"/>
    <x v="0"/>
    <m/>
  </r>
  <r>
    <x v="229"/>
    <x v="0"/>
    <x v="0"/>
    <x v="0"/>
    <x v="0"/>
    <m/>
  </r>
  <r>
    <x v="230"/>
    <x v="0"/>
    <x v="0"/>
    <x v="0"/>
    <x v="0"/>
    <m/>
  </r>
  <r>
    <x v="231"/>
    <x v="3"/>
    <x v="1"/>
    <x v="5"/>
    <x v="1"/>
    <m/>
  </r>
  <r>
    <x v="232"/>
    <x v="1"/>
    <x v="1"/>
    <x v="4"/>
    <x v="1"/>
    <m/>
  </r>
  <r>
    <x v="233"/>
    <x v="3"/>
    <x v="1"/>
    <x v="5"/>
    <x v="1"/>
    <m/>
  </r>
  <r>
    <x v="234"/>
    <x v="0"/>
    <x v="0"/>
    <x v="0"/>
    <x v="0"/>
    <m/>
  </r>
  <r>
    <x v="235"/>
    <x v="0"/>
    <x v="0"/>
    <x v="0"/>
    <x v="0"/>
    <m/>
  </r>
  <r>
    <x v="236"/>
    <x v="1"/>
    <x v="1"/>
    <x v="4"/>
    <x v="1"/>
    <m/>
  </r>
  <r>
    <x v="237"/>
    <x v="1"/>
    <x v="1"/>
    <x v="1"/>
    <x v="1"/>
    <m/>
  </r>
  <r>
    <x v="238"/>
    <x v="3"/>
    <x v="1"/>
    <x v="5"/>
    <x v="1"/>
    <m/>
  </r>
  <r>
    <x v="239"/>
    <x v="3"/>
    <x v="1"/>
    <x v="5"/>
    <x v="1"/>
    <m/>
  </r>
  <r>
    <x v="240"/>
    <x v="1"/>
    <x v="6"/>
    <x v="6"/>
    <x v="6"/>
    <m/>
  </r>
  <r>
    <x v="241"/>
    <x v="0"/>
    <x v="0"/>
    <x v="0"/>
    <x v="0"/>
    <m/>
  </r>
  <r>
    <x v="242"/>
    <x v="0"/>
    <x v="0"/>
    <x v="0"/>
    <x v="0"/>
    <m/>
  </r>
  <r>
    <x v="243"/>
    <x v="0"/>
    <x v="0"/>
    <x v="0"/>
    <x v="0"/>
    <m/>
  </r>
  <r>
    <x v="244"/>
    <x v="0"/>
    <x v="0"/>
    <x v="0"/>
    <x v="0"/>
    <m/>
  </r>
  <r>
    <x v="245"/>
    <x v="0"/>
    <x v="0"/>
    <x v="0"/>
    <x v="0"/>
    <m/>
  </r>
  <r>
    <x v="246"/>
    <x v="0"/>
    <x v="0"/>
    <x v="0"/>
    <x v="0"/>
    <m/>
  </r>
  <r>
    <x v="247"/>
    <x v="1"/>
    <x v="6"/>
    <x v="6"/>
    <x v="6"/>
    <m/>
  </r>
  <r>
    <x v="248"/>
    <x v="1"/>
    <x v="1"/>
    <x v="4"/>
    <x v="1"/>
    <m/>
  </r>
  <r>
    <x v="249"/>
    <x v="0"/>
    <x v="0"/>
    <x v="0"/>
    <x v="0"/>
    <m/>
  </r>
  <r>
    <x v="250"/>
    <x v="0"/>
    <x v="0"/>
    <x v="0"/>
    <x v="0"/>
    <m/>
  </r>
  <r>
    <x v="251"/>
    <x v="1"/>
    <x v="1"/>
    <x v="4"/>
    <x v="1"/>
    <m/>
  </r>
  <r>
    <x v="252"/>
    <x v="0"/>
    <x v="0"/>
    <x v="0"/>
    <x v="0"/>
    <m/>
  </r>
  <r>
    <x v="253"/>
    <x v="0"/>
    <x v="0"/>
    <x v="0"/>
    <x v="0"/>
    <m/>
  </r>
  <r>
    <x v="254"/>
    <x v="0"/>
    <x v="0"/>
    <x v="0"/>
    <x v="0"/>
    <m/>
  </r>
  <r>
    <x v="255"/>
    <x v="1"/>
    <x v="6"/>
    <x v="6"/>
    <x v="6"/>
    <m/>
  </r>
  <r>
    <x v="256"/>
    <x v="3"/>
    <x v="1"/>
    <x v="5"/>
    <x v="1"/>
    <m/>
  </r>
  <r>
    <x v="257"/>
    <x v="0"/>
    <x v="0"/>
    <x v="0"/>
    <x v="0"/>
    <m/>
  </r>
  <r>
    <x v="258"/>
    <x v="0"/>
    <x v="0"/>
    <x v="0"/>
    <x v="0"/>
    <m/>
  </r>
  <r>
    <x v="259"/>
    <x v="3"/>
    <x v="7"/>
    <x v="5"/>
    <x v="7"/>
    <m/>
  </r>
  <r>
    <x v="260"/>
    <x v="0"/>
    <x v="0"/>
    <x v="0"/>
    <x v="0"/>
    <m/>
  </r>
  <r>
    <x v="261"/>
    <x v="0"/>
    <x v="0"/>
    <x v="0"/>
    <x v="0"/>
    <m/>
  </r>
  <r>
    <x v="262"/>
    <x v="0"/>
    <x v="0"/>
    <x v="0"/>
    <x v="0"/>
    <m/>
  </r>
  <r>
    <x v="263"/>
    <x v="0"/>
    <x v="0"/>
    <x v="0"/>
    <x v="0"/>
    <m/>
  </r>
  <r>
    <x v="264"/>
    <x v="6"/>
    <x v="7"/>
    <x v="5"/>
    <x v="7"/>
    <m/>
  </r>
  <r>
    <x v="265"/>
    <x v="0"/>
    <x v="0"/>
    <x v="0"/>
    <x v="0"/>
    <m/>
  </r>
  <r>
    <x v="266"/>
    <x v="0"/>
    <x v="0"/>
    <x v="0"/>
    <x v="0"/>
    <m/>
  </r>
  <r>
    <x v="267"/>
    <x v="0"/>
    <x v="0"/>
    <x v="0"/>
    <x v="0"/>
    <m/>
  </r>
  <r>
    <x v="268"/>
    <x v="0"/>
    <x v="0"/>
    <x v="0"/>
    <x v="0"/>
    <m/>
  </r>
  <r>
    <x v="269"/>
    <x v="0"/>
    <x v="0"/>
    <x v="0"/>
    <x v="0"/>
    <m/>
  </r>
  <r>
    <x v="270"/>
    <x v="1"/>
    <x v="1"/>
    <x v="5"/>
    <x v="1"/>
    <m/>
  </r>
  <r>
    <x v="271"/>
    <x v="0"/>
    <x v="0"/>
    <x v="0"/>
    <x v="0"/>
    <m/>
  </r>
  <r>
    <x v="272"/>
    <x v="0"/>
    <x v="0"/>
    <x v="0"/>
    <x v="0"/>
    <m/>
  </r>
  <r>
    <x v="273"/>
    <x v="1"/>
    <x v="1"/>
    <x v="1"/>
    <x v="1"/>
    <m/>
  </r>
  <r>
    <x v="274"/>
    <x v="0"/>
    <x v="0"/>
    <x v="0"/>
    <x v="0"/>
    <m/>
  </r>
  <r>
    <x v="275"/>
    <x v="1"/>
    <x v="1"/>
    <x v="4"/>
    <x v="1"/>
    <m/>
  </r>
  <r>
    <x v="276"/>
    <x v="1"/>
    <x v="1"/>
    <x v="5"/>
    <x v="1"/>
    <m/>
  </r>
  <r>
    <x v="277"/>
    <x v="1"/>
    <x v="10"/>
    <x v="9"/>
    <x v="10"/>
    <m/>
  </r>
  <r>
    <x v="278"/>
    <x v="1"/>
    <x v="11"/>
    <x v="10"/>
    <x v="11"/>
    <m/>
  </r>
  <r>
    <x v="279"/>
    <x v="0"/>
    <x v="0"/>
    <x v="0"/>
    <x v="0"/>
    <m/>
  </r>
  <r>
    <x v="280"/>
    <x v="0"/>
    <x v="0"/>
    <x v="0"/>
    <x v="0"/>
    <m/>
  </r>
  <r>
    <x v="281"/>
    <x v="0"/>
    <x v="0"/>
    <x v="0"/>
    <x v="0"/>
    <m/>
  </r>
  <r>
    <x v="282"/>
    <x v="0"/>
    <x v="0"/>
    <x v="0"/>
    <x v="0"/>
    <m/>
  </r>
  <r>
    <x v="283"/>
    <x v="0"/>
    <x v="0"/>
    <x v="0"/>
    <x v="0"/>
    <m/>
  </r>
  <r>
    <x v="284"/>
    <x v="0"/>
    <x v="0"/>
    <x v="0"/>
    <x v="0"/>
    <m/>
  </r>
  <r>
    <x v="285"/>
    <x v="0"/>
    <x v="0"/>
    <x v="0"/>
    <x v="0"/>
    <m/>
  </r>
  <r>
    <x v="286"/>
    <x v="0"/>
    <x v="0"/>
    <x v="0"/>
    <x v="0"/>
    <m/>
  </r>
  <r>
    <x v="287"/>
    <x v="0"/>
    <x v="0"/>
    <x v="0"/>
    <x v="0"/>
    <m/>
  </r>
  <r>
    <x v="288"/>
    <x v="0"/>
    <x v="0"/>
    <x v="0"/>
    <x v="0"/>
    <m/>
  </r>
  <r>
    <x v="289"/>
    <x v="0"/>
    <x v="0"/>
    <x v="0"/>
    <x v="0"/>
    <m/>
  </r>
  <r>
    <x v="290"/>
    <x v="0"/>
    <x v="0"/>
    <x v="0"/>
    <x v="0"/>
    <m/>
  </r>
  <r>
    <x v="291"/>
    <x v="0"/>
    <x v="0"/>
    <x v="0"/>
    <x v="0"/>
    <m/>
  </r>
  <r>
    <x v="292"/>
    <x v="2"/>
    <x v="12"/>
    <x v="11"/>
    <x v="12"/>
    <m/>
  </r>
  <r>
    <x v="293"/>
    <x v="1"/>
    <x v="1"/>
    <x v="5"/>
    <x v="1"/>
    <m/>
  </r>
  <r>
    <x v="294"/>
    <x v="0"/>
    <x v="0"/>
    <x v="0"/>
    <x v="0"/>
    <m/>
  </r>
  <r>
    <x v="295"/>
    <x v="0"/>
    <x v="0"/>
    <x v="0"/>
    <x v="0"/>
    <m/>
  </r>
  <r>
    <x v="296"/>
    <x v="0"/>
    <x v="0"/>
    <x v="0"/>
    <x v="0"/>
    <m/>
  </r>
  <r>
    <x v="297"/>
    <x v="0"/>
    <x v="0"/>
    <x v="0"/>
    <x v="0"/>
    <m/>
  </r>
  <r>
    <x v="298"/>
    <x v="0"/>
    <x v="0"/>
    <x v="0"/>
    <x v="0"/>
    <m/>
  </r>
  <r>
    <x v="299"/>
    <x v="3"/>
    <x v="1"/>
    <x v="5"/>
    <x v="1"/>
    <m/>
  </r>
  <r>
    <x v="300"/>
    <x v="0"/>
    <x v="0"/>
    <x v="0"/>
    <x v="0"/>
    <m/>
  </r>
  <r>
    <x v="301"/>
    <x v="0"/>
    <x v="0"/>
    <x v="0"/>
    <x v="0"/>
    <m/>
  </r>
  <r>
    <x v="302"/>
    <x v="0"/>
    <x v="0"/>
    <x v="0"/>
    <x v="0"/>
    <m/>
  </r>
  <r>
    <x v="303"/>
    <x v="0"/>
    <x v="0"/>
    <x v="0"/>
    <x v="0"/>
    <m/>
  </r>
  <r>
    <x v="304"/>
    <x v="0"/>
    <x v="0"/>
    <x v="0"/>
    <x v="0"/>
    <m/>
  </r>
  <r>
    <x v="305"/>
    <x v="1"/>
    <x v="5"/>
    <x v="5"/>
    <x v="5"/>
    <m/>
  </r>
  <r>
    <x v="306"/>
    <x v="0"/>
    <x v="0"/>
    <x v="0"/>
    <x v="0"/>
    <m/>
  </r>
  <r>
    <x v="307"/>
    <x v="0"/>
    <x v="0"/>
    <x v="0"/>
    <x v="0"/>
    <m/>
  </r>
  <r>
    <x v="308"/>
    <x v="3"/>
    <x v="1"/>
    <x v="5"/>
    <x v="1"/>
    <m/>
  </r>
  <r>
    <x v="309"/>
    <x v="6"/>
    <x v="7"/>
    <x v="5"/>
    <x v="7"/>
    <m/>
  </r>
  <r>
    <x v="310"/>
    <x v="0"/>
    <x v="0"/>
    <x v="0"/>
    <x v="0"/>
    <m/>
  </r>
  <r>
    <x v="311"/>
    <x v="3"/>
    <x v="1"/>
    <x v="5"/>
    <x v="1"/>
    <m/>
  </r>
  <r>
    <x v="312"/>
    <x v="0"/>
    <x v="0"/>
    <x v="0"/>
    <x v="0"/>
    <m/>
  </r>
  <r>
    <x v="313"/>
    <x v="0"/>
    <x v="0"/>
    <x v="0"/>
    <x v="0"/>
    <m/>
  </r>
  <r>
    <x v="314"/>
    <x v="3"/>
    <x v="1"/>
    <x v="5"/>
    <x v="1"/>
    <m/>
  </r>
  <r>
    <x v="315"/>
    <x v="0"/>
    <x v="0"/>
    <x v="0"/>
    <x v="0"/>
    <m/>
  </r>
  <r>
    <x v="316"/>
    <x v="0"/>
    <x v="0"/>
    <x v="0"/>
    <x v="0"/>
    <m/>
  </r>
  <r>
    <x v="317"/>
    <x v="0"/>
    <x v="0"/>
    <x v="0"/>
    <x v="0"/>
    <m/>
  </r>
  <r>
    <x v="318"/>
    <x v="0"/>
    <x v="0"/>
    <x v="0"/>
    <x v="0"/>
    <m/>
  </r>
  <r>
    <x v="319"/>
    <x v="0"/>
    <x v="0"/>
    <x v="0"/>
    <x v="0"/>
    <m/>
  </r>
  <r>
    <x v="320"/>
    <x v="0"/>
    <x v="0"/>
    <x v="0"/>
    <x v="0"/>
    <m/>
  </r>
  <r>
    <x v="321"/>
    <x v="0"/>
    <x v="0"/>
    <x v="0"/>
    <x v="0"/>
    <m/>
  </r>
  <r>
    <x v="322"/>
    <x v="1"/>
    <x v="1"/>
    <x v="4"/>
    <x v="1"/>
    <m/>
  </r>
  <r>
    <x v="323"/>
    <x v="0"/>
    <x v="0"/>
    <x v="0"/>
    <x v="0"/>
    <m/>
  </r>
  <r>
    <x v="324"/>
    <x v="0"/>
    <x v="0"/>
    <x v="0"/>
    <x v="0"/>
    <m/>
  </r>
  <r>
    <x v="325"/>
    <x v="0"/>
    <x v="0"/>
    <x v="0"/>
    <x v="0"/>
    <m/>
  </r>
  <r>
    <x v="326"/>
    <x v="1"/>
    <x v="2"/>
    <x v="2"/>
    <x v="2"/>
    <m/>
  </r>
  <r>
    <x v="327"/>
    <x v="0"/>
    <x v="0"/>
    <x v="0"/>
    <x v="0"/>
    <m/>
  </r>
  <r>
    <x v="328"/>
    <x v="0"/>
    <x v="0"/>
    <x v="0"/>
    <x v="0"/>
    <m/>
  </r>
  <r>
    <x v="329"/>
    <x v="0"/>
    <x v="0"/>
    <x v="0"/>
    <x v="0"/>
    <m/>
  </r>
  <r>
    <x v="330"/>
    <x v="0"/>
    <x v="0"/>
    <x v="0"/>
    <x v="0"/>
    <m/>
  </r>
  <r>
    <x v="331"/>
    <x v="0"/>
    <x v="0"/>
    <x v="0"/>
    <x v="0"/>
    <m/>
  </r>
  <r>
    <x v="332"/>
    <x v="0"/>
    <x v="0"/>
    <x v="0"/>
    <x v="0"/>
    <m/>
  </r>
  <r>
    <x v="333"/>
    <x v="0"/>
    <x v="0"/>
    <x v="0"/>
    <x v="0"/>
    <m/>
  </r>
  <r>
    <x v="334"/>
    <x v="0"/>
    <x v="0"/>
    <x v="0"/>
    <x v="0"/>
    <m/>
  </r>
  <r>
    <x v="335"/>
    <x v="1"/>
    <x v="1"/>
    <x v="4"/>
    <x v="1"/>
    <m/>
  </r>
  <r>
    <x v="336"/>
    <x v="0"/>
    <x v="0"/>
    <x v="0"/>
    <x v="0"/>
    <m/>
  </r>
  <r>
    <x v="337"/>
    <x v="0"/>
    <x v="0"/>
    <x v="0"/>
    <x v="0"/>
    <m/>
  </r>
  <r>
    <x v="338"/>
    <x v="1"/>
    <x v="1"/>
    <x v="4"/>
    <x v="1"/>
    <m/>
  </r>
  <r>
    <x v="339"/>
    <x v="3"/>
    <x v="1"/>
    <x v="5"/>
    <x v="1"/>
    <m/>
  </r>
  <r>
    <x v="340"/>
    <x v="3"/>
    <x v="1"/>
    <x v="5"/>
    <x v="1"/>
    <m/>
  </r>
  <r>
    <x v="341"/>
    <x v="0"/>
    <x v="0"/>
    <x v="0"/>
    <x v="0"/>
    <m/>
  </r>
  <r>
    <x v="342"/>
    <x v="0"/>
    <x v="0"/>
    <x v="0"/>
    <x v="0"/>
    <m/>
  </r>
  <r>
    <x v="343"/>
    <x v="0"/>
    <x v="0"/>
    <x v="0"/>
    <x v="0"/>
    <m/>
  </r>
  <r>
    <x v="344"/>
    <x v="0"/>
    <x v="0"/>
    <x v="0"/>
    <x v="0"/>
    <m/>
  </r>
  <r>
    <x v="345"/>
    <x v="0"/>
    <x v="0"/>
    <x v="0"/>
    <x v="0"/>
    <m/>
  </r>
  <r>
    <x v="346"/>
    <x v="0"/>
    <x v="0"/>
    <x v="0"/>
    <x v="0"/>
    <m/>
  </r>
  <r>
    <x v="347"/>
    <x v="0"/>
    <x v="0"/>
    <x v="0"/>
    <x v="0"/>
    <m/>
  </r>
  <r>
    <x v="348"/>
    <x v="0"/>
    <x v="0"/>
    <x v="0"/>
    <x v="0"/>
    <m/>
  </r>
  <r>
    <x v="349"/>
    <x v="0"/>
    <x v="0"/>
    <x v="0"/>
    <x v="0"/>
    <m/>
  </r>
  <r>
    <x v="350"/>
    <x v="6"/>
    <x v="5"/>
    <x v="5"/>
    <x v="5"/>
    <m/>
  </r>
  <r>
    <x v="351"/>
    <x v="4"/>
    <x v="5"/>
    <x v="5"/>
    <x v="5"/>
    <m/>
  </r>
  <r>
    <x v="352"/>
    <x v="0"/>
    <x v="0"/>
    <x v="0"/>
    <x v="0"/>
    <m/>
  </r>
  <r>
    <x v="353"/>
    <x v="0"/>
    <x v="0"/>
    <x v="0"/>
    <x v="0"/>
    <m/>
  </r>
  <r>
    <x v="354"/>
    <x v="0"/>
    <x v="0"/>
    <x v="0"/>
    <x v="0"/>
    <m/>
  </r>
  <r>
    <x v="355"/>
    <x v="0"/>
    <x v="0"/>
    <x v="0"/>
    <x v="0"/>
    <m/>
  </r>
  <r>
    <x v="356"/>
    <x v="0"/>
    <x v="0"/>
    <x v="0"/>
    <x v="0"/>
    <m/>
  </r>
  <r>
    <x v="357"/>
    <x v="0"/>
    <x v="0"/>
    <x v="0"/>
    <x v="0"/>
    <m/>
  </r>
  <r>
    <x v="358"/>
    <x v="0"/>
    <x v="0"/>
    <x v="0"/>
    <x v="0"/>
    <m/>
  </r>
  <r>
    <x v="359"/>
    <x v="0"/>
    <x v="0"/>
    <x v="0"/>
    <x v="0"/>
    <m/>
  </r>
  <r>
    <x v="360"/>
    <x v="1"/>
    <x v="4"/>
    <x v="5"/>
    <x v="4"/>
    <m/>
  </r>
  <r>
    <x v="361"/>
    <x v="0"/>
    <x v="0"/>
    <x v="0"/>
    <x v="0"/>
    <m/>
  </r>
  <r>
    <x v="362"/>
    <x v="1"/>
    <x v="13"/>
    <x v="12"/>
    <x v="13"/>
    <m/>
  </r>
  <r>
    <x v="363"/>
    <x v="5"/>
    <x v="14"/>
    <x v="13"/>
    <x v="14"/>
    <m/>
  </r>
  <r>
    <x v="364"/>
    <x v="8"/>
    <x v="15"/>
    <x v="14"/>
    <x v="15"/>
    <m/>
  </r>
  <r>
    <x v="365"/>
    <x v="6"/>
    <x v="16"/>
    <x v="15"/>
    <x v="16"/>
    <m/>
  </r>
  <r>
    <x v="366"/>
    <x v="0"/>
    <x v="0"/>
    <x v="0"/>
    <x v="0"/>
    <m/>
  </r>
  <r>
    <x v="367"/>
    <x v="0"/>
    <x v="0"/>
    <x v="0"/>
    <x v="0"/>
    <m/>
  </r>
  <r>
    <x v="368"/>
    <x v="0"/>
    <x v="0"/>
    <x v="0"/>
    <x v="0"/>
    <m/>
  </r>
  <r>
    <x v="369"/>
    <x v="1"/>
    <x v="4"/>
    <x v="5"/>
    <x v="4"/>
    <m/>
  </r>
  <r>
    <x v="370"/>
    <x v="0"/>
    <x v="0"/>
    <x v="0"/>
    <x v="0"/>
    <m/>
  </r>
  <r>
    <x v="371"/>
    <x v="0"/>
    <x v="0"/>
    <x v="0"/>
    <x v="0"/>
    <m/>
  </r>
  <r>
    <x v="372"/>
    <x v="0"/>
    <x v="0"/>
    <x v="0"/>
    <x v="0"/>
    <m/>
  </r>
  <r>
    <x v="373"/>
    <x v="0"/>
    <x v="0"/>
    <x v="0"/>
    <x v="0"/>
    <m/>
  </r>
  <r>
    <x v="374"/>
    <x v="1"/>
    <x v="2"/>
    <x v="2"/>
    <x v="2"/>
    <m/>
  </r>
  <r>
    <x v="375"/>
    <x v="0"/>
    <x v="0"/>
    <x v="0"/>
    <x v="0"/>
    <m/>
  </r>
  <r>
    <x v="376"/>
    <x v="0"/>
    <x v="0"/>
    <x v="0"/>
    <x v="0"/>
    <m/>
  </r>
  <r>
    <x v="377"/>
    <x v="0"/>
    <x v="0"/>
    <x v="0"/>
    <x v="0"/>
    <m/>
  </r>
  <r>
    <x v="378"/>
    <x v="1"/>
    <x v="1"/>
    <x v="5"/>
    <x v="1"/>
    <m/>
  </r>
  <r>
    <x v="379"/>
    <x v="0"/>
    <x v="0"/>
    <x v="0"/>
    <x v="0"/>
    <m/>
  </r>
  <r>
    <x v="380"/>
    <x v="0"/>
    <x v="0"/>
    <x v="0"/>
    <x v="0"/>
    <m/>
  </r>
  <r>
    <x v="381"/>
    <x v="1"/>
    <x v="2"/>
    <x v="2"/>
    <x v="2"/>
    <m/>
  </r>
  <r>
    <x v="382"/>
    <x v="6"/>
    <x v="5"/>
    <x v="5"/>
    <x v="5"/>
    <m/>
  </r>
  <r>
    <x v="383"/>
    <x v="3"/>
    <x v="1"/>
    <x v="5"/>
    <x v="1"/>
    <m/>
  </r>
  <r>
    <x v="384"/>
    <x v="0"/>
    <x v="0"/>
    <x v="0"/>
    <x v="0"/>
    <m/>
  </r>
  <r>
    <x v="385"/>
    <x v="1"/>
    <x v="7"/>
    <x v="5"/>
    <x v="7"/>
    <m/>
  </r>
  <r>
    <x v="386"/>
    <x v="0"/>
    <x v="0"/>
    <x v="0"/>
    <x v="0"/>
    <m/>
  </r>
  <r>
    <x v="387"/>
    <x v="1"/>
    <x v="1"/>
    <x v="1"/>
    <x v="1"/>
    <m/>
  </r>
  <r>
    <x v="388"/>
    <x v="2"/>
    <x v="17"/>
    <x v="5"/>
    <x v="1"/>
    <m/>
  </r>
  <r>
    <x v="389"/>
    <x v="6"/>
    <x v="1"/>
    <x v="5"/>
    <x v="1"/>
    <m/>
  </r>
  <r>
    <x v="390"/>
    <x v="2"/>
    <x v="17"/>
    <x v="5"/>
    <x v="1"/>
    <m/>
  </r>
  <r>
    <x v="391"/>
    <x v="9"/>
    <x v="5"/>
    <x v="1"/>
    <x v="5"/>
    <m/>
  </r>
  <r>
    <x v="392"/>
    <x v="0"/>
    <x v="0"/>
    <x v="0"/>
    <x v="0"/>
    <m/>
  </r>
  <r>
    <x v="393"/>
    <x v="0"/>
    <x v="0"/>
    <x v="0"/>
    <x v="0"/>
    <m/>
  </r>
  <r>
    <x v="394"/>
    <x v="3"/>
    <x v="1"/>
    <x v="5"/>
    <x v="1"/>
    <m/>
  </r>
  <r>
    <x v="395"/>
    <x v="0"/>
    <x v="0"/>
    <x v="0"/>
    <x v="0"/>
    <m/>
  </r>
  <r>
    <x v="396"/>
    <x v="0"/>
    <x v="0"/>
    <x v="0"/>
    <x v="0"/>
    <m/>
  </r>
  <r>
    <x v="397"/>
    <x v="0"/>
    <x v="0"/>
    <x v="0"/>
    <x v="0"/>
    <m/>
  </r>
  <r>
    <x v="398"/>
    <x v="0"/>
    <x v="0"/>
    <x v="0"/>
    <x v="0"/>
    <m/>
  </r>
  <r>
    <x v="399"/>
    <x v="1"/>
    <x v="6"/>
    <x v="6"/>
    <x v="6"/>
    <m/>
  </r>
  <r>
    <x v="400"/>
    <x v="0"/>
    <x v="0"/>
    <x v="0"/>
    <x v="0"/>
    <m/>
  </r>
  <r>
    <x v="401"/>
    <x v="0"/>
    <x v="0"/>
    <x v="0"/>
    <x v="0"/>
    <m/>
  </r>
  <r>
    <x v="402"/>
    <x v="0"/>
    <x v="0"/>
    <x v="0"/>
    <x v="0"/>
    <m/>
  </r>
  <r>
    <x v="403"/>
    <x v="0"/>
    <x v="0"/>
    <x v="0"/>
    <x v="0"/>
    <m/>
  </r>
  <r>
    <x v="404"/>
    <x v="0"/>
    <x v="0"/>
    <x v="0"/>
    <x v="0"/>
    <m/>
  </r>
  <r>
    <x v="405"/>
    <x v="0"/>
    <x v="0"/>
    <x v="0"/>
    <x v="0"/>
    <m/>
  </r>
  <r>
    <x v="406"/>
    <x v="0"/>
    <x v="0"/>
    <x v="0"/>
    <x v="0"/>
    <m/>
  </r>
  <r>
    <x v="407"/>
    <x v="0"/>
    <x v="0"/>
    <x v="0"/>
    <x v="0"/>
    <m/>
  </r>
  <r>
    <x v="408"/>
    <x v="0"/>
    <x v="0"/>
    <x v="0"/>
    <x v="0"/>
    <m/>
  </r>
  <r>
    <x v="409"/>
    <x v="0"/>
    <x v="0"/>
    <x v="0"/>
    <x v="0"/>
    <m/>
  </r>
  <r>
    <x v="410"/>
    <x v="2"/>
    <x v="7"/>
    <x v="5"/>
    <x v="7"/>
    <m/>
  </r>
  <r>
    <x v="411"/>
    <x v="0"/>
    <x v="0"/>
    <x v="0"/>
    <x v="0"/>
    <m/>
  </r>
  <r>
    <x v="412"/>
    <x v="0"/>
    <x v="0"/>
    <x v="0"/>
    <x v="0"/>
    <m/>
  </r>
  <r>
    <x v="413"/>
    <x v="1"/>
    <x v="7"/>
    <x v="5"/>
    <x v="7"/>
    <m/>
  </r>
  <r>
    <x v="414"/>
    <x v="1"/>
    <x v="1"/>
    <x v="4"/>
    <x v="1"/>
    <m/>
  </r>
  <r>
    <x v="415"/>
    <x v="0"/>
    <x v="0"/>
    <x v="0"/>
    <x v="0"/>
    <m/>
  </r>
  <r>
    <x v="416"/>
    <x v="0"/>
    <x v="0"/>
    <x v="0"/>
    <x v="0"/>
    <m/>
  </r>
  <r>
    <x v="417"/>
    <x v="0"/>
    <x v="0"/>
    <x v="0"/>
    <x v="0"/>
    <m/>
  </r>
  <r>
    <x v="418"/>
    <x v="0"/>
    <x v="0"/>
    <x v="0"/>
    <x v="0"/>
    <m/>
  </r>
  <r>
    <x v="419"/>
    <x v="3"/>
    <x v="1"/>
    <x v="5"/>
    <x v="1"/>
    <m/>
  </r>
  <r>
    <x v="420"/>
    <x v="0"/>
    <x v="0"/>
    <x v="0"/>
    <x v="0"/>
    <m/>
  </r>
  <r>
    <x v="421"/>
    <x v="0"/>
    <x v="0"/>
    <x v="0"/>
    <x v="0"/>
    <m/>
  </r>
  <r>
    <x v="422"/>
    <x v="0"/>
    <x v="0"/>
    <x v="0"/>
    <x v="0"/>
    <m/>
  </r>
  <r>
    <x v="423"/>
    <x v="3"/>
    <x v="1"/>
    <x v="1"/>
    <x v="1"/>
    <m/>
  </r>
  <r>
    <x v="424"/>
    <x v="0"/>
    <x v="0"/>
    <x v="0"/>
    <x v="0"/>
    <m/>
  </r>
  <r>
    <x v="425"/>
    <x v="0"/>
    <x v="0"/>
    <x v="0"/>
    <x v="0"/>
    <m/>
  </r>
  <r>
    <x v="426"/>
    <x v="0"/>
    <x v="0"/>
    <x v="0"/>
    <x v="0"/>
    <m/>
  </r>
  <r>
    <x v="427"/>
    <x v="0"/>
    <x v="0"/>
    <x v="0"/>
    <x v="0"/>
    <m/>
  </r>
  <r>
    <x v="428"/>
    <x v="0"/>
    <x v="0"/>
    <x v="0"/>
    <x v="0"/>
    <m/>
  </r>
  <r>
    <x v="429"/>
    <x v="0"/>
    <x v="0"/>
    <x v="0"/>
    <x v="0"/>
    <m/>
  </r>
  <r>
    <x v="430"/>
    <x v="1"/>
    <x v="1"/>
    <x v="5"/>
    <x v="1"/>
    <m/>
  </r>
  <r>
    <x v="431"/>
    <x v="0"/>
    <x v="0"/>
    <x v="0"/>
    <x v="0"/>
    <m/>
  </r>
  <r>
    <x v="432"/>
    <x v="0"/>
    <x v="0"/>
    <x v="0"/>
    <x v="0"/>
    <m/>
  </r>
  <r>
    <x v="433"/>
    <x v="1"/>
    <x v="1"/>
    <x v="5"/>
    <x v="1"/>
    <m/>
  </r>
  <r>
    <x v="434"/>
    <x v="0"/>
    <x v="0"/>
    <x v="0"/>
    <x v="0"/>
    <m/>
  </r>
  <r>
    <x v="435"/>
    <x v="3"/>
    <x v="1"/>
    <x v="5"/>
    <x v="1"/>
    <m/>
  </r>
  <r>
    <x v="436"/>
    <x v="1"/>
    <x v="7"/>
    <x v="5"/>
    <x v="7"/>
    <m/>
  </r>
  <r>
    <x v="437"/>
    <x v="1"/>
    <x v="1"/>
    <x v="5"/>
    <x v="1"/>
    <m/>
  </r>
  <r>
    <x v="438"/>
    <x v="0"/>
    <x v="0"/>
    <x v="0"/>
    <x v="0"/>
    <m/>
  </r>
  <r>
    <x v="439"/>
    <x v="1"/>
    <x v="1"/>
    <x v="4"/>
    <x v="1"/>
    <m/>
  </r>
  <r>
    <x v="440"/>
    <x v="0"/>
    <x v="0"/>
    <x v="0"/>
    <x v="0"/>
    <m/>
  </r>
  <r>
    <x v="441"/>
    <x v="0"/>
    <x v="0"/>
    <x v="0"/>
    <x v="0"/>
    <m/>
  </r>
  <r>
    <x v="442"/>
    <x v="6"/>
    <x v="17"/>
    <x v="1"/>
    <x v="17"/>
    <m/>
  </r>
  <r>
    <x v="443"/>
    <x v="1"/>
    <x v="7"/>
    <x v="1"/>
    <x v="1"/>
    <m/>
  </r>
  <r>
    <x v="444"/>
    <x v="1"/>
    <x v="4"/>
    <x v="5"/>
    <x v="4"/>
    <m/>
  </r>
  <r>
    <x v="445"/>
    <x v="0"/>
    <x v="0"/>
    <x v="0"/>
    <x v="0"/>
    <m/>
  </r>
  <r>
    <x v="446"/>
    <x v="10"/>
    <x v="5"/>
    <x v="5"/>
    <x v="5"/>
    <m/>
  </r>
  <r>
    <x v="447"/>
    <x v="0"/>
    <x v="0"/>
    <x v="0"/>
    <x v="0"/>
    <m/>
  </r>
  <r>
    <x v="448"/>
    <x v="1"/>
    <x v="3"/>
    <x v="3"/>
    <x v="3"/>
    <m/>
  </r>
  <r>
    <x v="449"/>
    <x v="0"/>
    <x v="0"/>
    <x v="0"/>
    <x v="0"/>
    <m/>
  </r>
  <r>
    <x v="450"/>
    <x v="0"/>
    <x v="0"/>
    <x v="0"/>
    <x v="0"/>
    <m/>
  </r>
  <r>
    <x v="451"/>
    <x v="1"/>
    <x v="4"/>
    <x v="5"/>
    <x v="4"/>
    <m/>
  </r>
  <r>
    <x v="452"/>
    <x v="1"/>
    <x v="1"/>
    <x v="4"/>
    <x v="1"/>
    <m/>
  </r>
  <r>
    <x v="453"/>
    <x v="2"/>
    <x v="18"/>
    <x v="16"/>
    <x v="18"/>
    <m/>
  </r>
  <r>
    <x v="454"/>
    <x v="1"/>
    <x v="19"/>
    <x v="17"/>
    <x v="19"/>
    <m/>
  </r>
  <r>
    <x v="455"/>
    <x v="0"/>
    <x v="0"/>
    <x v="0"/>
    <x v="0"/>
    <m/>
  </r>
  <r>
    <x v="456"/>
    <x v="0"/>
    <x v="0"/>
    <x v="0"/>
    <x v="0"/>
    <m/>
  </r>
  <r>
    <x v="457"/>
    <x v="0"/>
    <x v="0"/>
    <x v="0"/>
    <x v="0"/>
    <m/>
  </r>
  <r>
    <x v="458"/>
    <x v="0"/>
    <x v="0"/>
    <x v="0"/>
    <x v="0"/>
    <m/>
  </r>
  <r>
    <x v="459"/>
    <x v="1"/>
    <x v="2"/>
    <x v="2"/>
    <x v="2"/>
    <m/>
  </r>
  <r>
    <x v="460"/>
    <x v="1"/>
    <x v="1"/>
    <x v="4"/>
    <x v="1"/>
    <m/>
  </r>
  <r>
    <x v="461"/>
    <x v="10"/>
    <x v="5"/>
    <x v="5"/>
    <x v="5"/>
    <m/>
  </r>
  <r>
    <x v="462"/>
    <x v="0"/>
    <x v="0"/>
    <x v="0"/>
    <x v="0"/>
    <m/>
  </r>
  <r>
    <x v="463"/>
    <x v="0"/>
    <x v="0"/>
    <x v="0"/>
    <x v="0"/>
    <m/>
  </r>
  <r>
    <x v="464"/>
    <x v="0"/>
    <x v="0"/>
    <x v="0"/>
    <x v="0"/>
    <m/>
  </r>
  <r>
    <x v="465"/>
    <x v="0"/>
    <x v="0"/>
    <x v="0"/>
    <x v="0"/>
    <m/>
  </r>
  <r>
    <x v="466"/>
    <x v="1"/>
    <x v="1"/>
    <x v="5"/>
    <x v="1"/>
    <m/>
  </r>
  <r>
    <x v="467"/>
    <x v="3"/>
    <x v="1"/>
    <x v="5"/>
    <x v="1"/>
    <m/>
  </r>
  <r>
    <x v="468"/>
    <x v="2"/>
    <x v="1"/>
    <x v="1"/>
    <x v="1"/>
    <m/>
  </r>
  <r>
    <x v="469"/>
    <x v="0"/>
    <x v="0"/>
    <x v="0"/>
    <x v="0"/>
    <m/>
  </r>
  <r>
    <x v="470"/>
    <x v="0"/>
    <x v="0"/>
    <x v="0"/>
    <x v="0"/>
    <m/>
  </r>
  <r>
    <x v="471"/>
    <x v="1"/>
    <x v="1"/>
    <x v="4"/>
    <x v="1"/>
    <m/>
  </r>
  <r>
    <x v="472"/>
    <x v="1"/>
    <x v="1"/>
    <x v="4"/>
    <x v="1"/>
    <m/>
  </r>
  <r>
    <x v="473"/>
    <x v="0"/>
    <x v="0"/>
    <x v="0"/>
    <x v="0"/>
    <m/>
  </r>
  <r>
    <x v="474"/>
    <x v="3"/>
    <x v="1"/>
    <x v="5"/>
    <x v="1"/>
    <m/>
  </r>
  <r>
    <x v="475"/>
    <x v="0"/>
    <x v="0"/>
    <x v="0"/>
    <x v="0"/>
    <m/>
  </r>
  <r>
    <x v="476"/>
    <x v="0"/>
    <x v="0"/>
    <x v="0"/>
    <x v="0"/>
    <m/>
  </r>
  <r>
    <x v="477"/>
    <x v="0"/>
    <x v="0"/>
    <x v="0"/>
    <x v="0"/>
    <m/>
  </r>
  <r>
    <x v="478"/>
    <x v="1"/>
    <x v="1"/>
    <x v="4"/>
    <x v="1"/>
    <m/>
  </r>
  <r>
    <x v="479"/>
    <x v="0"/>
    <x v="0"/>
    <x v="0"/>
    <x v="0"/>
    <m/>
  </r>
  <r>
    <x v="480"/>
    <x v="0"/>
    <x v="0"/>
    <x v="0"/>
    <x v="0"/>
    <m/>
  </r>
  <r>
    <x v="481"/>
    <x v="0"/>
    <x v="0"/>
    <x v="0"/>
    <x v="0"/>
    <m/>
  </r>
  <r>
    <x v="482"/>
    <x v="1"/>
    <x v="20"/>
    <x v="18"/>
    <x v="20"/>
    <m/>
  </r>
  <r>
    <x v="483"/>
    <x v="1"/>
    <x v="4"/>
    <x v="5"/>
    <x v="4"/>
    <m/>
  </r>
  <r>
    <x v="484"/>
    <x v="0"/>
    <x v="0"/>
    <x v="0"/>
    <x v="0"/>
    <m/>
  </r>
  <r>
    <x v="485"/>
    <x v="0"/>
    <x v="0"/>
    <x v="0"/>
    <x v="0"/>
    <m/>
  </r>
  <r>
    <x v="486"/>
    <x v="0"/>
    <x v="0"/>
    <x v="0"/>
    <x v="0"/>
    <m/>
  </r>
  <r>
    <x v="487"/>
    <x v="3"/>
    <x v="2"/>
    <x v="2"/>
    <x v="2"/>
    <m/>
  </r>
  <r>
    <x v="488"/>
    <x v="0"/>
    <x v="0"/>
    <x v="0"/>
    <x v="0"/>
    <m/>
  </r>
  <r>
    <x v="489"/>
    <x v="3"/>
    <x v="1"/>
    <x v="5"/>
    <x v="1"/>
    <m/>
  </r>
  <r>
    <x v="490"/>
    <x v="11"/>
    <x v="21"/>
    <x v="19"/>
    <x v="21"/>
    <m/>
  </r>
  <r>
    <x v="491"/>
    <x v="3"/>
    <x v="7"/>
    <x v="5"/>
    <x v="7"/>
    <m/>
  </r>
  <r>
    <x v="492"/>
    <x v="1"/>
    <x v="1"/>
    <x v="5"/>
    <x v="1"/>
    <m/>
  </r>
  <r>
    <x v="493"/>
    <x v="1"/>
    <x v="4"/>
    <x v="5"/>
    <x v="4"/>
    <m/>
  </r>
  <r>
    <x v="494"/>
    <x v="0"/>
    <x v="0"/>
    <x v="0"/>
    <x v="0"/>
    <m/>
  </r>
  <r>
    <x v="495"/>
    <x v="0"/>
    <x v="0"/>
    <x v="0"/>
    <x v="0"/>
    <m/>
  </r>
  <r>
    <x v="496"/>
    <x v="0"/>
    <x v="0"/>
    <x v="0"/>
    <x v="0"/>
    <m/>
  </r>
  <r>
    <x v="497"/>
    <x v="0"/>
    <x v="0"/>
    <x v="0"/>
    <x v="0"/>
    <m/>
  </r>
  <r>
    <x v="498"/>
    <x v="0"/>
    <x v="0"/>
    <x v="0"/>
    <x v="0"/>
    <m/>
  </r>
  <r>
    <x v="499"/>
    <x v="3"/>
    <x v="5"/>
    <x v="5"/>
    <x v="5"/>
    <m/>
  </r>
  <r>
    <x v="500"/>
    <x v="1"/>
    <x v="1"/>
    <x v="4"/>
    <x v="1"/>
    <m/>
  </r>
  <r>
    <x v="501"/>
    <x v="0"/>
    <x v="0"/>
    <x v="0"/>
    <x v="0"/>
    <m/>
  </r>
  <r>
    <x v="502"/>
    <x v="0"/>
    <x v="0"/>
    <x v="0"/>
    <x v="0"/>
    <m/>
  </r>
  <r>
    <x v="503"/>
    <x v="0"/>
    <x v="0"/>
    <x v="0"/>
    <x v="0"/>
    <m/>
  </r>
  <r>
    <x v="504"/>
    <x v="0"/>
    <x v="0"/>
    <x v="0"/>
    <x v="0"/>
    <m/>
  </r>
  <r>
    <x v="505"/>
    <x v="0"/>
    <x v="0"/>
    <x v="0"/>
    <x v="0"/>
    <m/>
  </r>
  <r>
    <x v="506"/>
    <x v="0"/>
    <x v="0"/>
    <x v="0"/>
    <x v="0"/>
    <m/>
  </r>
  <r>
    <x v="507"/>
    <x v="0"/>
    <x v="0"/>
    <x v="0"/>
    <x v="0"/>
    <m/>
  </r>
  <r>
    <x v="508"/>
    <x v="6"/>
    <x v="22"/>
    <x v="20"/>
    <x v="22"/>
    <m/>
  </r>
  <r>
    <x v="509"/>
    <x v="4"/>
    <x v="3"/>
    <x v="3"/>
    <x v="3"/>
    <m/>
  </r>
  <r>
    <x v="510"/>
    <x v="0"/>
    <x v="0"/>
    <x v="0"/>
    <x v="0"/>
    <m/>
  </r>
  <r>
    <x v="511"/>
    <x v="1"/>
    <x v="4"/>
    <x v="5"/>
    <x v="4"/>
    <m/>
  </r>
  <r>
    <x v="512"/>
    <x v="0"/>
    <x v="0"/>
    <x v="0"/>
    <x v="0"/>
    <m/>
  </r>
  <r>
    <x v="513"/>
    <x v="1"/>
    <x v="4"/>
    <x v="5"/>
    <x v="4"/>
    <m/>
  </r>
  <r>
    <x v="514"/>
    <x v="1"/>
    <x v="2"/>
    <x v="2"/>
    <x v="2"/>
    <m/>
  </r>
  <r>
    <x v="515"/>
    <x v="0"/>
    <x v="0"/>
    <x v="0"/>
    <x v="0"/>
    <m/>
  </r>
  <r>
    <x v="516"/>
    <x v="2"/>
    <x v="16"/>
    <x v="15"/>
    <x v="16"/>
    <m/>
  </r>
  <r>
    <x v="517"/>
    <x v="1"/>
    <x v="2"/>
    <x v="2"/>
    <x v="2"/>
    <m/>
  </r>
  <r>
    <x v="518"/>
    <x v="0"/>
    <x v="0"/>
    <x v="0"/>
    <x v="0"/>
    <m/>
  </r>
  <r>
    <x v="519"/>
    <x v="0"/>
    <x v="0"/>
    <x v="0"/>
    <x v="0"/>
    <m/>
  </r>
  <r>
    <x v="520"/>
    <x v="0"/>
    <x v="0"/>
    <x v="0"/>
    <x v="0"/>
    <m/>
  </r>
  <r>
    <x v="521"/>
    <x v="2"/>
    <x v="5"/>
    <x v="5"/>
    <x v="5"/>
    <m/>
  </r>
  <r>
    <x v="522"/>
    <x v="3"/>
    <x v="1"/>
    <x v="5"/>
    <x v="1"/>
    <m/>
  </r>
  <r>
    <x v="523"/>
    <x v="0"/>
    <x v="0"/>
    <x v="0"/>
    <x v="0"/>
    <m/>
  </r>
  <r>
    <x v="524"/>
    <x v="0"/>
    <x v="0"/>
    <x v="0"/>
    <x v="0"/>
    <m/>
  </r>
  <r>
    <x v="525"/>
    <x v="10"/>
    <x v="5"/>
    <x v="5"/>
    <x v="5"/>
    <m/>
  </r>
  <r>
    <x v="526"/>
    <x v="0"/>
    <x v="0"/>
    <x v="0"/>
    <x v="0"/>
    <m/>
  </r>
  <r>
    <x v="527"/>
    <x v="0"/>
    <x v="0"/>
    <x v="0"/>
    <x v="0"/>
    <m/>
  </r>
  <r>
    <x v="528"/>
    <x v="1"/>
    <x v="1"/>
    <x v="4"/>
    <x v="1"/>
    <m/>
  </r>
  <r>
    <x v="529"/>
    <x v="0"/>
    <x v="0"/>
    <x v="0"/>
    <x v="0"/>
    <m/>
  </r>
  <r>
    <x v="530"/>
    <x v="1"/>
    <x v="6"/>
    <x v="6"/>
    <x v="6"/>
    <m/>
  </r>
  <r>
    <x v="531"/>
    <x v="0"/>
    <x v="0"/>
    <x v="0"/>
    <x v="0"/>
    <m/>
  </r>
  <r>
    <x v="532"/>
    <x v="0"/>
    <x v="0"/>
    <x v="0"/>
    <x v="0"/>
    <m/>
  </r>
  <r>
    <x v="533"/>
    <x v="0"/>
    <x v="0"/>
    <x v="0"/>
    <x v="0"/>
    <m/>
  </r>
  <r>
    <x v="534"/>
    <x v="1"/>
    <x v="6"/>
    <x v="6"/>
    <x v="6"/>
    <m/>
  </r>
  <r>
    <x v="535"/>
    <x v="1"/>
    <x v="23"/>
    <x v="21"/>
    <x v="23"/>
    <m/>
  </r>
  <r>
    <x v="536"/>
    <x v="0"/>
    <x v="0"/>
    <x v="0"/>
    <x v="0"/>
    <m/>
  </r>
  <r>
    <x v="537"/>
    <x v="0"/>
    <x v="0"/>
    <x v="0"/>
    <x v="0"/>
    <m/>
  </r>
  <r>
    <x v="538"/>
    <x v="0"/>
    <x v="0"/>
    <x v="0"/>
    <x v="0"/>
    <m/>
  </r>
  <r>
    <x v="539"/>
    <x v="1"/>
    <x v="4"/>
    <x v="5"/>
    <x v="4"/>
    <m/>
  </r>
  <r>
    <x v="540"/>
    <x v="0"/>
    <x v="0"/>
    <x v="0"/>
    <x v="0"/>
    <m/>
  </r>
  <r>
    <x v="541"/>
    <x v="0"/>
    <x v="0"/>
    <x v="0"/>
    <x v="0"/>
    <m/>
  </r>
  <r>
    <x v="542"/>
    <x v="1"/>
    <x v="3"/>
    <x v="3"/>
    <x v="3"/>
    <m/>
  </r>
  <r>
    <x v="543"/>
    <x v="0"/>
    <x v="0"/>
    <x v="0"/>
    <x v="0"/>
    <m/>
  </r>
  <r>
    <x v="544"/>
    <x v="0"/>
    <x v="0"/>
    <x v="0"/>
    <x v="0"/>
    <m/>
  </r>
  <r>
    <x v="545"/>
    <x v="1"/>
    <x v="4"/>
    <x v="5"/>
    <x v="4"/>
    <m/>
  </r>
  <r>
    <x v="546"/>
    <x v="0"/>
    <x v="0"/>
    <x v="0"/>
    <x v="0"/>
    <m/>
  </r>
  <r>
    <x v="547"/>
    <x v="0"/>
    <x v="0"/>
    <x v="0"/>
    <x v="0"/>
    <m/>
  </r>
  <r>
    <x v="548"/>
    <x v="0"/>
    <x v="0"/>
    <x v="0"/>
    <x v="0"/>
    <m/>
  </r>
  <r>
    <x v="549"/>
    <x v="1"/>
    <x v="7"/>
    <x v="5"/>
    <x v="7"/>
    <m/>
  </r>
  <r>
    <x v="550"/>
    <x v="0"/>
    <x v="0"/>
    <x v="0"/>
    <x v="0"/>
    <m/>
  </r>
  <r>
    <x v="551"/>
    <x v="2"/>
    <x v="1"/>
    <x v="1"/>
    <x v="1"/>
    <m/>
  </r>
  <r>
    <x v="552"/>
    <x v="0"/>
    <x v="0"/>
    <x v="0"/>
    <x v="0"/>
    <m/>
  </r>
  <r>
    <x v="553"/>
    <x v="0"/>
    <x v="0"/>
    <x v="0"/>
    <x v="0"/>
    <m/>
  </r>
  <r>
    <x v="554"/>
    <x v="0"/>
    <x v="0"/>
    <x v="0"/>
    <x v="0"/>
    <m/>
  </r>
  <r>
    <x v="555"/>
    <x v="0"/>
    <x v="0"/>
    <x v="0"/>
    <x v="0"/>
    <m/>
  </r>
  <r>
    <x v="556"/>
    <x v="3"/>
    <x v="19"/>
    <x v="17"/>
    <x v="19"/>
    <m/>
  </r>
  <r>
    <x v="557"/>
    <x v="1"/>
    <x v="24"/>
    <x v="22"/>
    <x v="24"/>
    <m/>
  </r>
  <r>
    <x v="558"/>
    <x v="0"/>
    <x v="0"/>
    <x v="0"/>
    <x v="0"/>
    <m/>
  </r>
  <r>
    <x v="559"/>
    <x v="0"/>
    <x v="0"/>
    <x v="0"/>
    <x v="0"/>
    <m/>
  </r>
  <r>
    <x v="560"/>
    <x v="0"/>
    <x v="0"/>
    <x v="0"/>
    <x v="0"/>
    <m/>
  </r>
  <r>
    <x v="561"/>
    <x v="0"/>
    <x v="0"/>
    <x v="0"/>
    <x v="0"/>
    <m/>
  </r>
  <r>
    <x v="562"/>
    <x v="3"/>
    <x v="1"/>
    <x v="5"/>
    <x v="1"/>
    <m/>
  </r>
  <r>
    <x v="563"/>
    <x v="1"/>
    <x v="1"/>
    <x v="5"/>
    <x v="1"/>
    <m/>
  </r>
  <r>
    <x v="564"/>
    <x v="0"/>
    <x v="0"/>
    <x v="0"/>
    <x v="0"/>
    <m/>
  </r>
  <r>
    <x v="565"/>
    <x v="3"/>
    <x v="1"/>
    <x v="5"/>
    <x v="1"/>
    <m/>
  </r>
  <r>
    <x v="566"/>
    <x v="0"/>
    <x v="0"/>
    <x v="0"/>
    <x v="0"/>
    <m/>
  </r>
  <r>
    <x v="567"/>
    <x v="0"/>
    <x v="0"/>
    <x v="0"/>
    <x v="0"/>
    <m/>
  </r>
  <r>
    <x v="568"/>
    <x v="0"/>
    <x v="0"/>
    <x v="0"/>
    <x v="0"/>
    <m/>
  </r>
  <r>
    <x v="569"/>
    <x v="0"/>
    <x v="0"/>
    <x v="0"/>
    <x v="0"/>
    <m/>
  </r>
  <r>
    <x v="570"/>
    <x v="0"/>
    <x v="0"/>
    <x v="0"/>
    <x v="0"/>
    <m/>
  </r>
  <r>
    <x v="571"/>
    <x v="0"/>
    <x v="0"/>
    <x v="0"/>
    <x v="0"/>
    <m/>
  </r>
  <r>
    <x v="572"/>
    <x v="3"/>
    <x v="1"/>
    <x v="5"/>
    <x v="1"/>
    <m/>
  </r>
  <r>
    <x v="573"/>
    <x v="0"/>
    <x v="0"/>
    <x v="0"/>
    <x v="0"/>
    <m/>
  </r>
  <r>
    <x v="574"/>
    <x v="0"/>
    <x v="0"/>
    <x v="0"/>
    <x v="0"/>
    <m/>
  </r>
  <r>
    <x v="575"/>
    <x v="1"/>
    <x v="1"/>
    <x v="1"/>
    <x v="1"/>
    <m/>
  </r>
  <r>
    <x v="576"/>
    <x v="0"/>
    <x v="0"/>
    <x v="0"/>
    <x v="0"/>
    <m/>
  </r>
  <r>
    <x v="577"/>
    <x v="0"/>
    <x v="0"/>
    <x v="0"/>
    <x v="0"/>
    <m/>
  </r>
  <r>
    <x v="578"/>
    <x v="0"/>
    <x v="0"/>
    <x v="0"/>
    <x v="0"/>
    <m/>
  </r>
  <r>
    <x v="579"/>
    <x v="0"/>
    <x v="0"/>
    <x v="0"/>
    <x v="0"/>
    <m/>
  </r>
  <r>
    <x v="580"/>
    <x v="1"/>
    <x v="1"/>
    <x v="5"/>
    <x v="1"/>
    <m/>
  </r>
  <r>
    <x v="581"/>
    <x v="1"/>
    <x v="3"/>
    <x v="3"/>
    <x v="3"/>
    <m/>
  </r>
  <r>
    <x v="582"/>
    <x v="1"/>
    <x v="1"/>
    <x v="5"/>
    <x v="1"/>
    <m/>
  </r>
  <r>
    <x v="583"/>
    <x v="3"/>
    <x v="1"/>
    <x v="5"/>
    <x v="1"/>
    <m/>
  </r>
  <r>
    <x v="584"/>
    <x v="1"/>
    <x v="1"/>
    <x v="5"/>
    <x v="1"/>
    <m/>
  </r>
  <r>
    <x v="585"/>
    <x v="0"/>
    <x v="0"/>
    <x v="0"/>
    <x v="0"/>
    <m/>
  </r>
  <r>
    <x v="586"/>
    <x v="0"/>
    <x v="0"/>
    <x v="0"/>
    <x v="0"/>
    <m/>
  </r>
  <r>
    <x v="587"/>
    <x v="0"/>
    <x v="0"/>
    <x v="0"/>
    <x v="0"/>
    <m/>
  </r>
  <r>
    <x v="588"/>
    <x v="1"/>
    <x v="6"/>
    <x v="6"/>
    <x v="6"/>
    <m/>
  </r>
  <r>
    <x v="589"/>
    <x v="0"/>
    <x v="0"/>
    <x v="0"/>
    <x v="0"/>
    <m/>
  </r>
  <r>
    <x v="590"/>
    <x v="0"/>
    <x v="0"/>
    <x v="0"/>
    <x v="0"/>
    <m/>
  </r>
  <r>
    <x v="591"/>
    <x v="0"/>
    <x v="0"/>
    <x v="0"/>
    <x v="0"/>
    <m/>
  </r>
  <r>
    <x v="592"/>
    <x v="0"/>
    <x v="0"/>
    <x v="0"/>
    <x v="0"/>
    <m/>
  </r>
  <r>
    <x v="593"/>
    <x v="0"/>
    <x v="0"/>
    <x v="0"/>
    <x v="0"/>
    <m/>
  </r>
  <r>
    <x v="594"/>
    <x v="0"/>
    <x v="0"/>
    <x v="0"/>
    <x v="0"/>
    <m/>
  </r>
  <r>
    <x v="595"/>
    <x v="0"/>
    <x v="0"/>
    <x v="0"/>
    <x v="0"/>
    <m/>
  </r>
  <r>
    <x v="596"/>
    <x v="0"/>
    <x v="0"/>
    <x v="0"/>
    <x v="0"/>
    <m/>
  </r>
  <r>
    <x v="597"/>
    <x v="0"/>
    <x v="0"/>
    <x v="0"/>
    <x v="0"/>
    <m/>
  </r>
  <r>
    <x v="598"/>
    <x v="0"/>
    <x v="0"/>
    <x v="0"/>
    <x v="0"/>
    <m/>
  </r>
  <r>
    <x v="599"/>
    <x v="0"/>
    <x v="0"/>
    <x v="0"/>
    <x v="0"/>
    <m/>
  </r>
  <r>
    <x v="600"/>
    <x v="0"/>
    <x v="0"/>
    <x v="0"/>
    <x v="0"/>
    <m/>
  </r>
  <r>
    <x v="601"/>
    <x v="3"/>
    <x v="5"/>
    <x v="5"/>
    <x v="5"/>
    <m/>
  </r>
  <r>
    <x v="602"/>
    <x v="0"/>
    <x v="0"/>
    <x v="0"/>
    <x v="0"/>
    <m/>
  </r>
  <r>
    <x v="603"/>
    <x v="0"/>
    <x v="0"/>
    <x v="0"/>
    <x v="0"/>
    <m/>
  </r>
  <r>
    <x v="604"/>
    <x v="0"/>
    <x v="0"/>
    <x v="0"/>
    <x v="0"/>
    <m/>
  </r>
  <r>
    <x v="605"/>
    <x v="1"/>
    <x v="3"/>
    <x v="3"/>
    <x v="3"/>
    <m/>
  </r>
  <r>
    <x v="606"/>
    <x v="0"/>
    <x v="0"/>
    <x v="0"/>
    <x v="0"/>
    <m/>
  </r>
  <r>
    <x v="607"/>
    <x v="1"/>
    <x v="4"/>
    <x v="5"/>
    <x v="4"/>
    <m/>
  </r>
  <r>
    <x v="608"/>
    <x v="0"/>
    <x v="0"/>
    <x v="0"/>
    <x v="0"/>
    <m/>
  </r>
  <r>
    <x v="609"/>
    <x v="0"/>
    <x v="0"/>
    <x v="0"/>
    <x v="0"/>
    <m/>
  </r>
  <r>
    <x v="610"/>
    <x v="1"/>
    <x v="1"/>
    <x v="5"/>
    <x v="1"/>
    <m/>
  </r>
  <r>
    <x v="611"/>
    <x v="0"/>
    <x v="0"/>
    <x v="0"/>
    <x v="0"/>
    <m/>
  </r>
  <r>
    <x v="612"/>
    <x v="1"/>
    <x v="1"/>
    <x v="5"/>
    <x v="1"/>
    <m/>
  </r>
  <r>
    <x v="613"/>
    <x v="1"/>
    <x v="1"/>
    <x v="4"/>
    <x v="1"/>
    <m/>
  </r>
  <r>
    <x v="614"/>
    <x v="0"/>
    <x v="0"/>
    <x v="0"/>
    <x v="0"/>
    <m/>
  </r>
  <r>
    <x v="615"/>
    <x v="0"/>
    <x v="0"/>
    <x v="0"/>
    <x v="0"/>
    <m/>
  </r>
  <r>
    <x v="616"/>
    <x v="0"/>
    <x v="0"/>
    <x v="0"/>
    <x v="0"/>
    <m/>
  </r>
  <r>
    <x v="617"/>
    <x v="0"/>
    <x v="0"/>
    <x v="0"/>
    <x v="0"/>
    <m/>
  </r>
  <r>
    <x v="618"/>
    <x v="1"/>
    <x v="1"/>
    <x v="5"/>
    <x v="1"/>
    <m/>
  </r>
  <r>
    <x v="619"/>
    <x v="0"/>
    <x v="0"/>
    <x v="0"/>
    <x v="0"/>
    <m/>
  </r>
  <r>
    <x v="620"/>
    <x v="0"/>
    <x v="0"/>
    <x v="0"/>
    <x v="0"/>
    <m/>
  </r>
  <r>
    <x v="621"/>
    <x v="0"/>
    <x v="0"/>
    <x v="0"/>
    <x v="0"/>
    <m/>
  </r>
  <r>
    <x v="622"/>
    <x v="0"/>
    <x v="0"/>
    <x v="0"/>
    <x v="0"/>
    <m/>
  </r>
  <r>
    <x v="623"/>
    <x v="0"/>
    <x v="0"/>
    <x v="0"/>
    <x v="0"/>
    <m/>
  </r>
  <r>
    <x v="624"/>
    <x v="0"/>
    <x v="0"/>
    <x v="0"/>
    <x v="0"/>
    <m/>
  </r>
  <r>
    <x v="625"/>
    <x v="0"/>
    <x v="0"/>
    <x v="0"/>
    <x v="0"/>
    <m/>
  </r>
  <r>
    <x v="626"/>
    <x v="0"/>
    <x v="0"/>
    <x v="0"/>
    <x v="0"/>
    <m/>
  </r>
  <r>
    <x v="627"/>
    <x v="0"/>
    <x v="0"/>
    <x v="0"/>
    <x v="0"/>
    <m/>
  </r>
  <r>
    <x v="628"/>
    <x v="0"/>
    <x v="0"/>
    <x v="0"/>
    <x v="0"/>
    <m/>
  </r>
  <r>
    <x v="629"/>
    <x v="0"/>
    <x v="0"/>
    <x v="0"/>
    <x v="0"/>
    <m/>
  </r>
  <r>
    <x v="630"/>
    <x v="1"/>
    <x v="3"/>
    <x v="3"/>
    <x v="3"/>
    <m/>
  </r>
  <r>
    <x v="631"/>
    <x v="0"/>
    <x v="0"/>
    <x v="0"/>
    <x v="0"/>
    <m/>
  </r>
  <r>
    <x v="632"/>
    <x v="1"/>
    <x v="1"/>
    <x v="4"/>
    <x v="1"/>
    <m/>
  </r>
  <r>
    <x v="633"/>
    <x v="1"/>
    <x v="1"/>
    <x v="4"/>
    <x v="1"/>
    <m/>
  </r>
  <r>
    <x v="634"/>
    <x v="0"/>
    <x v="0"/>
    <x v="0"/>
    <x v="0"/>
    <m/>
  </r>
  <r>
    <x v="635"/>
    <x v="0"/>
    <x v="0"/>
    <x v="0"/>
    <x v="0"/>
    <m/>
  </r>
  <r>
    <x v="636"/>
    <x v="0"/>
    <x v="0"/>
    <x v="0"/>
    <x v="0"/>
    <m/>
  </r>
  <r>
    <x v="637"/>
    <x v="11"/>
    <x v="25"/>
    <x v="23"/>
    <x v="25"/>
    <m/>
  </r>
  <r>
    <x v="638"/>
    <x v="0"/>
    <x v="0"/>
    <x v="0"/>
    <x v="0"/>
    <m/>
  </r>
  <r>
    <x v="639"/>
    <x v="0"/>
    <x v="0"/>
    <x v="0"/>
    <x v="0"/>
    <m/>
  </r>
  <r>
    <x v="640"/>
    <x v="0"/>
    <x v="0"/>
    <x v="0"/>
    <x v="0"/>
    <m/>
  </r>
  <r>
    <x v="641"/>
    <x v="1"/>
    <x v="1"/>
    <x v="1"/>
    <x v="1"/>
    <m/>
  </r>
  <r>
    <x v="642"/>
    <x v="0"/>
    <x v="0"/>
    <x v="0"/>
    <x v="0"/>
    <m/>
  </r>
  <r>
    <x v="643"/>
    <x v="2"/>
    <x v="1"/>
    <x v="1"/>
    <x v="1"/>
    <m/>
  </r>
  <r>
    <x v="644"/>
    <x v="0"/>
    <x v="0"/>
    <x v="0"/>
    <x v="0"/>
    <m/>
  </r>
  <r>
    <x v="645"/>
    <x v="0"/>
    <x v="0"/>
    <x v="0"/>
    <x v="0"/>
    <m/>
  </r>
  <r>
    <x v="646"/>
    <x v="0"/>
    <x v="0"/>
    <x v="0"/>
    <x v="0"/>
    <m/>
  </r>
  <r>
    <x v="647"/>
    <x v="1"/>
    <x v="4"/>
    <x v="5"/>
    <x v="4"/>
    <m/>
  </r>
  <r>
    <x v="648"/>
    <x v="1"/>
    <x v="1"/>
    <x v="4"/>
    <x v="1"/>
    <m/>
  </r>
  <r>
    <x v="649"/>
    <x v="0"/>
    <x v="0"/>
    <x v="0"/>
    <x v="0"/>
    <m/>
  </r>
  <r>
    <x v="650"/>
    <x v="0"/>
    <x v="0"/>
    <x v="0"/>
    <x v="0"/>
    <m/>
  </r>
  <r>
    <x v="651"/>
    <x v="0"/>
    <x v="0"/>
    <x v="0"/>
    <x v="0"/>
    <m/>
  </r>
  <r>
    <x v="652"/>
    <x v="0"/>
    <x v="0"/>
    <x v="0"/>
    <x v="0"/>
    <m/>
  </r>
  <r>
    <x v="653"/>
    <x v="1"/>
    <x v="4"/>
    <x v="5"/>
    <x v="4"/>
    <m/>
  </r>
  <r>
    <x v="654"/>
    <x v="0"/>
    <x v="0"/>
    <x v="0"/>
    <x v="0"/>
    <m/>
  </r>
  <r>
    <x v="655"/>
    <x v="0"/>
    <x v="0"/>
    <x v="0"/>
    <x v="0"/>
    <m/>
  </r>
  <r>
    <x v="656"/>
    <x v="0"/>
    <x v="0"/>
    <x v="0"/>
    <x v="0"/>
    <m/>
  </r>
  <r>
    <x v="657"/>
    <x v="3"/>
    <x v="1"/>
    <x v="5"/>
    <x v="1"/>
    <m/>
  </r>
  <r>
    <x v="658"/>
    <x v="0"/>
    <x v="0"/>
    <x v="0"/>
    <x v="0"/>
    <m/>
  </r>
  <r>
    <x v="659"/>
    <x v="1"/>
    <x v="1"/>
    <x v="5"/>
    <x v="1"/>
    <m/>
  </r>
  <r>
    <x v="660"/>
    <x v="1"/>
    <x v="1"/>
    <x v="1"/>
    <x v="1"/>
    <m/>
  </r>
  <r>
    <x v="661"/>
    <x v="0"/>
    <x v="0"/>
    <x v="0"/>
    <x v="0"/>
    <m/>
  </r>
  <r>
    <x v="662"/>
    <x v="0"/>
    <x v="0"/>
    <x v="0"/>
    <x v="0"/>
    <m/>
  </r>
  <r>
    <x v="663"/>
    <x v="0"/>
    <x v="0"/>
    <x v="0"/>
    <x v="0"/>
    <m/>
  </r>
  <r>
    <x v="664"/>
    <x v="0"/>
    <x v="0"/>
    <x v="0"/>
    <x v="0"/>
    <m/>
  </r>
  <r>
    <x v="665"/>
    <x v="0"/>
    <x v="0"/>
    <x v="0"/>
    <x v="0"/>
    <m/>
  </r>
  <r>
    <x v="666"/>
    <x v="0"/>
    <x v="0"/>
    <x v="0"/>
    <x v="0"/>
    <m/>
  </r>
  <r>
    <x v="667"/>
    <x v="3"/>
    <x v="5"/>
    <x v="5"/>
    <x v="5"/>
    <m/>
  </r>
  <r>
    <x v="668"/>
    <x v="0"/>
    <x v="0"/>
    <x v="0"/>
    <x v="0"/>
    <m/>
  </r>
  <r>
    <x v="669"/>
    <x v="0"/>
    <x v="0"/>
    <x v="0"/>
    <x v="0"/>
    <m/>
  </r>
  <r>
    <x v="670"/>
    <x v="0"/>
    <x v="0"/>
    <x v="0"/>
    <x v="0"/>
    <m/>
  </r>
  <r>
    <x v="671"/>
    <x v="0"/>
    <x v="0"/>
    <x v="0"/>
    <x v="0"/>
    <m/>
  </r>
  <r>
    <x v="672"/>
    <x v="0"/>
    <x v="0"/>
    <x v="0"/>
    <x v="0"/>
    <m/>
  </r>
  <r>
    <x v="673"/>
    <x v="0"/>
    <x v="0"/>
    <x v="0"/>
    <x v="0"/>
    <m/>
  </r>
  <r>
    <x v="674"/>
    <x v="1"/>
    <x v="4"/>
    <x v="5"/>
    <x v="4"/>
    <m/>
  </r>
  <r>
    <x v="675"/>
    <x v="10"/>
    <x v="5"/>
    <x v="5"/>
    <x v="5"/>
    <m/>
  </r>
  <r>
    <x v="676"/>
    <x v="0"/>
    <x v="0"/>
    <x v="0"/>
    <x v="0"/>
    <m/>
  </r>
  <r>
    <x v="677"/>
    <x v="3"/>
    <x v="1"/>
    <x v="5"/>
    <x v="1"/>
    <m/>
  </r>
  <r>
    <x v="678"/>
    <x v="0"/>
    <x v="0"/>
    <x v="0"/>
    <x v="0"/>
    <m/>
  </r>
  <r>
    <x v="679"/>
    <x v="1"/>
    <x v="4"/>
    <x v="5"/>
    <x v="4"/>
    <m/>
  </r>
  <r>
    <x v="680"/>
    <x v="0"/>
    <x v="0"/>
    <x v="0"/>
    <x v="0"/>
    <m/>
  </r>
  <r>
    <x v="681"/>
    <x v="0"/>
    <x v="0"/>
    <x v="0"/>
    <x v="0"/>
    <m/>
  </r>
  <r>
    <x v="682"/>
    <x v="0"/>
    <x v="0"/>
    <x v="0"/>
    <x v="0"/>
    <m/>
  </r>
  <r>
    <x v="683"/>
    <x v="0"/>
    <x v="0"/>
    <x v="0"/>
    <x v="0"/>
    <m/>
  </r>
  <r>
    <x v="684"/>
    <x v="0"/>
    <x v="0"/>
    <x v="0"/>
    <x v="0"/>
    <m/>
  </r>
  <r>
    <x v="685"/>
    <x v="0"/>
    <x v="0"/>
    <x v="0"/>
    <x v="0"/>
    <m/>
  </r>
  <r>
    <x v="686"/>
    <x v="0"/>
    <x v="0"/>
    <x v="0"/>
    <x v="0"/>
    <m/>
  </r>
  <r>
    <x v="687"/>
    <x v="0"/>
    <x v="0"/>
    <x v="0"/>
    <x v="0"/>
    <m/>
  </r>
  <r>
    <x v="688"/>
    <x v="0"/>
    <x v="0"/>
    <x v="0"/>
    <x v="0"/>
    <m/>
  </r>
  <r>
    <x v="689"/>
    <x v="3"/>
    <x v="5"/>
    <x v="5"/>
    <x v="5"/>
    <m/>
  </r>
  <r>
    <x v="690"/>
    <x v="0"/>
    <x v="0"/>
    <x v="0"/>
    <x v="0"/>
    <m/>
  </r>
  <r>
    <x v="691"/>
    <x v="0"/>
    <x v="0"/>
    <x v="0"/>
    <x v="0"/>
    <m/>
  </r>
  <r>
    <x v="692"/>
    <x v="0"/>
    <x v="0"/>
    <x v="0"/>
    <x v="0"/>
    <m/>
  </r>
  <r>
    <x v="693"/>
    <x v="0"/>
    <x v="0"/>
    <x v="0"/>
    <x v="0"/>
    <m/>
  </r>
  <r>
    <x v="694"/>
    <x v="0"/>
    <x v="0"/>
    <x v="0"/>
    <x v="0"/>
    <m/>
  </r>
  <r>
    <x v="695"/>
    <x v="0"/>
    <x v="0"/>
    <x v="0"/>
    <x v="0"/>
    <m/>
  </r>
  <r>
    <x v="696"/>
    <x v="0"/>
    <x v="0"/>
    <x v="0"/>
    <x v="0"/>
    <m/>
  </r>
  <r>
    <x v="697"/>
    <x v="0"/>
    <x v="0"/>
    <x v="0"/>
    <x v="0"/>
    <m/>
  </r>
  <r>
    <x v="698"/>
    <x v="0"/>
    <x v="0"/>
    <x v="0"/>
    <x v="0"/>
    <m/>
  </r>
  <r>
    <x v="699"/>
    <x v="0"/>
    <x v="0"/>
    <x v="0"/>
    <x v="0"/>
    <m/>
  </r>
  <r>
    <x v="700"/>
    <x v="0"/>
    <x v="0"/>
    <x v="0"/>
    <x v="0"/>
    <m/>
  </r>
  <r>
    <x v="701"/>
    <x v="0"/>
    <x v="0"/>
    <x v="0"/>
    <x v="0"/>
    <m/>
  </r>
  <r>
    <x v="702"/>
    <x v="0"/>
    <x v="0"/>
    <x v="0"/>
    <x v="0"/>
    <m/>
  </r>
  <r>
    <x v="703"/>
    <x v="0"/>
    <x v="0"/>
    <x v="0"/>
    <x v="0"/>
    <m/>
  </r>
  <r>
    <x v="704"/>
    <x v="4"/>
    <x v="15"/>
    <x v="14"/>
    <x v="15"/>
    <m/>
  </r>
  <r>
    <x v="705"/>
    <x v="1"/>
    <x v="3"/>
    <x v="3"/>
    <x v="3"/>
    <m/>
  </r>
  <r>
    <x v="706"/>
    <x v="0"/>
    <x v="0"/>
    <x v="0"/>
    <x v="0"/>
    <m/>
  </r>
  <r>
    <x v="707"/>
    <x v="1"/>
    <x v="3"/>
    <x v="3"/>
    <x v="3"/>
    <m/>
  </r>
  <r>
    <x v="708"/>
    <x v="0"/>
    <x v="0"/>
    <x v="0"/>
    <x v="0"/>
    <m/>
  </r>
  <r>
    <x v="709"/>
    <x v="0"/>
    <x v="0"/>
    <x v="0"/>
    <x v="0"/>
    <m/>
  </r>
  <r>
    <x v="710"/>
    <x v="0"/>
    <x v="0"/>
    <x v="0"/>
    <x v="0"/>
    <m/>
  </r>
  <r>
    <x v="711"/>
    <x v="0"/>
    <x v="0"/>
    <x v="0"/>
    <x v="0"/>
    <m/>
  </r>
  <r>
    <x v="712"/>
    <x v="0"/>
    <x v="0"/>
    <x v="0"/>
    <x v="0"/>
    <m/>
  </r>
  <r>
    <x v="713"/>
    <x v="10"/>
    <x v="13"/>
    <x v="12"/>
    <x v="13"/>
    <m/>
  </r>
  <r>
    <x v="714"/>
    <x v="0"/>
    <x v="0"/>
    <x v="0"/>
    <x v="0"/>
    <m/>
  </r>
  <r>
    <x v="715"/>
    <x v="6"/>
    <x v="15"/>
    <x v="14"/>
    <x v="15"/>
    <m/>
  </r>
  <r>
    <x v="716"/>
    <x v="0"/>
    <x v="0"/>
    <x v="0"/>
    <x v="0"/>
    <m/>
  </r>
  <r>
    <x v="717"/>
    <x v="1"/>
    <x v="1"/>
    <x v="4"/>
    <x v="1"/>
    <m/>
  </r>
  <r>
    <x v="718"/>
    <x v="0"/>
    <x v="0"/>
    <x v="0"/>
    <x v="0"/>
    <m/>
  </r>
  <r>
    <x v="719"/>
    <x v="0"/>
    <x v="0"/>
    <x v="0"/>
    <x v="0"/>
    <m/>
  </r>
  <r>
    <x v="720"/>
    <x v="3"/>
    <x v="1"/>
    <x v="5"/>
    <x v="1"/>
    <m/>
  </r>
  <r>
    <x v="721"/>
    <x v="1"/>
    <x v="1"/>
    <x v="4"/>
    <x v="1"/>
    <m/>
  </r>
  <r>
    <x v="722"/>
    <x v="1"/>
    <x v="1"/>
    <x v="1"/>
    <x v="1"/>
    <m/>
  </r>
  <r>
    <x v="723"/>
    <x v="1"/>
    <x v="3"/>
    <x v="3"/>
    <x v="3"/>
    <m/>
  </r>
  <r>
    <x v="724"/>
    <x v="6"/>
    <x v="3"/>
    <x v="3"/>
    <x v="3"/>
    <m/>
  </r>
  <r>
    <x v="725"/>
    <x v="2"/>
    <x v="26"/>
    <x v="24"/>
    <x v="26"/>
    <m/>
  </r>
  <r>
    <x v="726"/>
    <x v="3"/>
    <x v="2"/>
    <x v="2"/>
    <x v="2"/>
    <m/>
  </r>
  <r>
    <x v="727"/>
    <x v="1"/>
    <x v="1"/>
    <x v="4"/>
    <x v="1"/>
    <m/>
  </r>
  <r>
    <x v="728"/>
    <x v="1"/>
    <x v="27"/>
    <x v="25"/>
    <x v="27"/>
    <m/>
  </r>
  <r>
    <x v="729"/>
    <x v="1"/>
    <x v="26"/>
    <x v="24"/>
    <x v="26"/>
    <m/>
  </r>
  <r>
    <x v="730"/>
    <x v="6"/>
    <x v="28"/>
    <x v="26"/>
    <x v="28"/>
    <m/>
  </r>
  <r>
    <x v="731"/>
    <x v="1"/>
    <x v="6"/>
    <x v="6"/>
    <x v="6"/>
    <m/>
  </r>
  <r>
    <x v="732"/>
    <x v="0"/>
    <x v="0"/>
    <x v="0"/>
    <x v="0"/>
    <m/>
  </r>
  <r>
    <x v="733"/>
    <x v="0"/>
    <x v="0"/>
    <x v="0"/>
    <x v="0"/>
    <m/>
  </r>
  <r>
    <x v="734"/>
    <x v="0"/>
    <x v="0"/>
    <x v="0"/>
    <x v="0"/>
    <m/>
  </r>
  <r>
    <x v="735"/>
    <x v="0"/>
    <x v="0"/>
    <x v="0"/>
    <x v="0"/>
    <m/>
  </r>
  <r>
    <x v="736"/>
    <x v="0"/>
    <x v="0"/>
    <x v="0"/>
    <x v="0"/>
    <m/>
  </r>
  <r>
    <x v="737"/>
    <x v="3"/>
    <x v="1"/>
    <x v="5"/>
    <x v="1"/>
    <m/>
  </r>
  <r>
    <x v="738"/>
    <x v="0"/>
    <x v="0"/>
    <x v="0"/>
    <x v="0"/>
    <m/>
  </r>
  <r>
    <x v="739"/>
    <x v="0"/>
    <x v="0"/>
    <x v="0"/>
    <x v="0"/>
    <m/>
  </r>
  <r>
    <x v="740"/>
    <x v="0"/>
    <x v="0"/>
    <x v="0"/>
    <x v="0"/>
    <m/>
  </r>
  <r>
    <x v="741"/>
    <x v="0"/>
    <x v="0"/>
    <x v="0"/>
    <x v="0"/>
    <m/>
  </r>
  <r>
    <x v="742"/>
    <x v="0"/>
    <x v="0"/>
    <x v="0"/>
    <x v="0"/>
    <m/>
  </r>
  <r>
    <x v="743"/>
    <x v="0"/>
    <x v="0"/>
    <x v="0"/>
    <x v="0"/>
    <m/>
  </r>
  <r>
    <x v="744"/>
    <x v="0"/>
    <x v="0"/>
    <x v="0"/>
    <x v="0"/>
    <m/>
  </r>
  <r>
    <x v="745"/>
    <x v="0"/>
    <x v="0"/>
    <x v="0"/>
    <x v="0"/>
    <m/>
  </r>
  <r>
    <x v="746"/>
    <x v="0"/>
    <x v="0"/>
    <x v="0"/>
    <x v="0"/>
    <m/>
  </r>
  <r>
    <x v="747"/>
    <x v="0"/>
    <x v="0"/>
    <x v="0"/>
    <x v="0"/>
    <m/>
  </r>
  <r>
    <x v="748"/>
    <x v="0"/>
    <x v="0"/>
    <x v="0"/>
    <x v="0"/>
    <m/>
  </r>
  <r>
    <x v="749"/>
    <x v="0"/>
    <x v="0"/>
    <x v="0"/>
    <x v="0"/>
    <m/>
  </r>
  <r>
    <x v="750"/>
    <x v="1"/>
    <x v="4"/>
    <x v="5"/>
    <x v="4"/>
    <m/>
  </r>
  <r>
    <x v="751"/>
    <x v="1"/>
    <x v="6"/>
    <x v="6"/>
    <x v="6"/>
    <m/>
  </r>
  <r>
    <x v="752"/>
    <x v="1"/>
    <x v="6"/>
    <x v="6"/>
    <x v="6"/>
    <m/>
  </r>
  <r>
    <x v="753"/>
    <x v="0"/>
    <x v="0"/>
    <x v="0"/>
    <x v="0"/>
    <m/>
  </r>
  <r>
    <x v="754"/>
    <x v="0"/>
    <x v="0"/>
    <x v="0"/>
    <x v="0"/>
    <m/>
  </r>
  <r>
    <x v="755"/>
    <x v="0"/>
    <x v="0"/>
    <x v="0"/>
    <x v="0"/>
    <m/>
  </r>
  <r>
    <x v="756"/>
    <x v="0"/>
    <x v="0"/>
    <x v="0"/>
    <x v="0"/>
    <m/>
  </r>
  <r>
    <x v="757"/>
    <x v="0"/>
    <x v="0"/>
    <x v="0"/>
    <x v="0"/>
    <m/>
  </r>
  <r>
    <x v="758"/>
    <x v="0"/>
    <x v="0"/>
    <x v="0"/>
    <x v="0"/>
    <m/>
  </r>
  <r>
    <x v="759"/>
    <x v="0"/>
    <x v="0"/>
    <x v="0"/>
    <x v="0"/>
    <m/>
  </r>
  <r>
    <x v="760"/>
    <x v="2"/>
    <x v="1"/>
    <x v="1"/>
    <x v="1"/>
    <m/>
  </r>
  <r>
    <x v="761"/>
    <x v="0"/>
    <x v="0"/>
    <x v="0"/>
    <x v="0"/>
    <m/>
  </r>
  <r>
    <x v="762"/>
    <x v="1"/>
    <x v="6"/>
    <x v="6"/>
    <x v="6"/>
    <m/>
  </r>
  <r>
    <x v="763"/>
    <x v="0"/>
    <x v="0"/>
    <x v="0"/>
    <x v="0"/>
    <m/>
  </r>
  <r>
    <x v="764"/>
    <x v="1"/>
    <x v="3"/>
    <x v="3"/>
    <x v="3"/>
    <m/>
  </r>
  <r>
    <x v="765"/>
    <x v="0"/>
    <x v="0"/>
    <x v="0"/>
    <x v="0"/>
    <m/>
  </r>
  <r>
    <x v="766"/>
    <x v="0"/>
    <x v="0"/>
    <x v="0"/>
    <x v="0"/>
    <m/>
  </r>
  <r>
    <x v="767"/>
    <x v="0"/>
    <x v="0"/>
    <x v="0"/>
    <x v="0"/>
    <m/>
  </r>
  <r>
    <x v="768"/>
    <x v="1"/>
    <x v="1"/>
    <x v="1"/>
    <x v="1"/>
    <m/>
  </r>
  <r>
    <x v="769"/>
    <x v="0"/>
    <x v="0"/>
    <x v="0"/>
    <x v="0"/>
    <m/>
  </r>
  <r>
    <x v="770"/>
    <x v="0"/>
    <x v="0"/>
    <x v="0"/>
    <x v="0"/>
    <m/>
  </r>
  <r>
    <x v="771"/>
    <x v="0"/>
    <x v="0"/>
    <x v="0"/>
    <x v="0"/>
    <m/>
  </r>
  <r>
    <x v="772"/>
    <x v="0"/>
    <x v="0"/>
    <x v="0"/>
    <x v="0"/>
    <m/>
  </r>
  <r>
    <x v="773"/>
    <x v="0"/>
    <x v="0"/>
    <x v="0"/>
    <x v="0"/>
    <m/>
  </r>
  <r>
    <x v="774"/>
    <x v="0"/>
    <x v="0"/>
    <x v="0"/>
    <x v="0"/>
    <m/>
  </r>
  <r>
    <x v="775"/>
    <x v="3"/>
    <x v="4"/>
    <x v="5"/>
    <x v="4"/>
    <m/>
  </r>
  <r>
    <x v="776"/>
    <x v="1"/>
    <x v="7"/>
    <x v="5"/>
    <x v="7"/>
    <m/>
  </r>
  <r>
    <x v="777"/>
    <x v="0"/>
    <x v="0"/>
    <x v="0"/>
    <x v="0"/>
    <m/>
  </r>
  <r>
    <x v="778"/>
    <x v="0"/>
    <x v="0"/>
    <x v="0"/>
    <x v="0"/>
    <m/>
  </r>
  <r>
    <x v="779"/>
    <x v="0"/>
    <x v="0"/>
    <x v="0"/>
    <x v="0"/>
    <m/>
  </r>
  <r>
    <x v="780"/>
    <x v="0"/>
    <x v="0"/>
    <x v="0"/>
    <x v="0"/>
    <m/>
  </r>
  <r>
    <x v="781"/>
    <x v="0"/>
    <x v="0"/>
    <x v="0"/>
    <x v="0"/>
    <m/>
  </r>
  <r>
    <x v="782"/>
    <x v="3"/>
    <x v="1"/>
    <x v="1"/>
    <x v="1"/>
    <m/>
  </r>
  <r>
    <x v="783"/>
    <x v="1"/>
    <x v="6"/>
    <x v="6"/>
    <x v="6"/>
    <m/>
  </r>
  <r>
    <x v="784"/>
    <x v="1"/>
    <x v="1"/>
    <x v="1"/>
    <x v="1"/>
    <m/>
  </r>
  <r>
    <x v="785"/>
    <x v="1"/>
    <x v="4"/>
    <x v="5"/>
    <x v="4"/>
    <m/>
  </r>
  <r>
    <x v="786"/>
    <x v="0"/>
    <x v="0"/>
    <x v="0"/>
    <x v="0"/>
    <m/>
  </r>
  <r>
    <x v="787"/>
    <x v="0"/>
    <x v="0"/>
    <x v="0"/>
    <x v="0"/>
    <m/>
  </r>
  <r>
    <x v="788"/>
    <x v="1"/>
    <x v="4"/>
    <x v="5"/>
    <x v="4"/>
    <m/>
  </r>
  <r>
    <x v="789"/>
    <x v="0"/>
    <x v="0"/>
    <x v="0"/>
    <x v="0"/>
    <m/>
  </r>
  <r>
    <x v="790"/>
    <x v="0"/>
    <x v="0"/>
    <x v="0"/>
    <x v="0"/>
    <m/>
  </r>
  <r>
    <x v="791"/>
    <x v="3"/>
    <x v="5"/>
    <x v="5"/>
    <x v="5"/>
    <m/>
  </r>
  <r>
    <x v="792"/>
    <x v="0"/>
    <x v="0"/>
    <x v="0"/>
    <x v="0"/>
    <m/>
  </r>
  <r>
    <x v="793"/>
    <x v="0"/>
    <x v="0"/>
    <x v="0"/>
    <x v="0"/>
    <m/>
  </r>
  <r>
    <x v="794"/>
    <x v="0"/>
    <x v="0"/>
    <x v="0"/>
    <x v="0"/>
    <m/>
  </r>
  <r>
    <x v="795"/>
    <x v="6"/>
    <x v="5"/>
    <x v="5"/>
    <x v="5"/>
    <m/>
  </r>
  <r>
    <x v="796"/>
    <x v="0"/>
    <x v="0"/>
    <x v="0"/>
    <x v="0"/>
    <m/>
  </r>
  <r>
    <x v="797"/>
    <x v="0"/>
    <x v="0"/>
    <x v="0"/>
    <x v="0"/>
    <m/>
  </r>
  <r>
    <x v="798"/>
    <x v="0"/>
    <x v="0"/>
    <x v="0"/>
    <x v="0"/>
    <m/>
  </r>
  <r>
    <x v="799"/>
    <x v="3"/>
    <x v="1"/>
    <x v="5"/>
    <x v="1"/>
    <m/>
  </r>
  <r>
    <x v="800"/>
    <x v="0"/>
    <x v="0"/>
    <x v="0"/>
    <x v="0"/>
    <m/>
  </r>
  <r>
    <x v="801"/>
    <x v="3"/>
    <x v="1"/>
    <x v="5"/>
    <x v="1"/>
    <m/>
  </r>
  <r>
    <x v="802"/>
    <x v="0"/>
    <x v="0"/>
    <x v="0"/>
    <x v="0"/>
    <m/>
  </r>
  <r>
    <x v="803"/>
    <x v="0"/>
    <x v="0"/>
    <x v="0"/>
    <x v="0"/>
    <m/>
  </r>
  <r>
    <x v="804"/>
    <x v="0"/>
    <x v="0"/>
    <x v="0"/>
    <x v="0"/>
    <m/>
  </r>
  <r>
    <x v="805"/>
    <x v="0"/>
    <x v="0"/>
    <x v="0"/>
    <x v="0"/>
    <m/>
  </r>
  <r>
    <x v="806"/>
    <x v="1"/>
    <x v="4"/>
    <x v="5"/>
    <x v="4"/>
    <m/>
  </r>
  <r>
    <x v="807"/>
    <x v="0"/>
    <x v="0"/>
    <x v="0"/>
    <x v="0"/>
    <m/>
  </r>
  <r>
    <x v="808"/>
    <x v="1"/>
    <x v="1"/>
    <x v="4"/>
    <x v="1"/>
    <m/>
  </r>
  <r>
    <x v="809"/>
    <x v="0"/>
    <x v="0"/>
    <x v="0"/>
    <x v="0"/>
    <m/>
  </r>
  <r>
    <x v="810"/>
    <x v="2"/>
    <x v="1"/>
    <x v="1"/>
    <x v="1"/>
    <m/>
  </r>
  <r>
    <x v="811"/>
    <x v="0"/>
    <x v="0"/>
    <x v="0"/>
    <x v="0"/>
    <m/>
  </r>
  <r>
    <x v="812"/>
    <x v="0"/>
    <x v="0"/>
    <x v="0"/>
    <x v="0"/>
    <m/>
  </r>
  <r>
    <x v="813"/>
    <x v="0"/>
    <x v="0"/>
    <x v="0"/>
    <x v="0"/>
    <m/>
  </r>
  <r>
    <x v="814"/>
    <x v="0"/>
    <x v="0"/>
    <x v="0"/>
    <x v="0"/>
    <m/>
  </r>
  <r>
    <x v="815"/>
    <x v="6"/>
    <x v="5"/>
    <x v="5"/>
    <x v="5"/>
    <m/>
  </r>
  <r>
    <x v="816"/>
    <x v="0"/>
    <x v="0"/>
    <x v="0"/>
    <x v="0"/>
    <m/>
  </r>
  <r>
    <x v="817"/>
    <x v="1"/>
    <x v="1"/>
    <x v="5"/>
    <x v="1"/>
    <m/>
  </r>
  <r>
    <x v="818"/>
    <x v="3"/>
    <x v="1"/>
    <x v="5"/>
    <x v="1"/>
    <m/>
  </r>
  <r>
    <x v="819"/>
    <x v="1"/>
    <x v="1"/>
    <x v="4"/>
    <x v="1"/>
    <m/>
  </r>
  <r>
    <x v="820"/>
    <x v="1"/>
    <x v="6"/>
    <x v="6"/>
    <x v="6"/>
    <m/>
  </r>
  <r>
    <x v="821"/>
    <x v="3"/>
    <x v="1"/>
    <x v="1"/>
    <x v="1"/>
    <m/>
  </r>
  <r>
    <x v="822"/>
    <x v="0"/>
    <x v="0"/>
    <x v="0"/>
    <x v="0"/>
    <m/>
  </r>
  <r>
    <x v="823"/>
    <x v="0"/>
    <x v="0"/>
    <x v="0"/>
    <x v="0"/>
    <m/>
  </r>
  <r>
    <x v="824"/>
    <x v="3"/>
    <x v="3"/>
    <x v="3"/>
    <x v="3"/>
    <m/>
  </r>
  <r>
    <x v="825"/>
    <x v="0"/>
    <x v="0"/>
    <x v="0"/>
    <x v="0"/>
    <m/>
  </r>
  <r>
    <x v="826"/>
    <x v="0"/>
    <x v="0"/>
    <x v="0"/>
    <x v="0"/>
    <m/>
  </r>
  <r>
    <x v="827"/>
    <x v="0"/>
    <x v="0"/>
    <x v="0"/>
    <x v="0"/>
    <m/>
  </r>
  <r>
    <x v="828"/>
    <x v="0"/>
    <x v="0"/>
    <x v="0"/>
    <x v="0"/>
    <m/>
  </r>
  <r>
    <x v="829"/>
    <x v="3"/>
    <x v="4"/>
    <x v="5"/>
    <x v="4"/>
    <m/>
  </r>
  <r>
    <x v="830"/>
    <x v="3"/>
    <x v="1"/>
    <x v="5"/>
    <x v="1"/>
    <m/>
  </r>
  <r>
    <x v="831"/>
    <x v="0"/>
    <x v="0"/>
    <x v="0"/>
    <x v="0"/>
    <m/>
  </r>
  <r>
    <x v="832"/>
    <x v="0"/>
    <x v="0"/>
    <x v="0"/>
    <x v="0"/>
    <m/>
  </r>
  <r>
    <x v="833"/>
    <x v="0"/>
    <x v="0"/>
    <x v="0"/>
    <x v="0"/>
    <m/>
  </r>
  <r>
    <x v="834"/>
    <x v="0"/>
    <x v="0"/>
    <x v="0"/>
    <x v="0"/>
    <m/>
  </r>
  <r>
    <x v="835"/>
    <x v="0"/>
    <x v="0"/>
    <x v="0"/>
    <x v="0"/>
    <m/>
  </r>
  <r>
    <x v="836"/>
    <x v="1"/>
    <x v="7"/>
    <x v="5"/>
    <x v="7"/>
    <m/>
  </r>
  <r>
    <x v="837"/>
    <x v="3"/>
    <x v="1"/>
    <x v="5"/>
    <x v="1"/>
    <m/>
  </r>
  <r>
    <x v="838"/>
    <x v="0"/>
    <x v="0"/>
    <x v="0"/>
    <x v="0"/>
    <m/>
  </r>
  <r>
    <x v="839"/>
    <x v="0"/>
    <x v="0"/>
    <x v="0"/>
    <x v="0"/>
    <m/>
  </r>
  <r>
    <x v="840"/>
    <x v="0"/>
    <x v="0"/>
    <x v="0"/>
    <x v="0"/>
    <m/>
  </r>
  <r>
    <x v="841"/>
    <x v="0"/>
    <x v="0"/>
    <x v="0"/>
    <x v="0"/>
    <m/>
  </r>
  <r>
    <x v="842"/>
    <x v="1"/>
    <x v="1"/>
    <x v="4"/>
    <x v="1"/>
    <m/>
  </r>
  <r>
    <x v="843"/>
    <x v="0"/>
    <x v="0"/>
    <x v="0"/>
    <x v="0"/>
    <m/>
  </r>
  <r>
    <x v="844"/>
    <x v="0"/>
    <x v="0"/>
    <x v="0"/>
    <x v="0"/>
    <m/>
  </r>
  <r>
    <x v="845"/>
    <x v="0"/>
    <x v="0"/>
    <x v="0"/>
    <x v="0"/>
    <m/>
  </r>
  <r>
    <x v="846"/>
    <x v="0"/>
    <x v="0"/>
    <x v="0"/>
    <x v="0"/>
    <m/>
  </r>
  <r>
    <x v="847"/>
    <x v="1"/>
    <x v="1"/>
    <x v="5"/>
    <x v="1"/>
    <m/>
  </r>
  <r>
    <x v="848"/>
    <x v="0"/>
    <x v="0"/>
    <x v="0"/>
    <x v="0"/>
    <m/>
  </r>
  <r>
    <x v="849"/>
    <x v="0"/>
    <x v="0"/>
    <x v="0"/>
    <x v="0"/>
    <m/>
  </r>
  <r>
    <x v="850"/>
    <x v="0"/>
    <x v="0"/>
    <x v="0"/>
    <x v="0"/>
    <m/>
  </r>
  <r>
    <x v="851"/>
    <x v="0"/>
    <x v="0"/>
    <x v="0"/>
    <x v="0"/>
    <m/>
  </r>
  <r>
    <x v="852"/>
    <x v="0"/>
    <x v="0"/>
    <x v="0"/>
    <x v="0"/>
    <m/>
  </r>
  <r>
    <x v="853"/>
    <x v="1"/>
    <x v="1"/>
    <x v="5"/>
    <x v="1"/>
    <m/>
  </r>
  <r>
    <x v="854"/>
    <x v="0"/>
    <x v="0"/>
    <x v="0"/>
    <x v="0"/>
    <m/>
  </r>
  <r>
    <x v="855"/>
    <x v="0"/>
    <x v="0"/>
    <x v="0"/>
    <x v="0"/>
    <m/>
  </r>
  <r>
    <x v="856"/>
    <x v="0"/>
    <x v="0"/>
    <x v="0"/>
    <x v="0"/>
    <m/>
  </r>
  <r>
    <x v="857"/>
    <x v="0"/>
    <x v="0"/>
    <x v="0"/>
    <x v="0"/>
    <m/>
  </r>
  <r>
    <x v="858"/>
    <x v="0"/>
    <x v="0"/>
    <x v="0"/>
    <x v="0"/>
    <m/>
  </r>
  <r>
    <x v="859"/>
    <x v="0"/>
    <x v="0"/>
    <x v="0"/>
    <x v="0"/>
    <m/>
  </r>
  <r>
    <x v="860"/>
    <x v="0"/>
    <x v="0"/>
    <x v="0"/>
    <x v="0"/>
    <m/>
  </r>
  <r>
    <x v="861"/>
    <x v="0"/>
    <x v="0"/>
    <x v="0"/>
    <x v="0"/>
    <m/>
  </r>
  <r>
    <x v="862"/>
    <x v="0"/>
    <x v="0"/>
    <x v="0"/>
    <x v="0"/>
    <m/>
  </r>
  <r>
    <x v="863"/>
    <x v="1"/>
    <x v="1"/>
    <x v="1"/>
    <x v="1"/>
    <m/>
  </r>
  <r>
    <x v="864"/>
    <x v="0"/>
    <x v="0"/>
    <x v="0"/>
    <x v="0"/>
    <m/>
  </r>
  <r>
    <x v="865"/>
    <x v="0"/>
    <x v="0"/>
    <x v="0"/>
    <x v="0"/>
    <m/>
  </r>
  <r>
    <x v="866"/>
    <x v="2"/>
    <x v="7"/>
    <x v="27"/>
    <x v="7"/>
    <m/>
  </r>
  <r>
    <x v="867"/>
    <x v="1"/>
    <x v="4"/>
    <x v="5"/>
    <x v="4"/>
    <m/>
  </r>
  <r>
    <x v="868"/>
    <x v="0"/>
    <x v="0"/>
    <x v="0"/>
    <x v="0"/>
    <m/>
  </r>
  <r>
    <x v="869"/>
    <x v="0"/>
    <x v="0"/>
    <x v="0"/>
    <x v="0"/>
    <m/>
  </r>
  <r>
    <x v="870"/>
    <x v="0"/>
    <x v="0"/>
    <x v="0"/>
    <x v="0"/>
    <m/>
  </r>
  <r>
    <x v="871"/>
    <x v="0"/>
    <x v="0"/>
    <x v="0"/>
    <x v="0"/>
    <m/>
  </r>
  <r>
    <x v="872"/>
    <x v="0"/>
    <x v="0"/>
    <x v="0"/>
    <x v="0"/>
    <m/>
  </r>
  <r>
    <x v="873"/>
    <x v="1"/>
    <x v="1"/>
    <x v="1"/>
    <x v="1"/>
    <m/>
  </r>
  <r>
    <x v="874"/>
    <x v="0"/>
    <x v="0"/>
    <x v="0"/>
    <x v="0"/>
    <m/>
  </r>
  <r>
    <x v="875"/>
    <x v="0"/>
    <x v="0"/>
    <x v="0"/>
    <x v="0"/>
    <m/>
  </r>
  <r>
    <x v="876"/>
    <x v="0"/>
    <x v="0"/>
    <x v="0"/>
    <x v="0"/>
    <m/>
  </r>
  <r>
    <x v="877"/>
    <x v="0"/>
    <x v="0"/>
    <x v="0"/>
    <x v="0"/>
    <m/>
  </r>
  <r>
    <x v="878"/>
    <x v="0"/>
    <x v="0"/>
    <x v="0"/>
    <x v="0"/>
    <m/>
  </r>
  <r>
    <x v="879"/>
    <x v="0"/>
    <x v="0"/>
    <x v="0"/>
    <x v="0"/>
    <m/>
  </r>
  <r>
    <x v="880"/>
    <x v="0"/>
    <x v="0"/>
    <x v="0"/>
    <x v="0"/>
    <m/>
  </r>
  <r>
    <x v="881"/>
    <x v="0"/>
    <x v="0"/>
    <x v="0"/>
    <x v="0"/>
    <m/>
  </r>
  <r>
    <x v="882"/>
    <x v="0"/>
    <x v="0"/>
    <x v="0"/>
    <x v="0"/>
    <m/>
  </r>
  <r>
    <x v="883"/>
    <x v="0"/>
    <x v="0"/>
    <x v="0"/>
    <x v="0"/>
    <m/>
  </r>
  <r>
    <x v="884"/>
    <x v="0"/>
    <x v="0"/>
    <x v="0"/>
    <x v="0"/>
    <m/>
  </r>
  <r>
    <x v="885"/>
    <x v="0"/>
    <x v="0"/>
    <x v="0"/>
    <x v="0"/>
    <m/>
  </r>
  <r>
    <x v="886"/>
    <x v="3"/>
    <x v="1"/>
    <x v="1"/>
    <x v="1"/>
    <m/>
  </r>
  <r>
    <x v="887"/>
    <x v="0"/>
    <x v="0"/>
    <x v="0"/>
    <x v="0"/>
    <m/>
  </r>
  <r>
    <x v="888"/>
    <x v="0"/>
    <x v="0"/>
    <x v="0"/>
    <x v="0"/>
    <m/>
  </r>
  <r>
    <x v="889"/>
    <x v="1"/>
    <x v="4"/>
    <x v="5"/>
    <x v="4"/>
    <m/>
  </r>
  <r>
    <x v="890"/>
    <x v="0"/>
    <x v="0"/>
    <x v="0"/>
    <x v="0"/>
    <m/>
  </r>
  <r>
    <x v="891"/>
    <x v="0"/>
    <x v="0"/>
    <x v="0"/>
    <x v="0"/>
    <m/>
  </r>
  <r>
    <x v="892"/>
    <x v="0"/>
    <x v="0"/>
    <x v="0"/>
    <x v="0"/>
    <m/>
  </r>
  <r>
    <x v="893"/>
    <x v="0"/>
    <x v="0"/>
    <x v="0"/>
    <x v="0"/>
    <m/>
  </r>
  <r>
    <x v="894"/>
    <x v="0"/>
    <x v="0"/>
    <x v="0"/>
    <x v="0"/>
    <m/>
  </r>
  <r>
    <x v="895"/>
    <x v="0"/>
    <x v="0"/>
    <x v="0"/>
    <x v="0"/>
    <m/>
  </r>
  <r>
    <x v="896"/>
    <x v="1"/>
    <x v="1"/>
    <x v="1"/>
    <x v="1"/>
    <m/>
  </r>
  <r>
    <x v="897"/>
    <x v="0"/>
    <x v="0"/>
    <x v="0"/>
    <x v="0"/>
    <m/>
  </r>
  <r>
    <x v="898"/>
    <x v="0"/>
    <x v="0"/>
    <x v="0"/>
    <x v="0"/>
    <m/>
  </r>
  <r>
    <x v="899"/>
    <x v="0"/>
    <x v="0"/>
    <x v="0"/>
    <x v="0"/>
    <m/>
  </r>
  <r>
    <x v="900"/>
    <x v="3"/>
    <x v="5"/>
    <x v="5"/>
    <x v="5"/>
    <m/>
  </r>
  <r>
    <x v="901"/>
    <x v="3"/>
    <x v="1"/>
    <x v="5"/>
    <x v="1"/>
    <m/>
  </r>
  <r>
    <x v="902"/>
    <x v="0"/>
    <x v="0"/>
    <x v="0"/>
    <x v="0"/>
    <m/>
  </r>
  <r>
    <x v="903"/>
    <x v="0"/>
    <x v="0"/>
    <x v="0"/>
    <x v="0"/>
    <m/>
  </r>
  <r>
    <x v="904"/>
    <x v="3"/>
    <x v="1"/>
    <x v="5"/>
    <x v="1"/>
    <m/>
  </r>
  <r>
    <x v="905"/>
    <x v="0"/>
    <x v="0"/>
    <x v="0"/>
    <x v="0"/>
    <m/>
  </r>
  <r>
    <x v="906"/>
    <x v="0"/>
    <x v="0"/>
    <x v="0"/>
    <x v="0"/>
    <m/>
  </r>
  <r>
    <x v="907"/>
    <x v="0"/>
    <x v="0"/>
    <x v="0"/>
    <x v="0"/>
    <m/>
  </r>
  <r>
    <x v="908"/>
    <x v="0"/>
    <x v="0"/>
    <x v="0"/>
    <x v="0"/>
    <m/>
  </r>
  <r>
    <x v="909"/>
    <x v="3"/>
    <x v="1"/>
    <x v="5"/>
    <x v="1"/>
    <m/>
  </r>
  <r>
    <x v="910"/>
    <x v="3"/>
    <x v="1"/>
    <x v="5"/>
    <x v="1"/>
    <m/>
  </r>
  <r>
    <x v="911"/>
    <x v="0"/>
    <x v="0"/>
    <x v="0"/>
    <x v="0"/>
    <m/>
  </r>
  <r>
    <x v="912"/>
    <x v="0"/>
    <x v="0"/>
    <x v="0"/>
    <x v="0"/>
    <m/>
  </r>
  <r>
    <x v="913"/>
    <x v="0"/>
    <x v="0"/>
    <x v="0"/>
    <x v="0"/>
    <m/>
  </r>
  <r>
    <x v="914"/>
    <x v="2"/>
    <x v="5"/>
    <x v="5"/>
    <x v="5"/>
    <m/>
  </r>
  <r>
    <x v="915"/>
    <x v="11"/>
    <x v="1"/>
    <x v="1"/>
    <x v="1"/>
    <m/>
  </r>
  <r>
    <x v="916"/>
    <x v="1"/>
    <x v="3"/>
    <x v="3"/>
    <x v="3"/>
    <m/>
  </r>
  <r>
    <x v="917"/>
    <x v="0"/>
    <x v="0"/>
    <x v="0"/>
    <x v="0"/>
    <m/>
  </r>
  <r>
    <x v="918"/>
    <x v="3"/>
    <x v="1"/>
    <x v="5"/>
    <x v="1"/>
    <m/>
  </r>
  <r>
    <x v="919"/>
    <x v="0"/>
    <x v="0"/>
    <x v="0"/>
    <x v="0"/>
    <m/>
  </r>
  <r>
    <x v="920"/>
    <x v="0"/>
    <x v="0"/>
    <x v="0"/>
    <x v="0"/>
    <m/>
  </r>
  <r>
    <x v="921"/>
    <x v="1"/>
    <x v="6"/>
    <x v="6"/>
    <x v="6"/>
    <m/>
  </r>
  <r>
    <x v="922"/>
    <x v="0"/>
    <x v="0"/>
    <x v="0"/>
    <x v="0"/>
    <m/>
  </r>
  <r>
    <x v="923"/>
    <x v="1"/>
    <x v="3"/>
    <x v="3"/>
    <x v="3"/>
    <m/>
  </r>
  <r>
    <x v="924"/>
    <x v="0"/>
    <x v="0"/>
    <x v="0"/>
    <x v="0"/>
    <m/>
  </r>
  <r>
    <x v="925"/>
    <x v="0"/>
    <x v="0"/>
    <x v="0"/>
    <x v="0"/>
    <m/>
  </r>
  <r>
    <x v="926"/>
    <x v="0"/>
    <x v="0"/>
    <x v="0"/>
    <x v="0"/>
    <m/>
  </r>
  <r>
    <x v="927"/>
    <x v="1"/>
    <x v="1"/>
    <x v="4"/>
    <x v="1"/>
    <m/>
  </r>
  <r>
    <x v="928"/>
    <x v="1"/>
    <x v="29"/>
    <x v="28"/>
    <x v="29"/>
    <m/>
  </r>
  <r>
    <x v="929"/>
    <x v="1"/>
    <x v="1"/>
    <x v="1"/>
    <x v="1"/>
    <m/>
  </r>
  <r>
    <x v="930"/>
    <x v="0"/>
    <x v="0"/>
    <x v="0"/>
    <x v="0"/>
    <m/>
  </r>
  <r>
    <x v="931"/>
    <x v="1"/>
    <x v="4"/>
    <x v="5"/>
    <x v="4"/>
    <m/>
  </r>
  <r>
    <x v="932"/>
    <x v="0"/>
    <x v="0"/>
    <x v="0"/>
    <x v="0"/>
    <m/>
  </r>
  <r>
    <x v="933"/>
    <x v="0"/>
    <x v="0"/>
    <x v="0"/>
    <x v="0"/>
    <m/>
  </r>
  <r>
    <x v="934"/>
    <x v="0"/>
    <x v="0"/>
    <x v="0"/>
    <x v="0"/>
    <m/>
  </r>
  <r>
    <x v="935"/>
    <x v="0"/>
    <x v="0"/>
    <x v="0"/>
    <x v="0"/>
    <m/>
  </r>
  <r>
    <x v="936"/>
    <x v="0"/>
    <x v="0"/>
    <x v="0"/>
    <x v="0"/>
    <m/>
  </r>
  <r>
    <x v="937"/>
    <x v="1"/>
    <x v="1"/>
    <x v="1"/>
    <x v="1"/>
    <m/>
  </r>
  <r>
    <x v="938"/>
    <x v="1"/>
    <x v="7"/>
    <x v="5"/>
    <x v="7"/>
    <m/>
  </r>
  <r>
    <x v="939"/>
    <x v="1"/>
    <x v="1"/>
    <x v="1"/>
    <x v="1"/>
    <m/>
  </r>
  <r>
    <x v="940"/>
    <x v="0"/>
    <x v="0"/>
    <x v="0"/>
    <x v="0"/>
    <m/>
  </r>
  <r>
    <x v="941"/>
    <x v="0"/>
    <x v="0"/>
    <x v="0"/>
    <x v="0"/>
    <m/>
  </r>
  <r>
    <x v="942"/>
    <x v="0"/>
    <x v="0"/>
    <x v="0"/>
    <x v="0"/>
    <m/>
  </r>
  <r>
    <x v="943"/>
    <x v="1"/>
    <x v="4"/>
    <x v="5"/>
    <x v="4"/>
    <m/>
  </r>
  <r>
    <x v="944"/>
    <x v="3"/>
    <x v="4"/>
    <x v="5"/>
    <x v="4"/>
    <m/>
  </r>
  <r>
    <x v="945"/>
    <x v="3"/>
    <x v="1"/>
    <x v="1"/>
    <x v="1"/>
    <m/>
  </r>
  <r>
    <x v="946"/>
    <x v="0"/>
    <x v="0"/>
    <x v="0"/>
    <x v="0"/>
    <m/>
  </r>
  <r>
    <x v="947"/>
    <x v="0"/>
    <x v="0"/>
    <x v="0"/>
    <x v="0"/>
    <m/>
  </r>
  <r>
    <x v="948"/>
    <x v="0"/>
    <x v="0"/>
    <x v="0"/>
    <x v="0"/>
    <m/>
  </r>
  <r>
    <x v="949"/>
    <x v="0"/>
    <x v="0"/>
    <x v="0"/>
    <x v="0"/>
    <m/>
  </r>
  <r>
    <x v="950"/>
    <x v="1"/>
    <x v="1"/>
    <x v="1"/>
    <x v="1"/>
    <m/>
  </r>
  <r>
    <x v="951"/>
    <x v="0"/>
    <x v="0"/>
    <x v="0"/>
    <x v="0"/>
    <m/>
  </r>
  <r>
    <x v="952"/>
    <x v="0"/>
    <x v="0"/>
    <x v="0"/>
    <x v="0"/>
    <m/>
  </r>
  <r>
    <x v="953"/>
    <x v="1"/>
    <x v="2"/>
    <x v="2"/>
    <x v="2"/>
    <m/>
  </r>
  <r>
    <x v="954"/>
    <x v="0"/>
    <x v="0"/>
    <x v="0"/>
    <x v="0"/>
    <m/>
  </r>
  <r>
    <x v="955"/>
    <x v="0"/>
    <x v="0"/>
    <x v="0"/>
    <x v="0"/>
    <m/>
  </r>
  <r>
    <x v="956"/>
    <x v="0"/>
    <x v="0"/>
    <x v="0"/>
    <x v="0"/>
    <m/>
  </r>
  <r>
    <x v="957"/>
    <x v="0"/>
    <x v="0"/>
    <x v="0"/>
    <x v="0"/>
    <m/>
  </r>
  <r>
    <x v="958"/>
    <x v="0"/>
    <x v="0"/>
    <x v="0"/>
    <x v="0"/>
    <m/>
  </r>
  <r>
    <x v="959"/>
    <x v="0"/>
    <x v="0"/>
    <x v="0"/>
    <x v="0"/>
    <m/>
  </r>
  <r>
    <x v="960"/>
    <x v="0"/>
    <x v="0"/>
    <x v="0"/>
    <x v="0"/>
    <m/>
  </r>
  <r>
    <x v="961"/>
    <x v="3"/>
    <x v="1"/>
    <x v="5"/>
    <x v="1"/>
    <m/>
  </r>
  <r>
    <x v="962"/>
    <x v="0"/>
    <x v="0"/>
    <x v="0"/>
    <x v="0"/>
    <m/>
  </r>
  <r>
    <x v="963"/>
    <x v="0"/>
    <x v="0"/>
    <x v="0"/>
    <x v="0"/>
    <m/>
  </r>
  <r>
    <x v="964"/>
    <x v="0"/>
    <x v="0"/>
    <x v="0"/>
    <x v="0"/>
    <m/>
  </r>
  <r>
    <x v="965"/>
    <x v="0"/>
    <x v="0"/>
    <x v="0"/>
    <x v="0"/>
    <m/>
  </r>
  <r>
    <x v="966"/>
    <x v="0"/>
    <x v="0"/>
    <x v="0"/>
    <x v="0"/>
    <m/>
  </r>
  <r>
    <x v="967"/>
    <x v="0"/>
    <x v="0"/>
    <x v="0"/>
    <x v="0"/>
    <m/>
  </r>
  <r>
    <x v="968"/>
    <x v="0"/>
    <x v="0"/>
    <x v="0"/>
    <x v="0"/>
    <m/>
  </r>
  <r>
    <x v="969"/>
    <x v="0"/>
    <x v="0"/>
    <x v="0"/>
    <x v="0"/>
    <m/>
  </r>
  <r>
    <x v="970"/>
    <x v="0"/>
    <x v="0"/>
    <x v="0"/>
    <x v="0"/>
    <m/>
  </r>
  <r>
    <x v="971"/>
    <x v="0"/>
    <x v="0"/>
    <x v="0"/>
    <x v="0"/>
    <m/>
  </r>
  <r>
    <x v="972"/>
    <x v="0"/>
    <x v="0"/>
    <x v="0"/>
    <x v="0"/>
    <m/>
  </r>
  <r>
    <x v="973"/>
    <x v="0"/>
    <x v="0"/>
    <x v="0"/>
    <x v="0"/>
    <m/>
  </r>
  <r>
    <x v="974"/>
    <x v="0"/>
    <x v="0"/>
    <x v="0"/>
    <x v="0"/>
    <m/>
  </r>
  <r>
    <x v="975"/>
    <x v="0"/>
    <x v="0"/>
    <x v="0"/>
    <x v="0"/>
    <m/>
  </r>
  <r>
    <x v="976"/>
    <x v="1"/>
    <x v="1"/>
    <x v="4"/>
    <x v="1"/>
    <m/>
  </r>
  <r>
    <x v="977"/>
    <x v="0"/>
    <x v="0"/>
    <x v="0"/>
    <x v="0"/>
    <m/>
  </r>
  <r>
    <x v="978"/>
    <x v="0"/>
    <x v="0"/>
    <x v="0"/>
    <x v="0"/>
    <m/>
  </r>
  <r>
    <x v="979"/>
    <x v="0"/>
    <x v="0"/>
    <x v="0"/>
    <x v="0"/>
    <m/>
  </r>
  <r>
    <x v="980"/>
    <x v="0"/>
    <x v="0"/>
    <x v="0"/>
    <x v="0"/>
    <m/>
  </r>
  <r>
    <x v="981"/>
    <x v="0"/>
    <x v="0"/>
    <x v="0"/>
    <x v="0"/>
    <m/>
  </r>
  <r>
    <x v="982"/>
    <x v="0"/>
    <x v="0"/>
    <x v="0"/>
    <x v="0"/>
    <m/>
  </r>
  <r>
    <x v="983"/>
    <x v="0"/>
    <x v="0"/>
    <x v="0"/>
    <x v="0"/>
    <m/>
  </r>
  <r>
    <x v="984"/>
    <x v="0"/>
    <x v="0"/>
    <x v="0"/>
    <x v="0"/>
    <m/>
  </r>
  <r>
    <x v="985"/>
    <x v="0"/>
    <x v="0"/>
    <x v="0"/>
    <x v="0"/>
    <m/>
  </r>
  <r>
    <x v="986"/>
    <x v="2"/>
    <x v="26"/>
    <x v="24"/>
    <x v="26"/>
    <m/>
  </r>
  <r>
    <x v="987"/>
    <x v="1"/>
    <x v="3"/>
    <x v="3"/>
    <x v="3"/>
    <m/>
  </r>
  <r>
    <x v="988"/>
    <x v="0"/>
    <x v="0"/>
    <x v="0"/>
    <x v="0"/>
    <m/>
  </r>
  <r>
    <x v="989"/>
    <x v="0"/>
    <x v="0"/>
    <x v="0"/>
    <x v="0"/>
    <m/>
  </r>
  <r>
    <x v="990"/>
    <x v="0"/>
    <x v="0"/>
    <x v="0"/>
    <x v="0"/>
    <m/>
  </r>
  <r>
    <x v="991"/>
    <x v="0"/>
    <x v="0"/>
    <x v="0"/>
    <x v="0"/>
    <m/>
  </r>
  <r>
    <x v="992"/>
    <x v="0"/>
    <x v="0"/>
    <x v="0"/>
    <x v="0"/>
    <m/>
  </r>
  <r>
    <x v="993"/>
    <x v="1"/>
    <x v="1"/>
    <x v="5"/>
    <x v="1"/>
    <m/>
  </r>
  <r>
    <x v="994"/>
    <x v="1"/>
    <x v="4"/>
    <x v="5"/>
    <x v="4"/>
    <m/>
  </r>
  <r>
    <x v="995"/>
    <x v="0"/>
    <x v="0"/>
    <x v="0"/>
    <x v="0"/>
    <m/>
  </r>
  <r>
    <x v="996"/>
    <x v="1"/>
    <x v="1"/>
    <x v="5"/>
    <x v="1"/>
    <m/>
  </r>
  <r>
    <x v="997"/>
    <x v="0"/>
    <x v="0"/>
    <x v="0"/>
    <x v="0"/>
    <m/>
  </r>
  <r>
    <x v="998"/>
    <x v="0"/>
    <x v="0"/>
    <x v="0"/>
    <x v="0"/>
    <m/>
  </r>
  <r>
    <x v="999"/>
    <x v="0"/>
    <x v="0"/>
    <x v="0"/>
    <x v="0"/>
    <m/>
  </r>
  <r>
    <x v="1000"/>
    <x v="0"/>
    <x v="0"/>
    <x v="0"/>
    <x v="0"/>
    <m/>
  </r>
  <r>
    <x v="1001"/>
    <x v="0"/>
    <x v="0"/>
    <x v="0"/>
    <x v="0"/>
    <m/>
  </r>
  <r>
    <x v="1002"/>
    <x v="0"/>
    <x v="0"/>
    <x v="0"/>
    <x v="0"/>
    <m/>
  </r>
  <r>
    <x v="1003"/>
    <x v="0"/>
    <x v="0"/>
    <x v="0"/>
    <x v="0"/>
    <m/>
  </r>
  <r>
    <x v="1004"/>
    <x v="0"/>
    <x v="0"/>
    <x v="0"/>
    <x v="0"/>
    <m/>
  </r>
  <r>
    <x v="1005"/>
    <x v="0"/>
    <x v="0"/>
    <x v="0"/>
    <x v="0"/>
    <m/>
  </r>
  <r>
    <x v="1006"/>
    <x v="0"/>
    <x v="0"/>
    <x v="0"/>
    <x v="0"/>
    <m/>
  </r>
  <r>
    <x v="1007"/>
    <x v="0"/>
    <x v="0"/>
    <x v="0"/>
    <x v="0"/>
    <m/>
  </r>
  <r>
    <x v="1008"/>
    <x v="0"/>
    <x v="0"/>
    <x v="0"/>
    <x v="0"/>
    <m/>
  </r>
  <r>
    <x v="1009"/>
    <x v="0"/>
    <x v="0"/>
    <x v="0"/>
    <x v="0"/>
    <m/>
  </r>
  <r>
    <x v="1010"/>
    <x v="0"/>
    <x v="0"/>
    <x v="0"/>
    <x v="0"/>
    <m/>
  </r>
  <r>
    <x v="1011"/>
    <x v="0"/>
    <x v="0"/>
    <x v="0"/>
    <x v="0"/>
    <m/>
  </r>
  <r>
    <x v="1012"/>
    <x v="0"/>
    <x v="0"/>
    <x v="0"/>
    <x v="0"/>
    <m/>
  </r>
  <r>
    <x v="1013"/>
    <x v="0"/>
    <x v="0"/>
    <x v="0"/>
    <x v="0"/>
    <m/>
  </r>
  <r>
    <x v="1014"/>
    <x v="0"/>
    <x v="0"/>
    <x v="0"/>
    <x v="0"/>
    <m/>
  </r>
  <r>
    <x v="1015"/>
    <x v="0"/>
    <x v="0"/>
    <x v="0"/>
    <x v="0"/>
    <m/>
  </r>
  <r>
    <x v="1016"/>
    <x v="0"/>
    <x v="0"/>
    <x v="0"/>
    <x v="0"/>
    <m/>
  </r>
  <r>
    <x v="1017"/>
    <x v="0"/>
    <x v="0"/>
    <x v="0"/>
    <x v="0"/>
    <m/>
  </r>
  <r>
    <x v="1018"/>
    <x v="0"/>
    <x v="0"/>
    <x v="0"/>
    <x v="0"/>
    <m/>
  </r>
  <r>
    <x v="1019"/>
    <x v="0"/>
    <x v="0"/>
    <x v="0"/>
    <x v="0"/>
    <m/>
  </r>
  <r>
    <x v="1020"/>
    <x v="1"/>
    <x v="1"/>
    <x v="5"/>
    <x v="1"/>
    <m/>
  </r>
  <r>
    <x v="1021"/>
    <x v="0"/>
    <x v="0"/>
    <x v="0"/>
    <x v="0"/>
    <m/>
  </r>
  <r>
    <x v="1022"/>
    <x v="0"/>
    <x v="0"/>
    <x v="0"/>
    <x v="0"/>
    <m/>
  </r>
  <r>
    <x v="1023"/>
    <x v="1"/>
    <x v="4"/>
    <x v="5"/>
    <x v="4"/>
    <m/>
  </r>
  <r>
    <x v="1024"/>
    <x v="0"/>
    <x v="0"/>
    <x v="0"/>
    <x v="0"/>
    <m/>
  </r>
  <r>
    <x v="1025"/>
    <x v="0"/>
    <x v="0"/>
    <x v="0"/>
    <x v="0"/>
    <m/>
  </r>
  <r>
    <x v="1026"/>
    <x v="0"/>
    <x v="0"/>
    <x v="0"/>
    <x v="0"/>
    <m/>
  </r>
  <r>
    <x v="1027"/>
    <x v="0"/>
    <x v="0"/>
    <x v="0"/>
    <x v="0"/>
    <m/>
  </r>
  <r>
    <x v="1028"/>
    <x v="0"/>
    <x v="0"/>
    <x v="0"/>
    <x v="0"/>
    <m/>
  </r>
  <r>
    <x v="1029"/>
    <x v="0"/>
    <x v="0"/>
    <x v="0"/>
    <x v="0"/>
    <m/>
  </r>
  <r>
    <x v="1030"/>
    <x v="0"/>
    <x v="0"/>
    <x v="0"/>
    <x v="0"/>
    <m/>
  </r>
  <r>
    <x v="1031"/>
    <x v="0"/>
    <x v="0"/>
    <x v="0"/>
    <x v="0"/>
    <m/>
  </r>
  <r>
    <x v="1032"/>
    <x v="0"/>
    <x v="0"/>
    <x v="0"/>
    <x v="0"/>
    <m/>
  </r>
  <r>
    <x v="1033"/>
    <x v="1"/>
    <x v="4"/>
    <x v="5"/>
    <x v="4"/>
    <m/>
  </r>
  <r>
    <x v="1034"/>
    <x v="0"/>
    <x v="0"/>
    <x v="0"/>
    <x v="0"/>
    <m/>
  </r>
  <r>
    <x v="1035"/>
    <x v="0"/>
    <x v="0"/>
    <x v="0"/>
    <x v="0"/>
    <m/>
  </r>
  <r>
    <x v="1036"/>
    <x v="0"/>
    <x v="0"/>
    <x v="0"/>
    <x v="0"/>
    <m/>
  </r>
  <r>
    <x v="1037"/>
    <x v="6"/>
    <x v="5"/>
    <x v="5"/>
    <x v="5"/>
    <m/>
  </r>
  <r>
    <x v="1038"/>
    <x v="0"/>
    <x v="0"/>
    <x v="0"/>
    <x v="0"/>
    <m/>
  </r>
  <r>
    <x v="1039"/>
    <x v="0"/>
    <x v="0"/>
    <x v="0"/>
    <x v="0"/>
    <m/>
  </r>
  <r>
    <x v="1040"/>
    <x v="1"/>
    <x v="1"/>
    <x v="4"/>
    <x v="1"/>
    <m/>
  </r>
  <r>
    <x v="1041"/>
    <x v="1"/>
    <x v="1"/>
    <x v="5"/>
    <x v="1"/>
    <m/>
  </r>
  <r>
    <x v="1042"/>
    <x v="0"/>
    <x v="0"/>
    <x v="0"/>
    <x v="0"/>
    <m/>
  </r>
  <r>
    <x v="1043"/>
    <x v="0"/>
    <x v="0"/>
    <x v="0"/>
    <x v="0"/>
    <m/>
  </r>
  <r>
    <x v="1044"/>
    <x v="0"/>
    <x v="0"/>
    <x v="0"/>
    <x v="0"/>
    <m/>
  </r>
  <r>
    <x v="1045"/>
    <x v="0"/>
    <x v="0"/>
    <x v="0"/>
    <x v="0"/>
    <m/>
  </r>
  <r>
    <x v="1046"/>
    <x v="0"/>
    <x v="0"/>
    <x v="0"/>
    <x v="0"/>
    <m/>
  </r>
  <r>
    <x v="1047"/>
    <x v="1"/>
    <x v="1"/>
    <x v="4"/>
    <x v="1"/>
    <m/>
  </r>
  <r>
    <x v="1048"/>
    <x v="0"/>
    <x v="0"/>
    <x v="0"/>
    <x v="0"/>
    <m/>
  </r>
  <r>
    <x v="1049"/>
    <x v="1"/>
    <x v="7"/>
    <x v="5"/>
    <x v="7"/>
    <m/>
  </r>
  <r>
    <x v="1050"/>
    <x v="11"/>
    <x v="5"/>
    <x v="5"/>
    <x v="5"/>
    <m/>
  </r>
  <r>
    <x v="1051"/>
    <x v="0"/>
    <x v="0"/>
    <x v="0"/>
    <x v="0"/>
    <m/>
  </r>
  <r>
    <x v="1052"/>
    <x v="1"/>
    <x v="2"/>
    <x v="2"/>
    <x v="2"/>
    <m/>
  </r>
  <r>
    <x v="1053"/>
    <x v="0"/>
    <x v="0"/>
    <x v="0"/>
    <x v="0"/>
    <m/>
  </r>
  <r>
    <x v="1054"/>
    <x v="1"/>
    <x v="6"/>
    <x v="6"/>
    <x v="6"/>
    <m/>
  </r>
  <r>
    <x v="1055"/>
    <x v="0"/>
    <x v="0"/>
    <x v="0"/>
    <x v="0"/>
    <m/>
  </r>
  <r>
    <x v="1056"/>
    <x v="0"/>
    <x v="0"/>
    <x v="0"/>
    <x v="0"/>
    <m/>
  </r>
  <r>
    <x v="1057"/>
    <x v="1"/>
    <x v="1"/>
    <x v="4"/>
    <x v="1"/>
    <m/>
  </r>
  <r>
    <x v="1058"/>
    <x v="0"/>
    <x v="0"/>
    <x v="0"/>
    <x v="0"/>
    <m/>
  </r>
  <r>
    <x v="1059"/>
    <x v="0"/>
    <x v="0"/>
    <x v="0"/>
    <x v="0"/>
    <m/>
  </r>
  <r>
    <x v="1060"/>
    <x v="12"/>
    <x v="2"/>
    <x v="2"/>
    <x v="2"/>
    <m/>
  </r>
  <r>
    <x v="1061"/>
    <x v="0"/>
    <x v="0"/>
    <x v="0"/>
    <x v="0"/>
    <m/>
  </r>
  <r>
    <x v="1062"/>
    <x v="1"/>
    <x v="2"/>
    <x v="2"/>
    <x v="2"/>
    <m/>
  </r>
  <r>
    <x v="1063"/>
    <x v="1"/>
    <x v="30"/>
    <x v="29"/>
    <x v="30"/>
    <m/>
  </r>
  <r>
    <x v="1064"/>
    <x v="1"/>
    <x v="30"/>
    <x v="29"/>
    <x v="30"/>
    <m/>
  </r>
  <r>
    <x v="1065"/>
    <x v="0"/>
    <x v="0"/>
    <x v="0"/>
    <x v="0"/>
    <m/>
  </r>
  <r>
    <x v="1066"/>
    <x v="0"/>
    <x v="0"/>
    <x v="0"/>
    <x v="0"/>
    <m/>
  </r>
  <r>
    <x v="1067"/>
    <x v="1"/>
    <x v="6"/>
    <x v="6"/>
    <x v="6"/>
    <m/>
  </r>
  <r>
    <x v="1068"/>
    <x v="0"/>
    <x v="0"/>
    <x v="0"/>
    <x v="0"/>
    <m/>
  </r>
  <r>
    <x v="1069"/>
    <x v="0"/>
    <x v="0"/>
    <x v="0"/>
    <x v="0"/>
    <m/>
  </r>
  <r>
    <x v="1070"/>
    <x v="3"/>
    <x v="4"/>
    <x v="5"/>
    <x v="4"/>
    <m/>
  </r>
  <r>
    <x v="1071"/>
    <x v="1"/>
    <x v="4"/>
    <x v="5"/>
    <x v="4"/>
    <m/>
  </r>
  <r>
    <x v="1072"/>
    <x v="0"/>
    <x v="0"/>
    <x v="0"/>
    <x v="0"/>
    <m/>
  </r>
  <r>
    <x v="1073"/>
    <x v="1"/>
    <x v="11"/>
    <x v="10"/>
    <x v="11"/>
    <m/>
  </r>
  <r>
    <x v="1074"/>
    <x v="0"/>
    <x v="0"/>
    <x v="0"/>
    <x v="0"/>
    <m/>
  </r>
  <r>
    <x v="1075"/>
    <x v="0"/>
    <x v="0"/>
    <x v="0"/>
    <x v="0"/>
    <m/>
  </r>
  <r>
    <x v="1076"/>
    <x v="0"/>
    <x v="0"/>
    <x v="0"/>
    <x v="0"/>
    <m/>
  </r>
  <r>
    <x v="1077"/>
    <x v="1"/>
    <x v="26"/>
    <x v="24"/>
    <x v="26"/>
    <m/>
  </r>
  <r>
    <x v="1078"/>
    <x v="1"/>
    <x v="15"/>
    <x v="14"/>
    <x v="15"/>
    <m/>
  </r>
  <r>
    <x v="1079"/>
    <x v="0"/>
    <x v="0"/>
    <x v="0"/>
    <x v="0"/>
    <m/>
  </r>
  <r>
    <x v="1080"/>
    <x v="1"/>
    <x v="31"/>
    <x v="30"/>
    <x v="31"/>
    <m/>
  </r>
  <r>
    <x v="1081"/>
    <x v="1"/>
    <x v="28"/>
    <x v="26"/>
    <x v="28"/>
    <m/>
  </r>
  <r>
    <x v="1082"/>
    <x v="1"/>
    <x v="20"/>
    <x v="18"/>
    <x v="20"/>
    <m/>
  </r>
  <r>
    <x v="1083"/>
    <x v="1"/>
    <x v="19"/>
    <x v="17"/>
    <x v="19"/>
    <m/>
  </r>
  <r>
    <x v="1084"/>
    <x v="2"/>
    <x v="3"/>
    <x v="3"/>
    <x v="3"/>
    <m/>
  </r>
  <r>
    <x v="1085"/>
    <x v="13"/>
    <x v="2"/>
    <x v="2"/>
    <x v="2"/>
    <m/>
  </r>
  <r>
    <x v="1086"/>
    <x v="1"/>
    <x v="22"/>
    <x v="20"/>
    <x v="22"/>
    <m/>
  </r>
  <r>
    <x v="1087"/>
    <x v="0"/>
    <x v="0"/>
    <x v="0"/>
    <x v="0"/>
    <m/>
  </r>
  <r>
    <x v="1088"/>
    <x v="6"/>
    <x v="2"/>
    <x v="2"/>
    <x v="2"/>
    <m/>
  </r>
  <r>
    <x v="1089"/>
    <x v="1"/>
    <x v="4"/>
    <x v="5"/>
    <x v="4"/>
    <m/>
  </r>
  <r>
    <x v="1090"/>
    <x v="1"/>
    <x v="4"/>
    <x v="5"/>
    <x v="4"/>
    <m/>
  </r>
  <r>
    <x v="1091"/>
    <x v="0"/>
    <x v="0"/>
    <x v="0"/>
    <x v="0"/>
    <m/>
  </r>
  <r>
    <x v="1092"/>
    <x v="0"/>
    <x v="0"/>
    <x v="0"/>
    <x v="0"/>
    <m/>
  </r>
  <r>
    <x v="1093"/>
    <x v="1"/>
    <x v="1"/>
    <x v="5"/>
    <x v="1"/>
    <m/>
  </r>
  <r>
    <x v="1094"/>
    <x v="0"/>
    <x v="0"/>
    <x v="0"/>
    <x v="0"/>
    <m/>
  </r>
  <r>
    <x v="1095"/>
    <x v="0"/>
    <x v="0"/>
    <x v="0"/>
    <x v="0"/>
    <m/>
  </r>
  <r>
    <x v="1096"/>
    <x v="0"/>
    <x v="0"/>
    <x v="0"/>
    <x v="0"/>
    <m/>
  </r>
  <r>
    <x v="1097"/>
    <x v="0"/>
    <x v="0"/>
    <x v="0"/>
    <x v="0"/>
    <m/>
  </r>
  <r>
    <x v="1098"/>
    <x v="0"/>
    <x v="0"/>
    <x v="0"/>
    <x v="0"/>
    <m/>
  </r>
  <r>
    <x v="1099"/>
    <x v="0"/>
    <x v="0"/>
    <x v="0"/>
    <x v="0"/>
    <m/>
  </r>
  <r>
    <x v="1100"/>
    <x v="0"/>
    <x v="0"/>
    <x v="0"/>
    <x v="0"/>
    <m/>
  </r>
  <r>
    <x v="1101"/>
    <x v="0"/>
    <x v="0"/>
    <x v="0"/>
    <x v="0"/>
    <m/>
  </r>
  <r>
    <x v="1102"/>
    <x v="0"/>
    <x v="0"/>
    <x v="0"/>
    <x v="0"/>
    <m/>
  </r>
  <r>
    <x v="1103"/>
    <x v="1"/>
    <x v="1"/>
    <x v="4"/>
    <x v="1"/>
    <m/>
  </r>
  <r>
    <x v="1104"/>
    <x v="0"/>
    <x v="0"/>
    <x v="0"/>
    <x v="0"/>
    <m/>
  </r>
  <r>
    <x v="1105"/>
    <x v="1"/>
    <x v="4"/>
    <x v="5"/>
    <x v="4"/>
    <m/>
  </r>
  <r>
    <x v="1106"/>
    <x v="1"/>
    <x v="6"/>
    <x v="6"/>
    <x v="6"/>
    <m/>
  </r>
  <r>
    <x v="1107"/>
    <x v="0"/>
    <x v="0"/>
    <x v="0"/>
    <x v="0"/>
    <m/>
  </r>
  <r>
    <x v="1108"/>
    <x v="1"/>
    <x v="6"/>
    <x v="6"/>
    <x v="6"/>
    <m/>
  </r>
  <r>
    <x v="1109"/>
    <x v="1"/>
    <x v="6"/>
    <x v="6"/>
    <x v="6"/>
    <m/>
  </r>
  <r>
    <x v="1110"/>
    <x v="6"/>
    <x v="5"/>
    <x v="5"/>
    <x v="5"/>
    <m/>
  </r>
  <r>
    <x v="1111"/>
    <x v="3"/>
    <x v="4"/>
    <x v="5"/>
    <x v="4"/>
    <m/>
  </r>
  <r>
    <x v="1112"/>
    <x v="0"/>
    <x v="0"/>
    <x v="0"/>
    <x v="0"/>
    <m/>
  </r>
  <r>
    <x v="1113"/>
    <x v="1"/>
    <x v="1"/>
    <x v="4"/>
    <x v="1"/>
    <m/>
  </r>
  <r>
    <x v="1114"/>
    <x v="0"/>
    <x v="0"/>
    <x v="0"/>
    <x v="0"/>
    <m/>
  </r>
  <r>
    <x v="1115"/>
    <x v="3"/>
    <x v="1"/>
    <x v="5"/>
    <x v="1"/>
    <m/>
  </r>
  <r>
    <x v="1116"/>
    <x v="0"/>
    <x v="0"/>
    <x v="0"/>
    <x v="0"/>
    <m/>
  </r>
  <r>
    <x v="1117"/>
    <x v="0"/>
    <x v="0"/>
    <x v="0"/>
    <x v="0"/>
    <m/>
  </r>
  <r>
    <x v="1118"/>
    <x v="0"/>
    <x v="0"/>
    <x v="0"/>
    <x v="0"/>
    <m/>
  </r>
  <r>
    <x v="1119"/>
    <x v="0"/>
    <x v="0"/>
    <x v="0"/>
    <x v="0"/>
    <m/>
  </r>
  <r>
    <x v="1120"/>
    <x v="1"/>
    <x v="1"/>
    <x v="1"/>
    <x v="1"/>
    <m/>
  </r>
  <r>
    <x v="1121"/>
    <x v="3"/>
    <x v="3"/>
    <x v="3"/>
    <x v="3"/>
    <m/>
  </r>
  <r>
    <x v="1122"/>
    <x v="3"/>
    <x v="7"/>
    <x v="5"/>
    <x v="7"/>
    <m/>
  </r>
  <r>
    <x v="1123"/>
    <x v="0"/>
    <x v="0"/>
    <x v="0"/>
    <x v="0"/>
    <m/>
  </r>
  <r>
    <x v="1124"/>
    <x v="0"/>
    <x v="0"/>
    <x v="0"/>
    <x v="0"/>
    <m/>
  </r>
  <r>
    <x v="1125"/>
    <x v="1"/>
    <x v="1"/>
    <x v="5"/>
    <x v="1"/>
    <m/>
  </r>
  <r>
    <x v="1126"/>
    <x v="3"/>
    <x v="1"/>
    <x v="5"/>
    <x v="1"/>
    <m/>
  </r>
  <r>
    <x v="1127"/>
    <x v="0"/>
    <x v="0"/>
    <x v="0"/>
    <x v="0"/>
    <m/>
  </r>
  <r>
    <x v="1128"/>
    <x v="0"/>
    <x v="0"/>
    <x v="0"/>
    <x v="0"/>
    <m/>
  </r>
  <r>
    <x v="1129"/>
    <x v="0"/>
    <x v="0"/>
    <x v="0"/>
    <x v="0"/>
    <m/>
  </r>
  <r>
    <x v="1130"/>
    <x v="0"/>
    <x v="0"/>
    <x v="0"/>
    <x v="0"/>
    <m/>
  </r>
  <r>
    <x v="1131"/>
    <x v="1"/>
    <x v="1"/>
    <x v="5"/>
    <x v="1"/>
    <m/>
  </r>
  <r>
    <x v="1132"/>
    <x v="1"/>
    <x v="1"/>
    <x v="4"/>
    <x v="1"/>
    <m/>
  </r>
  <r>
    <x v="1133"/>
    <x v="0"/>
    <x v="0"/>
    <x v="0"/>
    <x v="0"/>
    <m/>
  </r>
  <r>
    <x v="1134"/>
    <x v="1"/>
    <x v="1"/>
    <x v="5"/>
    <x v="1"/>
    <m/>
  </r>
  <r>
    <x v="1135"/>
    <x v="0"/>
    <x v="0"/>
    <x v="0"/>
    <x v="0"/>
    <m/>
  </r>
  <r>
    <x v="1136"/>
    <x v="0"/>
    <x v="0"/>
    <x v="0"/>
    <x v="0"/>
    <m/>
  </r>
  <r>
    <x v="1137"/>
    <x v="0"/>
    <x v="0"/>
    <x v="0"/>
    <x v="0"/>
    <m/>
  </r>
  <r>
    <x v="1138"/>
    <x v="0"/>
    <x v="0"/>
    <x v="0"/>
    <x v="0"/>
    <m/>
  </r>
  <r>
    <x v="1139"/>
    <x v="3"/>
    <x v="1"/>
    <x v="5"/>
    <x v="1"/>
    <m/>
  </r>
  <r>
    <x v="1140"/>
    <x v="0"/>
    <x v="0"/>
    <x v="0"/>
    <x v="0"/>
    <m/>
  </r>
  <r>
    <x v="1141"/>
    <x v="0"/>
    <x v="0"/>
    <x v="0"/>
    <x v="0"/>
    <m/>
  </r>
  <r>
    <x v="1142"/>
    <x v="1"/>
    <x v="1"/>
    <x v="4"/>
    <x v="1"/>
    <m/>
  </r>
  <r>
    <x v="1143"/>
    <x v="1"/>
    <x v="32"/>
    <x v="31"/>
    <x v="32"/>
    <m/>
  </r>
  <r>
    <x v="1144"/>
    <x v="1"/>
    <x v="1"/>
    <x v="4"/>
    <x v="1"/>
    <m/>
  </r>
  <r>
    <x v="1145"/>
    <x v="0"/>
    <x v="0"/>
    <x v="0"/>
    <x v="0"/>
    <m/>
  </r>
  <r>
    <x v="1146"/>
    <x v="0"/>
    <x v="0"/>
    <x v="0"/>
    <x v="0"/>
    <m/>
  </r>
  <r>
    <x v="1147"/>
    <x v="0"/>
    <x v="0"/>
    <x v="0"/>
    <x v="0"/>
    <m/>
  </r>
  <r>
    <x v="1148"/>
    <x v="1"/>
    <x v="1"/>
    <x v="4"/>
    <x v="1"/>
    <m/>
  </r>
  <r>
    <x v="1149"/>
    <x v="1"/>
    <x v="1"/>
    <x v="5"/>
    <x v="1"/>
    <m/>
  </r>
  <r>
    <x v="1150"/>
    <x v="3"/>
    <x v="1"/>
    <x v="5"/>
    <x v="1"/>
    <m/>
  </r>
  <r>
    <x v="1151"/>
    <x v="0"/>
    <x v="0"/>
    <x v="0"/>
    <x v="0"/>
    <m/>
  </r>
  <r>
    <x v="1152"/>
    <x v="0"/>
    <x v="0"/>
    <x v="0"/>
    <x v="0"/>
    <m/>
  </r>
  <r>
    <x v="1153"/>
    <x v="0"/>
    <x v="0"/>
    <x v="0"/>
    <x v="0"/>
    <m/>
  </r>
  <r>
    <x v="1154"/>
    <x v="1"/>
    <x v="1"/>
    <x v="1"/>
    <x v="1"/>
    <m/>
  </r>
  <r>
    <x v="1155"/>
    <x v="0"/>
    <x v="0"/>
    <x v="0"/>
    <x v="0"/>
    <m/>
  </r>
  <r>
    <x v="1156"/>
    <x v="0"/>
    <x v="0"/>
    <x v="0"/>
    <x v="0"/>
    <m/>
  </r>
  <r>
    <x v="1157"/>
    <x v="0"/>
    <x v="0"/>
    <x v="0"/>
    <x v="0"/>
    <m/>
  </r>
  <r>
    <x v="1158"/>
    <x v="0"/>
    <x v="0"/>
    <x v="0"/>
    <x v="0"/>
    <m/>
  </r>
  <r>
    <x v="1159"/>
    <x v="3"/>
    <x v="7"/>
    <x v="5"/>
    <x v="7"/>
    <m/>
  </r>
  <r>
    <x v="1160"/>
    <x v="0"/>
    <x v="0"/>
    <x v="0"/>
    <x v="0"/>
    <m/>
  </r>
  <r>
    <x v="1161"/>
    <x v="0"/>
    <x v="0"/>
    <x v="0"/>
    <x v="0"/>
    <m/>
  </r>
  <r>
    <x v="1162"/>
    <x v="1"/>
    <x v="3"/>
    <x v="3"/>
    <x v="3"/>
    <m/>
  </r>
  <r>
    <x v="1163"/>
    <x v="0"/>
    <x v="0"/>
    <x v="0"/>
    <x v="0"/>
    <m/>
  </r>
  <r>
    <x v="1164"/>
    <x v="0"/>
    <x v="0"/>
    <x v="0"/>
    <x v="0"/>
    <m/>
  </r>
  <r>
    <x v="1165"/>
    <x v="0"/>
    <x v="0"/>
    <x v="0"/>
    <x v="0"/>
    <m/>
  </r>
  <r>
    <x v="1166"/>
    <x v="0"/>
    <x v="0"/>
    <x v="0"/>
    <x v="0"/>
    <m/>
  </r>
  <r>
    <x v="1167"/>
    <x v="0"/>
    <x v="0"/>
    <x v="0"/>
    <x v="0"/>
    <m/>
  </r>
  <r>
    <x v="1168"/>
    <x v="1"/>
    <x v="6"/>
    <x v="6"/>
    <x v="6"/>
    <m/>
  </r>
  <r>
    <x v="1169"/>
    <x v="1"/>
    <x v="1"/>
    <x v="5"/>
    <x v="1"/>
    <m/>
  </r>
  <r>
    <x v="1170"/>
    <x v="0"/>
    <x v="0"/>
    <x v="0"/>
    <x v="0"/>
    <m/>
  </r>
  <r>
    <x v="1171"/>
    <x v="0"/>
    <x v="0"/>
    <x v="0"/>
    <x v="0"/>
    <m/>
  </r>
  <r>
    <x v="1172"/>
    <x v="0"/>
    <x v="0"/>
    <x v="0"/>
    <x v="0"/>
    <m/>
  </r>
  <r>
    <x v="1173"/>
    <x v="0"/>
    <x v="0"/>
    <x v="0"/>
    <x v="0"/>
    <m/>
  </r>
  <r>
    <x v="1174"/>
    <x v="14"/>
    <x v="12"/>
    <x v="11"/>
    <x v="12"/>
    <m/>
  </r>
  <r>
    <x v="1175"/>
    <x v="0"/>
    <x v="0"/>
    <x v="0"/>
    <x v="0"/>
    <m/>
  </r>
  <r>
    <x v="1176"/>
    <x v="0"/>
    <x v="0"/>
    <x v="0"/>
    <x v="0"/>
    <m/>
  </r>
  <r>
    <x v="1177"/>
    <x v="3"/>
    <x v="1"/>
    <x v="5"/>
    <x v="1"/>
    <m/>
  </r>
  <r>
    <x v="1178"/>
    <x v="0"/>
    <x v="0"/>
    <x v="0"/>
    <x v="0"/>
    <m/>
  </r>
  <r>
    <x v="1179"/>
    <x v="0"/>
    <x v="0"/>
    <x v="0"/>
    <x v="0"/>
    <m/>
  </r>
  <r>
    <x v="1180"/>
    <x v="0"/>
    <x v="0"/>
    <x v="0"/>
    <x v="0"/>
    <m/>
  </r>
  <r>
    <x v="1181"/>
    <x v="0"/>
    <x v="0"/>
    <x v="0"/>
    <x v="0"/>
    <m/>
  </r>
  <r>
    <x v="1182"/>
    <x v="0"/>
    <x v="0"/>
    <x v="0"/>
    <x v="0"/>
    <m/>
  </r>
  <r>
    <x v="1183"/>
    <x v="0"/>
    <x v="0"/>
    <x v="0"/>
    <x v="0"/>
    <m/>
  </r>
  <r>
    <x v="1184"/>
    <x v="0"/>
    <x v="0"/>
    <x v="0"/>
    <x v="0"/>
    <m/>
  </r>
  <r>
    <x v="1185"/>
    <x v="1"/>
    <x v="1"/>
    <x v="1"/>
    <x v="1"/>
    <m/>
  </r>
  <r>
    <x v="1186"/>
    <x v="0"/>
    <x v="0"/>
    <x v="0"/>
    <x v="0"/>
    <m/>
  </r>
  <r>
    <x v="1187"/>
    <x v="0"/>
    <x v="0"/>
    <x v="0"/>
    <x v="0"/>
    <m/>
  </r>
  <r>
    <x v="1188"/>
    <x v="1"/>
    <x v="1"/>
    <x v="4"/>
    <x v="1"/>
    <m/>
  </r>
  <r>
    <x v="1189"/>
    <x v="0"/>
    <x v="0"/>
    <x v="0"/>
    <x v="0"/>
    <m/>
  </r>
  <r>
    <x v="1190"/>
    <x v="0"/>
    <x v="0"/>
    <x v="0"/>
    <x v="0"/>
    <m/>
  </r>
  <r>
    <x v="1191"/>
    <x v="0"/>
    <x v="0"/>
    <x v="0"/>
    <x v="0"/>
    <m/>
  </r>
  <r>
    <x v="1192"/>
    <x v="0"/>
    <x v="0"/>
    <x v="0"/>
    <x v="0"/>
    <m/>
  </r>
  <r>
    <x v="1193"/>
    <x v="15"/>
    <x v="16"/>
    <x v="15"/>
    <x v="16"/>
    <m/>
  </r>
  <r>
    <x v="1194"/>
    <x v="3"/>
    <x v="7"/>
    <x v="5"/>
    <x v="7"/>
    <m/>
  </r>
  <r>
    <x v="1195"/>
    <x v="0"/>
    <x v="0"/>
    <x v="0"/>
    <x v="0"/>
    <m/>
  </r>
  <r>
    <x v="1196"/>
    <x v="0"/>
    <x v="0"/>
    <x v="0"/>
    <x v="0"/>
    <m/>
  </r>
  <r>
    <x v="1197"/>
    <x v="1"/>
    <x v="33"/>
    <x v="32"/>
    <x v="33"/>
    <m/>
  </r>
  <r>
    <x v="1198"/>
    <x v="0"/>
    <x v="0"/>
    <x v="0"/>
    <x v="0"/>
    <m/>
  </r>
  <r>
    <x v="1199"/>
    <x v="0"/>
    <x v="0"/>
    <x v="0"/>
    <x v="0"/>
    <m/>
  </r>
  <r>
    <x v="1200"/>
    <x v="0"/>
    <x v="0"/>
    <x v="0"/>
    <x v="0"/>
    <m/>
  </r>
  <r>
    <x v="1201"/>
    <x v="0"/>
    <x v="0"/>
    <x v="0"/>
    <x v="0"/>
    <m/>
  </r>
  <r>
    <x v="1202"/>
    <x v="6"/>
    <x v="5"/>
    <x v="5"/>
    <x v="5"/>
    <m/>
  </r>
  <r>
    <x v="1203"/>
    <x v="0"/>
    <x v="0"/>
    <x v="0"/>
    <x v="0"/>
    <m/>
  </r>
  <r>
    <x v="1204"/>
    <x v="0"/>
    <x v="0"/>
    <x v="0"/>
    <x v="0"/>
    <m/>
  </r>
  <r>
    <x v="1205"/>
    <x v="0"/>
    <x v="0"/>
    <x v="0"/>
    <x v="0"/>
    <m/>
  </r>
  <r>
    <x v="1206"/>
    <x v="0"/>
    <x v="0"/>
    <x v="0"/>
    <x v="0"/>
    <m/>
  </r>
  <r>
    <x v="1207"/>
    <x v="0"/>
    <x v="0"/>
    <x v="0"/>
    <x v="0"/>
    <m/>
  </r>
  <r>
    <x v="1208"/>
    <x v="0"/>
    <x v="0"/>
    <x v="0"/>
    <x v="0"/>
    <m/>
  </r>
  <r>
    <x v="1209"/>
    <x v="0"/>
    <x v="0"/>
    <x v="0"/>
    <x v="0"/>
    <m/>
  </r>
  <r>
    <x v="1210"/>
    <x v="0"/>
    <x v="0"/>
    <x v="0"/>
    <x v="0"/>
    <m/>
  </r>
  <r>
    <x v="1211"/>
    <x v="0"/>
    <x v="0"/>
    <x v="0"/>
    <x v="0"/>
    <m/>
  </r>
  <r>
    <x v="1212"/>
    <x v="0"/>
    <x v="0"/>
    <x v="0"/>
    <x v="0"/>
    <m/>
  </r>
  <r>
    <x v="1213"/>
    <x v="0"/>
    <x v="0"/>
    <x v="0"/>
    <x v="0"/>
    <m/>
  </r>
  <r>
    <x v="1214"/>
    <x v="0"/>
    <x v="0"/>
    <x v="0"/>
    <x v="0"/>
    <m/>
  </r>
  <r>
    <x v="1215"/>
    <x v="0"/>
    <x v="0"/>
    <x v="0"/>
    <x v="0"/>
    <m/>
  </r>
  <r>
    <x v="1216"/>
    <x v="0"/>
    <x v="0"/>
    <x v="0"/>
    <x v="0"/>
    <m/>
  </r>
  <r>
    <x v="1217"/>
    <x v="0"/>
    <x v="0"/>
    <x v="0"/>
    <x v="0"/>
    <m/>
  </r>
  <r>
    <x v="1218"/>
    <x v="0"/>
    <x v="0"/>
    <x v="0"/>
    <x v="0"/>
    <m/>
  </r>
  <r>
    <x v="1219"/>
    <x v="0"/>
    <x v="0"/>
    <x v="0"/>
    <x v="0"/>
    <m/>
  </r>
  <r>
    <x v="1220"/>
    <x v="0"/>
    <x v="0"/>
    <x v="0"/>
    <x v="0"/>
    <m/>
  </r>
  <r>
    <x v="1221"/>
    <x v="1"/>
    <x v="1"/>
    <x v="5"/>
    <x v="1"/>
    <m/>
  </r>
  <r>
    <x v="1222"/>
    <x v="1"/>
    <x v="4"/>
    <x v="5"/>
    <x v="4"/>
    <m/>
  </r>
  <r>
    <x v="1223"/>
    <x v="0"/>
    <x v="0"/>
    <x v="0"/>
    <x v="0"/>
    <m/>
  </r>
  <r>
    <x v="1224"/>
    <x v="0"/>
    <x v="0"/>
    <x v="0"/>
    <x v="0"/>
    <m/>
  </r>
  <r>
    <x v="1225"/>
    <x v="0"/>
    <x v="0"/>
    <x v="0"/>
    <x v="0"/>
    <m/>
  </r>
  <r>
    <x v="1226"/>
    <x v="0"/>
    <x v="0"/>
    <x v="0"/>
    <x v="0"/>
    <m/>
  </r>
  <r>
    <x v="1227"/>
    <x v="0"/>
    <x v="0"/>
    <x v="0"/>
    <x v="0"/>
    <m/>
  </r>
  <r>
    <x v="1228"/>
    <x v="0"/>
    <x v="0"/>
    <x v="0"/>
    <x v="0"/>
    <m/>
  </r>
  <r>
    <x v="1229"/>
    <x v="0"/>
    <x v="0"/>
    <x v="0"/>
    <x v="0"/>
    <m/>
  </r>
  <r>
    <x v="1230"/>
    <x v="0"/>
    <x v="0"/>
    <x v="0"/>
    <x v="0"/>
    <m/>
  </r>
  <r>
    <x v="1231"/>
    <x v="0"/>
    <x v="0"/>
    <x v="0"/>
    <x v="0"/>
    <m/>
  </r>
  <r>
    <x v="1232"/>
    <x v="1"/>
    <x v="1"/>
    <x v="5"/>
    <x v="1"/>
    <m/>
  </r>
  <r>
    <x v="1233"/>
    <x v="3"/>
    <x v="1"/>
    <x v="5"/>
    <x v="1"/>
    <m/>
  </r>
  <r>
    <x v="1234"/>
    <x v="0"/>
    <x v="0"/>
    <x v="0"/>
    <x v="0"/>
    <m/>
  </r>
  <r>
    <x v="1235"/>
    <x v="6"/>
    <x v="5"/>
    <x v="5"/>
    <x v="5"/>
    <m/>
  </r>
  <r>
    <x v="1236"/>
    <x v="0"/>
    <x v="0"/>
    <x v="0"/>
    <x v="0"/>
    <m/>
  </r>
  <r>
    <x v="1237"/>
    <x v="0"/>
    <x v="0"/>
    <x v="0"/>
    <x v="0"/>
    <m/>
  </r>
  <r>
    <x v="1238"/>
    <x v="0"/>
    <x v="0"/>
    <x v="0"/>
    <x v="0"/>
    <m/>
  </r>
  <r>
    <x v="1239"/>
    <x v="0"/>
    <x v="0"/>
    <x v="0"/>
    <x v="0"/>
    <m/>
  </r>
  <r>
    <x v="1240"/>
    <x v="0"/>
    <x v="0"/>
    <x v="0"/>
    <x v="0"/>
    <m/>
  </r>
  <r>
    <x v="1241"/>
    <x v="0"/>
    <x v="0"/>
    <x v="0"/>
    <x v="0"/>
    <m/>
  </r>
  <r>
    <x v="1242"/>
    <x v="2"/>
    <x v="5"/>
    <x v="5"/>
    <x v="5"/>
    <m/>
  </r>
  <r>
    <x v="1243"/>
    <x v="0"/>
    <x v="0"/>
    <x v="0"/>
    <x v="0"/>
    <m/>
  </r>
  <r>
    <x v="1244"/>
    <x v="0"/>
    <x v="0"/>
    <x v="0"/>
    <x v="0"/>
    <m/>
  </r>
  <r>
    <x v="1245"/>
    <x v="4"/>
    <x v="5"/>
    <x v="1"/>
    <x v="5"/>
    <m/>
  </r>
  <r>
    <x v="1246"/>
    <x v="0"/>
    <x v="0"/>
    <x v="0"/>
    <x v="0"/>
    <m/>
  </r>
  <r>
    <x v="1247"/>
    <x v="0"/>
    <x v="0"/>
    <x v="0"/>
    <x v="0"/>
    <m/>
  </r>
  <r>
    <x v="1248"/>
    <x v="0"/>
    <x v="0"/>
    <x v="0"/>
    <x v="0"/>
    <m/>
  </r>
  <r>
    <x v="1249"/>
    <x v="0"/>
    <x v="0"/>
    <x v="0"/>
    <x v="0"/>
    <m/>
  </r>
  <r>
    <x v="1250"/>
    <x v="0"/>
    <x v="0"/>
    <x v="0"/>
    <x v="0"/>
    <m/>
  </r>
  <r>
    <x v="1251"/>
    <x v="0"/>
    <x v="0"/>
    <x v="0"/>
    <x v="0"/>
    <m/>
  </r>
  <r>
    <x v="1252"/>
    <x v="3"/>
    <x v="1"/>
    <x v="5"/>
    <x v="1"/>
    <m/>
  </r>
  <r>
    <x v="1253"/>
    <x v="3"/>
    <x v="1"/>
    <x v="1"/>
    <x v="1"/>
    <m/>
  </r>
  <r>
    <x v="1254"/>
    <x v="1"/>
    <x v="4"/>
    <x v="5"/>
    <x v="4"/>
    <m/>
  </r>
  <r>
    <x v="1255"/>
    <x v="0"/>
    <x v="0"/>
    <x v="0"/>
    <x v="0"/>
    <m/>
  </r>
  <r>
    <x v="1256"/>
    <x v="0"/>
    <x v="0"/>
    <x v="0"/>
    <x v="0"/>
    <m/>
  </r>
  <r>
    <x v="1257"/>
    <x v="0"/>
    <x v="0"/>
    <x v="0"/>
    <x v="0"/>
    <m/>
  </r>
  <r>
    <x v="1258"/>
    <x v="0"/>
    <x v="0"/>
    <x v="0"/>
    <x v="0"/>
    <m/>
  </r>
  <r>
    <x v="1259"/>
    <x v="0"/>
    <x v="0"/>
    <x v="0"/>
    <x v="0"/>
    <m/>
  </r>
  <r>
    <x v="1260"/>
    <x v="0"/>
    <x v="0"/>
    <x v="0"/>
    <x v="0"/>
    <m/>
  </r>
  <r>
    <x v="1261"/>
    <x v="3"/>
    <x v="1"/>
    <x v="5"/>
    <x v="1"/>
    <m/>
  </r>
  <r>
    <x v="1262"/>
    <x v="0"/>
    <x v="0"/>
    <x v="0"/>
    <x v="0"/>
    <m/>
  </r>
  <r>
    <x v="1263"/>
    <x v="11"/>
    <x v="5"/>
    <x v="33"/>
    <x v="5"/>
    <m/>
  </r>
  <r>
    <x v="1264"/>
    <x v="0"/>
    <x v="0"/>
    <x v="0"/>
    <x v="0"/>
    <m/>
  </r>
  <r>
    <x v="1265"/>
    <x v="0"/>
    <x v="0"/>
    <x v="0"/>
    <x v="0"/>
    <m/>
  </r>
  <r>
    <x v="1266"/>
    <x v="0"/>
    <x v="0"/>
    <x v="0"/>
    <x v="0"/>
    <m/>
  </r>
  <r>
    <x v="1267"/>
    <x v="1"/>
    <x v="1"/>
    <x v="5"/>
    <x v="1"/>
    <m/>
  </r>
  <r>
    <x v="1268"/>
    <x v="1"/>
    <x v="1"/>
    <x v="4"/>
    <x v="1"/>
    <m/>
  </r>
  <r>
    <x v="1269"/>
    <x v="0"/>
    <x v="0"/>
    <x v="0"/>
    <x v="0"/>
    <m/>
  </r>
  <r>
    <x v="1270"/>
    <x v="3"/>
    <x v="1"/>
    <x v="5"/>
    <x v="1"/>
    <m/>
  </r>
  <r>
    <x v="1271"/>
    <x v="0"/>
    <x v="0"/>
    <x v="0"/>
    <x v="0"/>
    <m/>
  </r>
  <r>
    <x v="1272"/>
    <x v="0"/>
    <x v="0"/>
    <x v="0"/>
    <x v="0"/>
    <m/>
  </r>
  <r>
    <x v="1273"/>
    <x v="0"/>
    <x v="0"/>
    <x v="0"/>
    <x v="0"/>
    <m/>
  </r>
  <r>
    <x v="1274"/>
    <x v="0"/>
    <x v="0"/>
    <x v="0"/>
    <x v="0"/>
    <m/>
  </r>
  <r>
    <x v="1275"/>
    <x v="0"/>
    <x v="0"/>
    <x v="0"/>
    <x v="0"/>
    <m/>
  </r>
  <r>
    <x v="1276"/>
    <x v="0"/>
    <x v="0"/>
    <x v="0"/>
    <x v="0"/>
    <m/>
  </r>
  <r>
    <x v="1277"/>
    <x v="0"/>
    <x v="0"/>
    <x v="0"/>
    <x v="0"/>
    <m/>
  </r>
  <r>
    <x v="1278"/>
    <x v="0"/>
    <x v="0"/>
    <x v="0"/>
    <x v="0"/>
    <m/>
  </r>
  <r>
    <x v="1279"/>
    <x v="0"/>
    <x v="0"/>
    <x v="0"/>
    <x v="0"/>
    <m/>
  </r>
  <r>
    <x v="1280"/>
    <x v="3"/>
    <x v="1"/>
    <x v="5"/>
    <x v="1"/>
    <m/>
  </r>
  <r>
    <x v="1281"/>
    <x v="0"/>
    <x v="0"/>
    <x v="0"/>
    <x v="0"/>
    <m/>
  </r>
  <r>
    <x v="1282"/>
    <x v="0"/>
    <x v="0"/>
    <x v="0"/>
    <x v="0"/>
    <m/>
  </r>
  <r>
    <x v="1283"/>
    <x v="0"/>
    <x v="0"/>
    <x v="0"/>
    <x v="0"/>
    <m/>
  </r>
  <r>
    <x v="1284"/>
    <x v="0"/>
    <x v="0"/>
    <x v="0"/>
    <x v="0"/>
    <m/>
  </r>
  <r>
    <x v="1285"/>
    <x v="0"/>
    <x v="0"/>
    <x v="0"/>
    <x v="0"/>
    <m/>
  </r>
  <r>
    <x v="1286"/>
    <x v="0"/>
    <x v="0"/>
    <x v="0"/>
    <x v="0"/>
    <m/>
  </r>
  <r>
    <x v="1287"/>
    <x v="0"/>
    <x v="0"/>
    <x v="0"/>
    <x v="0"/>
    <m/>
  </r>
  <r>
    <x v="1288"/>
    <x v="0"/>
    <x v="0"/>
    <x v="0"/>
    <x v="0"/>
    <m/>
  </r>
  <r>
    <x v="1289"/>
    <x v="0"/>
    <x v="0"/>
    <x v="0"/>
    <x v="0"/>
    <m/>
  </r>
  <r>
    <x v="1290"/>
    <x v="0"/>
    <x v="0"/>
    <x v="0"/>
    <x v="0"/>
    <m/>
  </r>
  <r>
    <x v="1291"/>
    <x v="0"/>
    <x v="0"/>
    <x v="0"/>
    <x v="0"/>
    <m/>
  </r>
  <r>
    <x v="1292"/>
    <x v="0"/>
    <x v="0"/>
    <x v="0"/>
    <x v="0"/>
    <m/>
  </r>
  <r>
    <x v="1293"/>
    <x v="0"/>
    <x v="0"/>
    <x v="0"/>
    <x v="0"/>
    <m/>
  </r>
  <r>
    <x v="1294"/>
    <x v="1"/>
    <x v="6"/>
    <x v="6"/>
    <x v="6"/>
    <m/>
  </r>
  <r>
    <x v="1295"/>
    <x v="1"/>
    <x v="1"/>
    <x v="5"/>
    <x v="1"/>
    <m/>
  </r>
  <r>
    <x v="1296"/>
    <x v="0"/>
    <x v="0"/>
    <x v="0"/>
    <x v="0"/>
    <m/>
  </r>
  <r>
    <x v="1297"/>
    <x v="0"/>
    <x v="0"/>
    <x v="0"/>
    <x v="0"/>
    <m/>
  </r>
  <r>
    <x v="1298"/>
    <x v="0"/>
    <x v="0"/>
    <x v="0"/>
    <x v="0"/>
    <m/>
  </r>
  <r>
    <x v="1299"/>
    <x v="0"/>
    <x v="0"/>
    <x v="0"/>
    <x v="0"/>
    <m/>
  </r>
  <r>
    <x v="1300"/>
    <x v="0"/>
    <x v="0"/>
    <x v="0"/>
    <x v="0"/>
    <m/>
  </r>
  <r>
    <x v="1301"/>
    <x v="1"/>
    <x v="1"/>
    <x v="1"/>
    <x v="1"/>
    <m/>
  </r>
  <r>
    <x v="1302"/>
    <x v="1"/>
    <x v="1"/>
    <x v="1"/>
    <x v="1"/>
    <m/>
  </r>
  <r>
    <x v="1303"/>
    <x v="0"/>
    <x v="0"/>
    <x v="0"/>
    <x v="0"/>
    <m/>
  </r>
  <r>
    <x v="1304"/>
    <x v="0"/>
    <x v="0"/>
    <x v="0"/>
    <x v="0"/>
    <m/>
  </r>
  <r>
    <x v="1305"/>
    <x v="1"/>
    <x v="1"/>
    <x v="4"/>
    <x v="1"/>
    <m/>
  </r>
  <r>
    <x v="1306"/>
    <x v="0"/>
    <x v="0"/>
    <x v="0"/>
    <x v="0"/>
    <m/>
  </r>
  <r>
    <x v="1307"/>
    <x v="0"/>
    <x v="0"/>
    <x v="0"/>
    <x v="0"/>
    <m/>
  </r>
  <r>
    <x v="1308"/>
    <x v="0"/>
    <x v="0"/>
    <x v="0"/>
    <x v="0"/>
    <m/>
  </r>
  <r>
    <x v="1309"/>
    <x v="0"/>
    <x v="0"/>
    <x v="0"/>
    <x v="0"/>
    <m/>
  </r>
  <r>
    <x v="1310"/>
    <x v="1"/>
    <x v="1"/>
    <x v="4"/>
    <x v="1"/>
    <m/>
  </r>
  <r>
    <x v="1311"/>
    <x v="3"/>
    <x v="1"/>
    <x v="5"/>
    <x v="1"/>
    <m/>
  </r>
  <r>
    <x v="1312"/>
    <x v="1"/>
    <x v="6"/>
    <x v="6"/>
    <x v="6"/>
    <m/>
  </r>
  <r>
    <x v="1313"/>
    <x v="0"/>
    <x v="0"/>
    <x v="0"/>
    <x v="0"/>
    <m/>
  </r>
  <r>
    <x v="1314"/>
    <x v="1"/>
    <x v="4"/>
    <x v="5"/>
    <x v="4"/>
    <m/>
  </r>
  <r>
    <x v="1315"/>
    <x v="0"/>
    <x v="0"/>
    <x v="0"/>
    <x v="0"/>
    <m/>
  </r>
  <r>
    <x v="1316"/>
    <x v="0"/>
    <x v="0"/>
    <x v="0"/>
    <x v="0"/>
    <m/>
  </r>
  <r>
    <x v="1317"/>
    <x v="0"/>
    <x v="0"/>
    <x v="0"/>
    <x v="0"/>
    <m/>
  </r>
  <r>
    <x v="1318"/>
    <x v="0"/>
    <x v="0"/>
    <x v="0"/>
    <x v="0"/>
    <m/>
  </r>
  <r>
    <x v="1319"/>
    <x v="0"/>
    <x v="0"/>
    <x v="0"/>
    <x v="0"/>
    <m/>
  </r>
  <r>
    <x v="1320"/>
    <x v="0"/>
    <x v="0"/>
    <x v="0"/>
    <x v="0"/>
    <m/>
  </r>
  <r>
    <x v="1321"/>
    <x v="0"/>
    <x v="0"/>
    <x v="0"/>
    <x v="0"/>
    <m/>
  </r>
  <r>
    <x v="1322"/>
    <x v="0"/>
    <x v="0"/>
    <x v="0"/>
    <x v="0"/>
    <m/>
  </r>
  <r>
    <x v="1323"/>
    <x v="0"/>
    <x v="0"/>
    <x v="0"/>
    <x v="0"/>
    <m/>
  </r>
  <r>
    <x v="1324"/>
    <x v="0"/>
    <x v="0"/>
    <x v="0"/>
    <x v="0"/>
    <m/>
  </r>
  <r>
    <x v="1325"/>
    <x v="0"/>
    <x v="0"/>
    <x v="0"/>
    <x v="0"/>
    <m/>
  </r>
  <r>
    <x v="1326"/>
    <x v="0"/>
    <x v="0"/>
    <x v="0"/>
    <x v="0"/>
    <m/>
  </r>
  <r>
    <x v="1327"/>
    <x v="0"/>
    <x v="0"/>
    <x v="0"/>
    <x v="0"/>
    <m/>
  </r>
  <r>
    <x v="1328"/>
    <x v="1"/>
    <x v="4"/>
    <x v="5"/>
    <x v="4"/>
    <m/>
  </r>
  <r>
    <x v="1329"/>
    <x v="0"/>
    <x v="0"/>
    <x v="0"/>
    <x v="0"/>
    <m/>
  </r>
  <r>
    <x v="1330"/>
    <x v="0"/>
    <x v="0"/>
    <x v="0"/>
    <x v="0"/>
    <m/>
  </r>
  <r>
    <x v="1331"/>
    <x v="0"/>
    <x v="0"/>
    <x v="0"/>
    <x v="0"/>
    <m/>
  </r>
  <r>
    <x v="1332"/>
    <x v="1"/>
    <x v="2"/>
    <x v="2"/>
    <x v="2"/>
    <m/>
  </r>
  <r>
    <x v="1333"/>
    <x v="0"/>
    <x v="0"/>
    <x v="0"/>
    <x v="0"/>
    <m/>
  </r>
  <r>
    <x v="1334"/>
    <x v="0"/>
    <x v="0"/>
    <x v="0"/>
    <x v="0"/>
    <m/>
  </r>
  <r>
    <x v="1335"/>
    <x v="0"/>
    <x v="0"/>
    <x v="0"/>
    <x v="0"/>
    <m/>
  </r>
  <r>
    <x v="1336"/>
    <x v="0"/>
    <x v="0"/>
    <x v="0"/>
    <x v="0"/>
    <m/>
  </r>
  <r>
    <x v="1337"/>
    <x v="1"/>
    <x v="1"/>
    <x v="4"/>
    <x v="1"/>
    <m/>
  </r>
  <r>
    <x v="1338"/>
    <x v="0"/>
    <x v="0"/>
    <x v="0"/>
    <x v="0"/>
    <m/>
  </r>
  <r>
    <x v="1339"/>
    <x v="14"/>
    <x v="16"/>
    <x v="15"/>
    <x v="16"/>
    <m/>
  </r>
  <r>
    <x v="1340"/>
    <x v="0"/>
    <x v="0"/>
    <x v="0"/>
    <x v="0"/>
    <m/>
  </r>
  <r>
    <x v="1341"/>
    <x v="1"/>
    <x v="6"/>
    <x v="6"/>
    <x v="6"/>
    <m/>
  </r>
  <r>
    <x v="1342"/>
    <x v="1"/>
    <x v="2"/>
    <x v="2"/>
    <x v="2"/>
    <m/>
  </r>
  <r>
    <x v="1343"/>
    <x v="0"/>
    <x v="0"/>
    <x v="0"/>
    <x v="0"/>
    <m/>
  </r>
  <r>
    <x v="1344"/>
    <x v="0"/>
    <x v="0"/>
    <x v="0"/>
    <x v="0"/>
    <m/>
  </r>
  <r>
    <x v="1345"/>
    <x v="0"/>
    <x v="0"/>
    <x v="0"/>
    <x v="0"/>
    <m/>
  </r>
  <r>
    <x v="1346"/>
    <x v="0"/>
    <x v="0"/>
    <x v="0"/>
    <x v="0"/>
    <m/>
  </r>
  <r>
    <x v="1347"/>
    <x v="0"/>
    <x v="0"/>
    <x v="0"/>
    <x v="0"/>
    <m/>
  </r>
  <r>
    <x v="1348"/>
    <x v="0"/>
    <x v="0"/>
    <x v="0"/>
    <x v="0"/>
    <m/>
  </r>
  <r>
    <x v="1349"/>
    <x v="0"/>
    <x v="0"/>
    <x v="0"/>
    <x v="0"/>
    <m/>
  </r>
  <r>
    <x v="1350"/>
    <x v="1"/>
    <x v="1"/>
    <x v="4"/>
    <x v="1"/>
    <m/>
  </r>
  <r>
    <x v="1351"/>
    <x v="0"/>
    <x v="0"/>
    <x v="0"/>
    <x v="0"/>
    <m/>
  </r>
  <r>
    <x v="1352"/>
    <x v="3"/>
    <x v="1"/>
    <x v="5"/>
    <x v="1"/>
    <m/>
  </r>
  <r>
    <x v="1353"/>
    <x v="1"/>
    <x v="1"/>
    <x v="5"/>
    <x v="1"/>
    <m/>
  </r>
  <r>
    <x v="1354"/>
    <x v="0"/>
    <x v="0"/>
    <x v="0"/>
    <x v="0"/>
    <m/>
  </r>
  <r>
    <x v="1355"/>
    <x v="0"/>
    <x v="0"/>
    <x v="0"/>
    <x v="0"/>
    <m/>
  </r>
  <r>
    <x v="1356"/>
    <x v="0"/>
    <x v="0"/>
    <x v="0"/>
    <x v="0"/>
    <m/>
  </r>
  <r>
    <x v="1357"/>
    <x v="1"/>
    <x v="4"/>
    <x v="5"/>
    <x v="4"/>
    <m/>
  </r>
  <r>
    <x v="1358"/>
    <x v="0"/>
    <x v="0"/>
    <x v="0"/>
    <x v="0"/>
    <m/>
  </r>
  <r>
    <x v="1359"/>
    <x v="0"/>
    <x v="0"/>
    <x v="0"/>
    <x v="0"/>
    <m/>
  </r>
  <r>
    <x v="1360"/>
    <x v="1"/>
    <x v="6"/>
    <x v="6"/>
    <x v="6"/>
    <m/>
  </r>
  <r>
    <x v="1361"/>
    <x v="0"/>
    <x v="0"/>
    <x v="0"/>
    <x v="0"/>
    <m/>
  </r>
  <r>
    <x v="1362"/>
    <x v="1"/>
    <x v="1"/>
    <x v="4"/>
    <x v="1"/>
    <m/>
  </r>
  <r>
    <x v="1363"/>
    <x v="0"/>
    <x v="0"/>
    <x v="0"/>
    <x v="0"/>
    <m/>
  </r>
  <r>
    <x v="1364"/>
    <x v="0"/>
    <x v="0"/>
    <x v="0"/>
    <x v="0"/>
    <m/>
  </r>
  <r>
    <x v="1365"/>
    <x v="3"/>
    <x v="1"/>
    <x v="5"/>
    <x v="1"/>
    <m/>
  </r>
  <r>
    <x v="1366"/>
    <x v="0"/>
    <x v="0"/>
    <x v="0"/>
    <x v="0"/>
    <m/>
  </r>
  <r>
    <x v="1367"/>
    <x v="0"/>
    <x v="0"/>
    <x v="0"/>
    <x v="0"/>
    <m/>
  </r>
  <r>
    <x v="1368"/>
    <x v="0"/>
    <x v="0"/>
    <x v="0"/>
    <x v="0"/>
    <m/>
  </r>
  <r>
    <x v="1369"/>
    <x v="0"/>
    <x v="0"/>
    <x v="0"/>
    <x v="0"/>
    <m/>
  </r>
  <r>
    <x v="1370"/>
    <x v="0"/>
    <x v="0"/>
    <x v="0"/>
    <x v="0"/>
    <m/>
  </r>
  <r>
    <x v="1371"/>
    <x v="0"/>
    <x v="0"/>
    <x v="0"/>
    <x v="0"/>
    <m/>
  </r>
  <r>
    <x v="1372"/>
    <x v="0"/>
    <x v="0"/>
    <x v="0"/>
    <x v="0"/>
    <m/>
  </r>
  <r>
    <x v="1373"/>
    <x v="0"/>
    <x v="0"/>
    <x v="0"/>
    <x v="0"/>
    <m/>
  </r>
  <r>
    <x v="1374"/>
    <x v="1"/>
    <x v="4"/>
    <x v="5"/>
    <x v="4"/>
    <m/>
  </r>
  <r>
    <x v="1375"/>
    <x v="0"/>
    <x v="0"/>
    <x v="0"/>
    <x v="0"/>
    <m/>
  </r>
  <r>
    <x v="1376"/>
    <x v="0"/>
    <x v="0"/>
    <x v="0"/>
    <x v="0"/>
    <m/>
  </r>
  <r>
    <x v="1377"/>
    <x v="1"/>
    <x v="7"/>
    <x v="5"/>
    <x v="7"/>
    <m/>
  </r>
  <r>
    <x v="1378"/>
    <x v="1"/>
    <x v="7"/>
    <x v="5"/>
    <x v="7"/>
    <m/>
  </r>
  <r>
    <x v="1379"/>
    <x v="0"/>
    <x v="0"/>
    <x v="0"/>
    <x v="0"/>
    <m/>
  </r>
  <r>
    <x v="1380"/>
    <x v="0"/>
    <x v="0"/>
    <x v="0"/>
    <x v="0"/>
    <m/>
  </r>
  <r>
    <x v="1381"/>
    <x v="0"/>
    <x v="0"/>
    <x v="0"/>
    <x v="0"/>
    <m/>
  </r>
  <r>
    <x v="1382"/>
    <x v="0"/>
    <x v="0"/>
    <x v="0"/>
    <x v="0"/>
    <m/>
  </r>
  <r>
    <x v="1383"/>
    <x v="0"/>
    <x v="0"/>
    <x v="0"/>
    <x v="0"/>
    <m/>
  </r>
  <r>
    <x v="1384"/>
    <x v="3"/>
    <x v="1"/>
    <x v="5"/>
    <x v="1"/>
    <m/>
  </r>
  <r>
    <x v="1385"/>
    <x v="0"/>
    <x v="0"/>
    <x v="0"/>
    <x v="0"/>
    <m/>
  </r>
  <r>
    <x v="1386"/>
    <x v="1"/>
    <x v="1"/>
    <x v="5"/>
    <x v="1"/>
    <m/>
  </r>
  <r>
    <x v="1387"/>
    <x v="1"/>
    <x v="24"/>
    <x v="22"/>
    <x v="24"/>
    <m/>
  </r>
  <r>
    <x v="1388"/>
    <x v="5"/>
    <x v="5"/>
    <x v="5"/>
    <x v="5"/>
    <m/>
  </r>
  <r>
    <x v="1389"/>
    <x v="0"/>
    <x v="0"/>
    <x v="0"/>
    <x v="0"/>
    <m/>
  </r>
  <r>
    <x v="1390"/>
    <x v="0"/>
    <x v="0"/>
    <x v="0"/>
    <x v="0"/>
    <m/>
  </r>
  <r>
    <x v="1391"/>
    <x v="1"/>
    <x v="2"/>
    <x v="2"/>
    <x v="2"/>
    <m/>
  </r>
  <r>
    <x v="1392"/>
    <x v="3"/>
    <x v="1"/>
    <x v="5"/>
    <x v="1"/>
    <m/>
  </r>
  <r>
    <x v="1393"/>
    <x v="0"/>
    <x v="0"/>
    <x v="0"/>
    <x v="0"/>
    <m/>
  </r>
  <r>
    <x v="1394"/>
    <x v="1"/>
    <x v="30"/>
    <x v="29"/>
    <x v="30"/>
    <m/>
  </r>
  <r>
    <x v="1395"/>
    <x v="0"/>
    <x v="0"/>
    <x v="0"/>
    <x v="0"/>
    <m/>
  </r>
  <r>
    <x v="1396"/>
    <x v="0"/>
    <x v="0"/>
    <x v="0"/>
    <x v="0"/>
    <m/>
  </r>
  <r>
    <x v="1397"/>
    <x v="0"/>
    <x v="0"/>
    <x v="0"/>
    <x v="0"/>
    <m/>
  </r>
  <r>
    <x v="1398"/>
    <x v="0"/>
    <x v="0"/>
    <x v="0"/>
    <x v="0"/>
    <m/>
  </r>
  <r>
    <x v="1399"/>
    <x v="3"/>
    <x v="1"/>
    <x v="5"/>
    <x v="1"/>
    <m/>
  </r>
  <r>
    <x v="1400"/>
    <x v="0"/>
    <x v="0"/>
    <x v="0"/>
    <x v="0"/>
    <m/>
  </r>
  <r>
    <x v="1401"/>
    <x v="0"/>
    <x v="0"/>
    <x v="0"/>
    <x v="0"/>
    <m/>
  </r>
  <r>
    <x v="1402"/>
    <x v="1"/>
    <x v="6"/>
    <x v="6"/>
    <x v="6"/>
    <m/>
  </r>
  <r>
    <x v="1403"/>
    <x v="0"/>
    <x v="0"/>
    <x v="0"/>
    <x v="0"/>
    <m/>
  </r>
  <r>
    <x v="1404"/>
    <x v="1"/>
    <x v="1"/>
    <x v="5"/>
    <x v="1"/>
    <m/>
  </r>
  <r>
    <x v="1405"/>
    <x v="0"/>
    <x v="0"/>
    <x v="0"/>
    <x v="0"/>
    <m/>
  </r>
  <r>
    <x v="1406"/>
    <x v="0"/>
    <x v="0"/>
    <x v="0"/>
    <x v="0"/>
    <m/>
  </r>
  <r>
    <x v="1407"/>
    <x v="0"/>
    <x v="0"/>
    <x v="0"/>
    <x v="0"/>
    <m/>
  </r>
  <r>
    <x v="1408"/>
    <x v="0"/>
    <x v="0"/>
    <x v="0"/>
    <x v="0"/>
    <m/>
  </r>
  <r>
    <x v="1409"/>
    <x v="2"/>
    <x v="2"/>
    <x v="2"/>
    <x v="2"/>
    <m/>
  </r>
  <r>
    <x v="1410"/>
    <x v="0"/>
    <x v="0"/>
    <x v="0"/>
    <x v="0"/>
    <m/>
  </r>
  <r>
    <x v="1411"/>
    <x v="0"/>
    <x v="0"/>
    <x v="0"/>
    <x v="0"/>
    <m/>
  </r>
  <r>
    <x v="1412"/>
    <x v="3"/>
    <x v="1"/>
    <x v="5"/>
    <x v="1"/>
    <m/>
  </r>
  <r>
    <x v="1413"/>
    <x v="0"/>
    <x v="0"/>
    <x v="0"/>
    <x v="0"/>
    <m/>
  </r>
  <r>
    <x v="1414"/>
    <x v="3"/>
    <x v="1"/>
    <x v="1"/>
    <x v="1"/>
    <m/>
  </r>
  <r>
    <x v="1415"/>
    <x v="0"/>
    <x v="0"/>
    <x v="0"/>
    <x v="0"/>
    <m/>
  </r>
  <r>
    <x v="1416"/>
    <x v="0"/>
    <x v="0"/>
    <x v="0"/>
    <x v="0"/>
    <m/>
  </r>
  <r>
    <x v="1417"/>
    <x v="0"/>
    <x v="0"/>
    <x v="0"/>
    <x v="0"/>
    <m/>
  </r>
  <r>
    <x v="1418"/>
    <x v="0"/>
    <x v="0"/>
    <x v="0"/>
    <x v="0"/>
    <m/>
  </r>
  <r>
    <x v="1419"/>
    <x v="0"/>
    <x v="0"/>
    <x v="0"/>
    <x v="0"/>
    <m/>
  </r>
  <r>
    <x v="1420"/>
    <x v="0"/>
    <x v="0"/>
    <x v="0"/>
    <x v="0"/>
    <m/>
  </r>
  <r>
    <x v="1421"/>
    <x v="0"/>
    <x v="0"/>
    <x v="0"/>
    <x v="0"/>
    <m/>
  </r>
  <r>
    <x v="1422"/>
    <x v="3"/>
    <x v="1"/>
    <x v="5"/>
    <x v="1"/>
    <m/>
  </r>
  <r>
    <x v="1423"/>
    <x v="3"/>
    <x v="1"/>
    <x v="5"/>
    <x v="1"/>
    <m/>
  </r>
  <r>
    <x v="1424"/>
    <x v="0"/>
    <x v="0"/>
    <x v="0"/>
    <x v="0"/>
    <m/>
  </r>
  <r>
    <x v="1425"/>
    <x v="0"/>
    <x v="0"/>
    <x v="0"/>
    <x v="0"/>
    <m/>
  </r>
  <r>
    <x v="1426"/>
    <x v="0"/>
    <x v="0"/>
    <x v="0"/>
    <x v="0"/>
    <m/>
  </r>
  <r>
    <x v="1427"/>
    <x v="0"/>
    <x v="0"/>
    <x v="0"/>
    <x v="0"/>
    <m/>
  </r>
  <r>
    <x v="1428"/>
    <x v="1"/>
    <x v="1"/>
    <x v="4"/>
    <x v="1"/>
    <m/>
  </r>
  <r>
    <x v="1429"/>
    <x v="3"/>
    <x v="1"/>
    <x v="5"/>
    <x v="1"/>
    <m/>
  </r>
  <r>
    <x v="1430"/>
    <x v="1"/>
    <x v="1"/>
    <x v="4"/>
    <x v="1"/>
    <m/>
  </r>
  <r>
    <x v="1431"/>
    <x v="3"/>
    <x v="1"/>
    <x v="5"/>
    <x v="1"/>
    <m/>
  </r>
  <r>
    <x v="1432"/>
    <x v="0"/>
    <x v="0"/>
    <x v="0"/>
    <x v="0"/>
    <m/>
  </r>
  <r>
    <x v="1433"/>
    <x v="0"/>
    <x v="0"/>
    <x v="0"/>
    <x v="0"/>
    <m/>
  </r>
  <r>
    <x v="1434"/>
    <x v="1"/>
    <x v="1"/>
    <x v="5"/>
    <x v="1"/>
    <m/>
  </r>
  <r>
    <x v="1435"/>
    <x v="0"/>
    <x v="0"/>
    <x v="0"/>
    <x v="0"/>
    <m/>
  </r>
  <r>
    <x v="1436"/>
    <x v="0"/>
    <x v="0"/>
    <x v="0"/>
    <x v="0"/>
    <m/>
  </r>
  <r>
    <x v="1437"/>
    <x v="0"/>
    <x v="0"/>
    <x v="0"/>
    <x v="0"/>
    <m/>
  </r>
  <r>
    <x v="1438"/>
    <x v="0"/>
    <x v="0"/>
    <x v="0"/>
    <x v="0"/>
    <m/>
  </r>
  <r>
    <x v="1439"/>
    <x v="1"/>
    <x v="1"/>
    <x v="5"/>
    <x v="1"/>
    <m/>
  </r>
  <r>
    <x v="1440"/>
    <x v="0"/>
    <x v="0"/>
    <x v="0"/>
    <x v="0"/>
    <m/>
  </r>
  <r>
    <x v="1441"/>
    <x v="0"/>
    <x v="0"/>
    <x v="0"/>
    <x v="0"/>
    <m/>
  </r>
  <r>
    <x v="1442"/>
    <x v="0"/>
    <x v="0"/>
    <x v="0"/>
    <x v="0"/>
    <m/>
  </r>
  <r>
    <x v="1443"/>
    <x v="0"/>
    <x v="0"/>
    <x v="0"/>
    <x v="0"/>
    <m/>
  </r>
  <r>
    <x v="1444"/>
    <x v="1"/>
    <x v="1"/>
    <x v="4"/>
    <x v="1"/>
    <m/>
  </r>
  <r>
    <x v="1445"/>
    <x v="0"/>
    <x v="0"/>
    <x v="0"/>
    <x v="0"/>
    <m/>
  </r>
  <r>
    <x v="1446"/>
    <x v="1"/>
    <x v="5"/>
    <x v="5"/>
    <x v="5"/>
    <m/>
  </r>
  <r>
    <x v="1447"/>
    <x v="0"/>
    <x v="0"/>
    <x v="0"/>
    <x v="0"/>
    <m/>
  </r>
  <r>
    <x v="1448"/>
    <x v="0"/>
    <x v="0"/>
    <x v="0"/>
    <x v="0"/>
    <m/>
  </r>
  <r>
    <x v="1449"/>
    <x v="0"/>
    <x v="0"/>
    <x v="0"/>
    <x v="0"/>
    <m/>
  </r>
  <r>
    <x v="1450"/>
    <x v="0"/>
    <x v="0"/>
    <x v="0"/>
    <x v="0"/>
    <m/>
  </r>
  <r>
    <x v="1451"/>
    <x v="16"/>
    <x v="3"/>
    <x v="3"/>
    <x v="3"/>
    <m/>
  </r>
  <r>
    <x v="1452"/>
    <x v="0"/>
    <x v="0"/>
    <x v="0"/>
    <x v="0"/>
    <m/>
  </r>
  <r>
    <x v="1453"/>
    <x v="0"/>
    <x v="0"/>
    <x v="0"/>
    <x v="0"/>
    <m/>
  </r>
  <r>
    <x v="1454"/>
    <x v="3"/>
    <x v="1"/>
    <x v="5"/>
    <x v="1"/>
    <m/>
  </r>
  <r>
    <x v="1455"/>
    <x v="0"/>
    <x v="0"/>
    <x v="0"/>
    <x v="0"/>
    <m/>
  </r>
  <r>
    <x v="1456"/>
    <x v="0"/>
    <x v="0"/>
    <x v="0"/>
    <x v="0"/>
    <m/>
  </r>
  <r>
    <x v="1457"/>
    <x v="0"/>
    <x v="0"/>
    <x v="0"/>
    <x v="0"/>
    <m/>
  </r>
  <r>
    <x v="1458"/>
    <x v="1"/>
    <x v="1"/>
    <x v="1"/>
    <x v="1"/>
    <m/>
  </r>
  <r>
    <x v="1459"/>
    <x v="1"/>
    <x v="1"/>
    <x v="1"/>
    <x v="1"/>
    <m/>
  </r>
  <r>
    <x v="1460"/>
    <x v="0"/>
    <x v="0"/>
    <x v="0"/>
    <x v="0"/>
    <m/>
  </r>
  <r>
    <x v="1461"/>
    <x v="1"/>
    <x v="31"/>
    <x v="30"/>
    <x v="31"/>
    <m/>
  </r>
  <r>
    <x v="1462"/>
    <x v="0"/>
    <x v="0"/>
    <x v="0"/>
    <x v="0"/>
    <m/>
  </r>
  <r>
    <x v="1463"/>
    <x v="0"/>
    <x v="0"/>
    <x v="0"/>
    <x v="0"/>
    <m/>
  </r>
  <r>
    <x v="1464"/>
    <x v="0"/>
    <x v="0"/>
    <x v="0"/>
    <x v="0"/>
    <m/>
  </r>
  <r>
    <x v="1465"/>
    <x v="1"/>
    <x v="1"/>
    <x v="4"/>
    <x v="1"/>
    <m/>
  </r>
  <r>
    <x v="1466"/>
    <x v="3"/>
    <x v="4"/>
    <x v="5"/>
    <x v="4"/>
    <m/>
  </r>
  <r>
    <x v="1467"/>
    <x v="0"/>
    <x v="0"/>
    <x v="0"/>
    <x v="0"/>
    <m/>
  </r>
  <r>
    <x v="1468"/>
    <x v="0"/>
    <x v="0"/>
    <x v="0"/>
    <x v="0"/>
    <m/>
  </r>
  <r>
    <x v="1469"/>
    <x v="1"/>
    <x v="1"/>
    <x v="1"/>
    <x v="1"/>
    <m/>
  </r>
  <r>
    <x v="1470"/>
    <x v="0"/>
    <x v="0"/>
    <x v="0"/>
    <x v="0"/>
    <m/>
  </r>
  <r>
    <x v="1471"/>
    <x v="0"/>
    <x v="0"/>
    <x v="0"/>
    <x v="0"/>
    <m/>
  </r>
  <r>
    <x v="1472"/>
    <x v="0"/>
    <x v="0"/>
    <x v="0"/>
    <x v="0"/>
    <m/>
  </r>
  <r>
    <x v="1473"/>
    <x v="1"/>
    <x v="7"/>
    <x v="5"/>
    <x v="7"/>
    <m/>
  </r>
  <r>
    <x v="1474"/>
    <x v="1"/>
    <x v="4"/>
    <x v="5"/>
    <x v="4"/>
    <m/>
  </r>
  <r>
    <x v="1475"/>
    <x v="0"/>
    <x v="0"/>
    <x v="0"/>
    <x v="0"/>
    <m/>
  </r>
  <r>
    <x v="1476"/>
    <x v="0"/>
    <x v="0"/>
    <x v="0"/>
    <x v="0"/>
    <m/>
  </r>
  <r>
    <x v="1477"/>
    <x v="0"/>
    <x v="0"/>
    <x v="0"/>
    <x v="0"/>
    <m/>
  </r>
  <r>
    <x v="1478"/>
    <x v="0"/>
    <x v="0"/>
    <x v="0"/>
    <x v="0"/>
    <m/>
  </r>
  <r>
    <x v="1479"/>
    <x v="0"/>
    <x v="0"/>
    <x v="0"/>
    <x v="0"/>
    <m/>
  </r>
  <r>
    <x v="1480"/>
    <x v="1"/>
    <x v="3"/>
    <x v="3"/>
    <x v="3"/>
    <m/>
  </r>
  <r>
    <x v="1481"/>
    <x v="0"/>
    <x v="0"/>
    <x v="0"/>
    <x v="0"/>
    <m/>
  </r>
  <r>
    <x v="1482"/>
    <x v="6"/>
    <x v="5"/>
    <x v="5"/>
    <x v="5"/>
    <m/>
  </r>
  <r>
    <x v="1483"/>
    <x v="0"/>
    <x v="0"/>
    <x v="0"/>
    <x v="0"/>
    <m/>
  </r>
  <r>
    <x v="1484"/>
    <x v="0"/>
    <x v="0"/>
    <x v="0"/>
    <x v="0"/>
    <m/>
  </r>
  <r>
    <x v="1485"/>
    <x v="0"/>
    <x v="0"/>
    <x v="0"/>
    <x v="0"/>
    <m/>
  </r>
  <r>
    <x v="1486"/>
    <x v="0"/>
    <x v="0"/>
    <x v="0"/>
    <x v="0"/>
    <m/>
  </r>
  <r>
    <x v="1487"/>
    <x v="3"/>
    <x v="24"/>
    <x v="22"/>
    <x v="24"/>
    <m/>
  </r>
  <r>
    <x v="1488"/>
    <x v="0"/>
    <x v="0"/>
    <x v="0"/>
    <x v="0"/>
    <m/>
  </r>
  <r>
    <x v="1489"/>
    <x v="0"/>
    <x v="0"/>
    <x v="0"/>
    <x v="0"/>
    <m/>
  </r>
  <r>
    <x v="1490"/>
    <x v="0"/>
    <x v="0"/>
    <x v="0"/>
    <x v="0"/>
    <m/>
  </r>
  <r>
    <x v="1491"/>
    <x v="0"/>
    <x v="0"/>
    <x v="0"/>
    <x v="0"/>
    <m/>
  </r>
  <r>
    <x v="1492"/>
    <x v="0"/>
    <x v="0"/>
    <x v="0"/>
    <x v="0"/>
    <m/>
  </r>
  <r>
    <x v="1493"/>
    <x v="1"/>
    <x v="1"/>
    <x v="1"/>
    <x v="1"/>
    <m/>
  </r>
  <r>
    <x v="1494"/>
    <x v="0"/>
    <x v="0"/>
    <x v="0"/>
    <x v="0"/>
    <m/>
  </r>
  <r>
    <x v="1495"/>
    <x v="0"/>
    <x v="0"/>
    <x v="0"/>
    <x v="0"/>
    <m/>
  </r>
  <r>
    <x v="1496"/>
    <x v="3"/>
    <x v="7"/>
    <x v="5"/>
    <x v="7"/>
    <m/>
  </r>
  <r>
    <x v="1497"/>
    <x v="0"/>
    <x v="0"/>
    <x v="0"/>
    <x v="0"/>
    <m/>
  </r>
  <r>
    <x v="1498"/>
    <x v="0"/>
    <x v="0"/>
    <x v="0"/>
    <x v="0"/>
    <m/>
  </r>
  <r>
    <x v="1499"/>
    <x v="0"/>
    <x v="0"/>
    <x v="0"/>
    <x v="0"/>
    <m/>
  </r>
  <r>
    <x v="1500"/>
    <x v="0"/>
    <x v="0"/>
    <x v="0"/>
    <x v="0"/>
    <m/>
  </r>
  <r>
    <x v="1501"/>
    <x v="0"/>
    <x v="0"/>
    <x v="0"/>
    <x v="0"/>
    <m/>
  </r>
  <r>
    <x v="1502"/>
    <x v="0"/>
    <x v="0"/>
    <x v="0"/>
    <x v="0"/>
    <m/>
  </r>
  <r>
    <x v="1503"/>
    <x v="0"/>
    <x v="0"/>
    <x v="0"/>
    <x v="0"/>
    <m/>
  </r>
  <r>
    <x v="1504"/>
    <x v="0"/>
    <x v="0"/>
    <x v="0"/>
    <x v="0"/>
    <m/>
  </r>
  <r>
    <x v="1505"/>
    <x v="0"/>
    <x v="0"/>
    <x v="0"/>
    <x v="0"/>
    <m/>
  </r>
  <r>
    <x v="1506"/>
    <x v="0"/>
    <x v="0"/>
    <x v="0"/>
    <x v="0"/>
    <m/>
  </r>
  <r>
    <x v="1507"/>
    <x v="0"/>
    <x v="0"/>
    <x v="0"/>
    <x v="0"/>
    <m/>
  </r>
  <r>
    <x v="1508"/>
    <x v="0"/>
    <x v="0"/>
    <x v="0"/>
    <x v="0"/>
    <m/>
  </r>
  <r>
    <x v="1509"/>
    <x v="0"/>
    <x v="0"/>
    <x v="0"/>
    <x v="0"/>
    <m/>
  </r>
  <r>
    <x v="1510"/>
    <x v="0"/>
    <x v="0"/>
    <x v="0"/>
    <x v="0"/>
    <m/>
  </r>
  <r>
    <x v="1511"/>
    <x v="0"/>
    <x v="0"/>
    <x v="0"/>
    <x v="0"/>
    <m/>
  </r>
  <r>
    <x v="1512"/>
    <x v="0"/>
    <x v="0"/>
    <x v="0"/>
    <x v="0"/>
    <m/>
  </r>
  <r>
    <x v="1513"/>
    <x v="2"/>
    <x v="5"/>
    <x v="5"/>
    <x v="5"/>
    <m/>
  </r>
  <r>
    <x v="1514"/>
    <x v="1"/>
    <x v="5"/>
    <x v="5"/>
    <x v="5"/>
    <m/>
  </r>
  <r>
    <x v="1515"/>
    <x v="0"/>
    <x v="0"/>
    <x v="0"/>
    <x v="0"/>
    <m/>
  </r>
  <r>
    <x v="1516"/>
    <x v="3"/>
    <x v="6"/>
    <x v="6"/>
    <x v="6"/>
    <m/>
  </r>
  <r>
    <x v="1517"/>
    <x v="3"/>
    <x v="4"/>
    <x v="5"/>
    <x v="4"/>
    <m/>
  </r>
  <r>
    <x v="1518"/>
    <x v="0"/>
    <x v="0"/>
    <x v="0"/>
    <x v="0"/>
    <m/>
  </r>
  <r>
    <x v="1519"/>
    <x v="0"/>
    <x v="0"/>
    <x v="0"/>
    <x v="0"/>
    <m/>
  </r>
  <r>
    <x v="1520"/>
    <x v="0"/>
    <x v="0"/>
    <x v="0"/>
    <x v="0"/>
    <m/>
  </r>
  <r>
    <x v="1521"/>
    <x v="0"/>
    <x v="0"/>
    <x v="0"/>
    <x v="0"/>
    <m/>
  </r>
  <r>
    <x v="1522"/>
    <x v="0"/>
    <x v="0"/>
    <x v="0"/>
    <x v="0"/>
    <m/>
  </r>
  <r>
    <x v="1523"/>
    <x v="0"/>
    <x v="0"/>
    <x v="0"/>
    <x v="0"/>
    <m/>
  </r>
  <r>
    <x v="1524"/>
    <x v="0"/>
    <x v="0"/>
    <x v="0"/>
    <x v="0"/>
    <m/>
  </r>
  <r>
    <x v="1525"/>
    <x v="3"/>
    <x v="1"/>
    <x v="5"/>
    <x v="1"/>
    <m/>
  </r>
  <r>
    <x v="1526"/>
    <x v="3"/>
    <x v="1"/>
    <x v="5"/>
    <x v="1"/>
    <m/>
  </r>
  <r>
    <x v="1527"/>
    <x v="1"/>
    <x v="1"/>
    <x v="5"/>
    <x v="1"/>
    <m/>
  </r>
  <r>
    <x v="1528"/>
    <x v="0"/>
    <x v="0"/>
    <x v="0"/>
    <x v="0"/>
    <m/>
  </r>
  <r>
    <x v="1529"/>
    <x v="0"/>
    <x v="0"/>
    <x v="0"/>
    <x v="0"/>
    <m/>
  </r>
  <r>
    <x v="1530"/>
    <x v="0"/>
    <x v="0"/>
    <x v="0"/>
    <x v="0"/>
    <m/>
  </r>
  <r>
    <x v="1531"/>
    <x v="0"/>
    <x v="0"/>
    <x v="0"/>
    <x v="0"/>
    <m/>
  </r>
  <r>
    <x v="1532"/>
    <x v="0"/>
    <x v="0"/>
    <x v="0"/>
    <x v="0"/>
    <m/>
  </r>
  <r>
    <x v="1533"/>
    <x v="0"/>
    <x v="0"/>
    <x v="0"/>
    <x v="0"/>
    <m/>
  </r>
  <r>
    <x v="1534"/>
    <x v="0"/>
    <x v="0"/>
    <x v="0"/>
    <x v="0"/>
    <m/>
  </r>
  <r>
    <x v="1535"/>
    <x v="1"/>
    <x v="4"/>
    <x v="5"/>
    <x v="4"/>
    <m/>
  </r>
  <r>
    <x v="1536"/>
    <x v="0"/>
    <x v="0"/>
    <x v="0"/>
    <x v="0"/>
    <m/>
  </r>
  <r>
    <x v="1537"/>
    <x v="3"/>
    <x v="1"/>
    <x v="5"/>
    <x v="1"/>
    <m/>
  </r>
  <r>
    <x v="1538"/>
    <x v="0"/>
    <x v="0"/>
    <x v="0"/>
    <x v="0"/>
    <m/>
  </r>
  <r>
    <x v="1539"/>
    <x v="0"/>
    <x v="0"/>
    <x v="0"/>
    <x v="0"/>
    <m/>
  </r>
  <r>
    <x v="1540"/>
    <x v="0"/>
    <x v="0"/>
    <x v="0"/>
    <x v="0"/>
    <m/>
  </r>
  <r>
    <x v="1541"/>
    <x v="1"/>
    <x v="6"/>
    <x v="6"/>
    <x v="6"/>
    <m/>
  </r>
  <r>
    <x v="1542"/>
    <x v="0"/>
    <x v="0"/>
    <x v="0"/>
    <x v="0"/>
    <m/>
  </r>
  <r>
    <x v="1543"/>
    <x v="0"/>
    <x v="0"/>
    <x v="0"/>
    <x v="0"/>
    <m/>
  </r>
  <r>
    <x v="1544"/>
    <x v="0"/>
    <x v="0"/>
    <x v="0"/>
    <x v="0"/>
    <m/>
  </r>
  <r>
    <x v="1545"/>
    <x v="0"/>
    <x v="0"/>
    <x v="0"/>
    <x v="0"/>
    <m/>
  </r>
  <r>
    <x v="1546"/>
    <x v="0"/>
    <x v="0"/>
    <x v="0"/>
    <x v="0"/>
    <m/>
  </r>
  <r>
    <x v="1547"/>
    <x v="0"/>
    <x v="0"/>
    <x v="0"/>
    <x v="0"/>
    <m/>
  </r>
  <r>
    <x v="1548"/>
    <x v="0"/>
    <x v="0"/>
    <x v="0"/>
    <x v="0"/>
    <m/>
  </r>
  <r>
    <x v="1549"/>
    <x v="0"/>
    <x v="0"/>
    <x v="0"/>
    <x v="0"/>
    <m/>
  </r>
  <r>
    <x v="1550"/>
    <x v="1"/>
    <x v="4"/>
    <x v="5"/>
    <x v="4"/>
    <m/>
  </r>
  <r>
    <x v="1551"/>
    <x v="0"/>
    <x v="0"/>
    <x v="0"/>
    <x v="0"/>
    <m/>
  </r>
  <r>
    <x v="1552"/>
    <x v="1"/>
    <x v="4"/>
    <x v="5"/>
    <x v="4"/>
    <m/>
  </r>
  <r>
    <x v="1553"/>
    <x v="0"/>
    <x v="0"/>
    <x v="0"/>
    <x v="0"/>
    <m/>
  </r>
  <r>
    <x v="1554"/>
    <x v="0"/>
    <x v="0"/>
    <x v="0"/>
    <x v="0"/>
    <m/>
  </r>
  <r>
    <x v="1555"/>
    <x v="0"/>
    <x v="0"/>
    <x v="0"/>
    <x v="0"/>
    <m/>
  </r>
  <r>
    <x v="1556"/>
    <x v="0"/>
    <x v="0"/>
    <x v="0"/>
    <x v="0"/>
    <m/>
  </r>
  <r>
    <x v="1557"/>
    <x v="1"/>
    <x v="1"/>
    <x v="5"/>
    <x v="1"/>
    <m/>
  </r>
  <r>
    <x v="1558"/>
    <x v="0"/>
    <x v="0"/>
    <x v="0"/>
    <x v="0"/>
    <m/>
  </r>
  <r>
    <x v="1559"/>
    <x v="0"/>
    <x v="0"/>
    <x v="0"/>
    <x v="0"/>
    <m/>
  </r>
  <r>
    <x v="1560"/>
    <x v="0"/>
    <x v="0"/>
    <x v="0"/>
    <x v="0"/>
    <m/>
  </r>
  <r>
    <x v="1561"/>
    <x v="0"/>
    <x v="0"/>
    <x v="0"/>
    <x v="0"/>
    <m/>
  </r>
  <r>
    <x v="1562"/>
    <x v="3"/>
    <x v="1"/>
    <x v="5"/>
    <x v="1"/>
    <m/>
  </r>
  <r>
    <x v="1563"/>
    <x v="0"/>
    <x v="0"/>
    <x v="0"/>
    <x v="0"/>
    <m/>
  </r>
  <r>
    <x v="1564"/>
    <x v="0"/>
    <x v="0"/>
    <x v="0"/>
    <x v="0"/>
    <m/>
  </r>
  <r>
    <x v="1565"/>
    <x v="0"/>
    <x v="0"/>
    <x v="0"/>
    <x v="0"/>
    <m/>
  </r>
  <r>
    <x v="1566"/>
    <x v="1"/>
    <x v="1"/>
    <x v="5"/>
    <x v="1"/>
    <m/>
  </r>
  <r>
    <x v="1567"/>
    <x v="0"/>
    <x v="0"/>
    <x v="0"/>
    <x v="0"/>
    <m/>
  </r>
  <r>
    <x v="1568"/>
    <x v="0"/>
    <x v="0"/>
    <x v="0"/>
    <x v="0"/>
    <m/>
  </r>
  <r>
    <x v="1569"/>
    <x v="0"/>
    <x v="0"/>
    <x v="0"/>
    <x v="0"/>
    <m/>
  </r>
  <r>
    <x v="1570"/>
    <x v="3"/>
    <x v="1"/>
    <x v="5"/>
    <x v="1"/>
    <m/>
  </r>
  <r>
    <x v="1571"/>
    <x v="3"/>
    <x v="1"/>
    <x v="5"/>
    <x v="1"/>
    <m/>
  </r>
  <r>
    <x v="1572"/>
    <x v="0"/>
    <x v="0"/>
    <x v="0"/>
    <x v="0"/>
    <m/>
  </r>
  <r>
    <x v="1573"/>
    <x v="0"/>
    <x v="0"/>
    <x v="0"/>
    <x v="0"/>
    <m/>
  </r>
  <r>
    <x v="1574"/>
    <x v="1"/>
    <x v="1"/>
    <x v="1"/>
    <x v="1"/>
    <m/>
  </r>
  <r>
    <x v="1575"/>
    <x v="2"/>
    <x v="5"/>
    <x v="1"/>
    <x v="5"/>
    <m/>
  </r>
  <r>
    <x v="1576"/>
    <x v="0"/>
    <x v="0"/>
    <x v="0"/>
    <x v="0"/>
    <m/>
  </r>
  <r>
    <x v="1577"/>
    <x v="2"/>
    <x v="3"/>
    <x v="3"/>
    <x v="3"/>
    <m/>
  </r>
  <r>
    <x v="1578"/>
    <x v="0"/>
    <x v="0"/>
    <x v="0"/>
    <x v="0"/>
    <m/>
  </r>
  <r>
    <x v="1579"/>
    <x v="0"/>
    <x v="0"/>
    <x v="0"/>
    <x v="0"/>
    <m/>
  </r>
  <r>
    <x v="1580"/>
    <x v="0"/>
    <x v="0"/>
    <x v="0"/>
    <x v="0"/>
    <m/>
  </r>
  <r>
    <x v="1581"/>
    <x v="0"/>
    <x v="0"/>
    <x v="0"/>
    <x v="0"/>
    <m/>
  </r>
  <r>
    <x v="1582"/>
    <x v="0"/>
    <x v="0"/>
    <x v="0"/>
    <x v="0"/>
    <m/>
  </r>
  <r>
    <x v="1583"/>
    <x v="1"/>
    <x v="8"/>
    <x v="7"/>
    <x v="8"/>
    <m/>
  </r>
  <r>
    <x v="1584"/>
    <x v="3"/>
    <x v="5"/>
    <x v="5"/>
    <x v="5"/>
    <m/>
  </r>
  <r>
    <x v="1585"/>
    <x v="10"/>
    <x v="5"/>
    <x v="5"/>
    <x v="5"/>
    <m/>
  </r>
  <r>
    <x v="1586"/>
    <x v="0"/>
    <x v="0"/>
    <x v="0"/>
    <x v="0"/>
    <m/>
  </r>
  <r>
    <x v="1587"/>
    <x v="0"/>
    <x v="0"/>
    <x v="0"/>
    <x v="0"/>
    <m/>
  </r>
  <r>
    <x v="1588"/>
    <x v="0"/>
    <x v="0"/>
    <x v="0"/>
    <x v="0"/>
    <m/>
  </r>
  <r>
    <x v="1589"/>
    <x v="0"/>
    <x v="0"/>
    <x v="0"/>
    <x v="0"/>
    <m/>
  </r>
  <r>
    <x v="1590"/>
    <x v="0"/>
    <x v="0"/>
    <x v="0"/>
    <x v="0"/>
    <m/>
  </r>
  <r>
    <x v="1591"/>
    <x v="6"/>
    <x v="5"/>
    <x v="5"/>
    <x v="5"/>
    <m/>
  </r>
  <r>
    <x v="1592"/>
    <x v="0"/>
    <x v="0"/>
    <x v="0"/>
    <x v="0"/>
    <m/>
  </r>
  <r>
    <x v="1593"/>
    <x v="0"/>
    <x v="0"/>
    <x v="0"/>
    <x v="0"/>
    <m/>
  </r>
  <r>
    <x v="1594"/>
    <x v="1"/>
    <x v="27"/>
    <x v="25"/>
    <x v="27"/>
    <m/>
  </r>
  <r>
    <x v="1595"/>
    <x v="3"/>
    <x v="24"/>
    <x v="22"/>
    <x v="24"/>
    <m/>
  </r>
  <r>
    <x v="1596"/>
    <x v="1"/>
    <x v="6"/>
    <x v="6"/>
    <x v="6"/>
    <m/>
  </r>
  <r>
    <x v="1597"/>
    <x v="0"/>
    <x v="0"/>
    <x v="0"/>
    <x v="0"/>
    <m/>
  </r>
  <r>
    <x v="1598"/>
    <x v="0"/>
    <x v="0"/>
    <x v="0"/>
    <x v="0"/>
    <m/>
  </r>
  <r>
    <x v="1599"/>
    <x v="0"/>
    <x v="0"/>
    <x v="0"/>
    <x v="0"/>
    <m/>
  </r>
  <r>
    <x v="1600"/>
    <x v="0"/>
    <x v="0"/>
    <x v="0"/>
    <x v="0"/>
    <m/>
  </r>
  <r>
    <x v="1601"/>
    <x v="0"/>
    <x v="0"/>
    <x v="0"/>
    <x v="0"/>
    <m/>
  </r>
  <r>
    <x v="1602"/>
    <x v="1"/>
    <x v="1"/>
    <x v="5"/>
    <x v="1"/>
    <m/>
  </r>
  <r>
    <x v="1603"/>
    <x v="1"/>
    <x v="4"/>
    <x v="5"/>
    <x v="4"/>
    <m/>
  </r>
  <r>
    <x v="1604"/>
    <x v="0"/>
    <x v="0"/>
    <x v="0"/>
    <x v="0"/>
    <m/>
  </r>
  <r>
    <x v="1605"/>
    <x v="17"/>
    <x v="34"/>
    <x v="34"/>
    <x v="34"/>
    <m/>
  </r>
  <r>
    <x v="1606"/>
    <x v="0"/>
    <x v="0"/>
    <x v="0"/>
    <x v="0"/>
    <m/>
  </r>
  <r>
    <x v="1607"/>
    <x v="1"/>
    <x v="6"/>
    <x v="6"/>
    <x v="6"/>
    <m/>
  </r>
  <r>
    <x v="1608"/>
    <x v="0"/>
    <x v="0"/>
    <x v="0"/>
    <x v="0"/>
    <m/>
  </r>
  <r>
    <x v="1609"/>
    <x v="0"/>
    <x v="0"/>
    <x v="0"/>
    <x v="0"/>
    <m/>
  </r>
  <r>
    <x v="1610"/>
    <x v="0"/>
    <x v="0"/>
    <x v="0"/>
    <x v="0"/>
    <m/>
  </r>
  <r>
    <x v="1611"/>
    <x v="3"/>
    <x v="1"/>
    <x v="5"/>
    <x v="1"/>
    <m/>
  </r>
  <r>
    <x v="1612"/>
    <x v="0"/>
    <x v="0"/>
    <x v="0"/>
    <x v="0"/>
    <m/>
  </r>
  <r>
    <x v="1613"/>
    <x v="0"/>
    <x v="0"/>
    <x v="0"/>
    <x v="0"/>
    <m/>
  </r>
  <r>
    <x v="1614"/>
    <x v="0"/>
    <x v="0"/>
    <x v="0"/>
    <x v="0"/>
    <m/>
  </r>
  <r>
    <x v="1615"/>
    <x v="1"/>
    <x v="1"/>
    <x v="5"/>
    <x v="1"/>
    <m/>
  </r>
  <r>
    <x v="1616"/>
    <x v="3"/>
    <x v="1"/>
    <x v="5"/>
    <x v="1"/>
    <m/>
  </r>
  <r>
    <x v="1617"/>
    <x v="1"/>
    <x v="1"/>
    <x v="4"/>
    <x v="1"/>
    <m/>
  </r>
  <r>
    <x v="1618"/>
    <x v="0"/>
    <x v="0"/>
    <x v="0"/>
    <x v="0"/>
    <m/>
  </r>
  <r>
    <x v="1619"/>
    <x v="0"/>
    <x v="0"/>
    <x v="0"/>
    <x v="0"/>
    <m/>
  </r>
  <r>
    <x v="1620"/>
    <x v="1"/>
    <x v="7"/>
    <x v="5"/>
    <x v="7"/>
    <m/>
  </r>
  <r>
    <x v="1621"/>
    <x v="3"/>
    <x v="1"/>
    <x v="5"/>
    <x v="1"/>
    <m/>
  </r>
  <r>
    <x v="1622"/>
    <x v="1"/>
    <x v="4"/>
    <x v="5"/>
    <x v="4"/>
    <m/>
  </r>
  <r>
    <x v="1623"/>
    <x v="0"/>
    <x v="0"/>
    <x v="0"/>
    <x v="0"/>
    <m/>
  </r>
  <r>
    <x v="1624"/>
    <x v="10"/>
    <x v="2"/>
    <x v="2"/>
    <x v="2"/>
    <m/>
  </r>
  <r>
    <x v="1625"/>
    <x v="0"/>
    <x v="0"/>
    <x v="0"/>
    <x v="0"/>
    <m/>
  </r>
  <r>
    <x v="1626"/>
    <x v="0"/>
    <x v="0"/>
    <x v="0"/>
    <x v="0"/>
    <m/>
  </r>
  <r>
    <x v="1627"/>
    <x v="0"/>
    <x v="0"/>
    <x v="0"/>
    <x v="0"/>
    <m/>
  </r>
  <r>
    <x v="1628"/>
    <x v="0"/>
    <x v="0"/>
    <x v="0"/>
    <x v="0"/>
    <m/>
  </r>
  <r>
    <x v="1629"/>
    <x v="0"/>
    <x v="0"/>
    <x v="0"/>
    <x v="0"/>
    <m/>
  </r>
  <r>
    <x v="1630"/>
    <x v="3"/>
    <x v="1"/>
    <x v="5"/>
    <x v="1"/>
    <m/>
  </r>
  <r>
    <x v="1631"/>
    <x v="1"/>
    <x v="1"/>
    <x v="5"/>
    <x v="1"/>
    <m/>
  </r>
  <r>
    <x v="1632"/>
    <x v="1"/>
    <x v="1"/>
    <x v="5"/>
    <x v="1"/>
    <m/>
  </r>
  <r>
    <x v="1633"/>
    <x v="0"/>
    <x v="0"/>
    <x v="0"/>
    <x v="0"/>
    <m/>
  </r>
  <r>
    <x v="1634"/>
    <x v="1"/>
    <x v="7"/>
    <x v="5"/>
    <x v="7"/>
    <m/>
  </r>
  <r>
    <x v="1635"/>
    <x v="0"/>
    <x v="0"/>
    <x v="0"/>
    <x v="0"/>
    <m/>
  </r>
  <r>
    <x v="1636"/>
    <x v="0"/>
    <x v="0"/>
    <x v="0"/>
    <x v="0"/>
    <m/>
  </r>
  <r>
    <x v="1637"/>
    <x v="1"/>
    <x v="1"/>
    <x v="1"/>
    <x v="1"/>
    <m/>
  </r>
  <r>
    <x v="1638"/>
    <x v="0"/>
    <x v="0"/>
    <x v="0"/>
    <x v="0"/>
    <m/>
  </r>
  <r>
    <x v="1639"/>
    <x v="0"/>
    <x v="0"/>
    <x v="0"/>
    <x v="0"/>
    <m/>
  </r>
  <r>
    <x v="1640"/>
    <x v="0"/>
    <x v="0"/>
    <x v="0"/>
    <x v="0"/>
    <m/>
  </r>
  <r>
    <x v="1641"/>
    <x v="0"/>
    <x v="0"/>
    <x v="0"/>
    <x v="0"/>
    <m/>
  </r>
  <r>
    <x v="1642"/>
    <x v="0"/>
    <x v="0"/>
    <x v="0"/>
    <x v="0"/>
    <m/>
  </r>
  <r>
    <x v="1643"/>
    <x v="1"/>
    <x v="2"/>
    <x v="2"/>
    <x v="2"/>
    <m/>
  </r>
  <r>
    <x v="1644"/>
    <x v="1"/>
    <x v="2"/>
    <x v="2"/>
    <x v="2"/>
    <m/>
  </r>
  <r>
    <x v="1645"/>
    <x v="0"/>
    <x v="0"/>
    <x v="0"/>
    <x v="0"/>
    <m/>
  </r>
  <r>
    <x v="1646"/>
    <x v="1"/>
    <x v="6"/>
    <x v="6"/>
    <x v="6"/>
    <m/>
  </r>
  <r>
    <x v="1647"/>
    <x v="1"/>
    <x v="4"/>
    <x v="5"/>
    <x v="4"/>
    <m/>
  </r>
  <r>
    <x v="1648"/>
    <x v="0"/>
    <x v="0"/>
    <x v="0"/>
    <x v="0"/>
    <m/>
  </r>
  <r>
    <x v="1649"/>
    <x v="0"/>
    <x v="0"/>
    <x v="0"/>
    <x v="0"/>
    <m/>
  </r>
  <r>
    <x v="1650"/>
    <x v="0"/>
    <x v="0"/>
    <x v="0"/>
    <x v="0"/>
    <m/>
  </r>
  <r>
    <x v="1651"/>
    <x v="0"/>
    <x v="0"/>
    <x v="0"/>
    <x v="0"/>
    <m/>
  </r>
  <r>
    <x v="1652"/>
    <x v="0"/>
    <x v="0"/>
    <x v="0"/>
    <x v="0"/>
    <m/>
  </r>
  <r>
    <x v="1653"/>
    <x v="0"/>
    <x v="0"/>
    <x v="0"/>
    <x v="0"/>
    <m/>
  </r>
  <r>
    <x v="1654"/>
    <x v="0"/>
    <x v="0"/>
    <x v="0"/>
    <x v="0"/>
    <m/>
  </r>
  <r>
    <x v="1655"/>
    <x v="0"/>
    <x v="0"/>
    <x v="0"/>
    <x v="0"/>
    <m/>
  </r>
  <r>
    <x v="1656"/>
    <x v="1"/>
    <x v="4"/>
    <x v="5"/>
    <x v="4"/>
    <m/>
  </r>
  <r>
    <x v="1657"/>
    <x v="1"/>
    <x v="4"/>
    <x v="5"/>
    <x v="4"/>
    <m/>
  </r>
  <r>
    <x v="1658"/>
    <x v="0"/>
    <x v="0"/>
    <x v="0"/>
    <x v="0"/>
    <m/>
  </r>
  <r>
    <x v="1659"/>
    <x v="0"/>
    <x v="0"/>
    <x v="0"/>
    <x v="0"/>
    <m/>
  </r>
  <r>
    <x v="1660"/>
    <x v="0"/>
    <x v="0"/>
    <x v="0"/>
    <x v="0"/>
    <m/>
  </r>
  <r>
    <x v="1661"/>
    <x v="1"/>
    <x v="4"/>
    <x v="5"/>
    <x v="4"/>
    <m/>
  </r>
  <r>
    <x v="1662"/>
    <x v="1"/>
    <x v="1"/>
    <x v="4"/>
    <x v="1"/>
    <m/>
  </r>
  <r>
    <x v="1663"/>
    <x v="0"/>
    <x v="0"/>
    <x v="0"/>
    <x v="0"/>
    <m/>
  </r>
  <r>
    <x v="1664"/>
    <x v="3"/>
    <x v="7"/>
    <x v="5"/>
    <x v="7"/>
    <m/>
  </r>
  <r>
    <x v="1665"/>
    <x v="1"/>
    <x v="3"/>
    <x v="3"/>
    <x v="3"/>
    <m/>
  </r>
  <r>
    <x v="1666"/>
    <x v="0"/>
    <x v="0"/>
    <x v="0"/>
    <x v="0"/>
    <m/>
  </r>
  <r>
    <x v="1667"/>
    <x v="0"/>
    <x v="0"/>
    <x v="0"/>
    <x v="0"/>
    <m/>
  </r>
  <r>
    <x v="1668"/>
    <x v="0"/>
    <x v="0"/>
    <x v="0"/>
    <x v="0"/>
    <m/>
  </r>
  <r>
    <x v="1669"/>
    <x v="0"/>
    <x v="0"/>
    <x v="0"/>
    <x v="0"/>
    <m/>
  </r>
  <r>
    <x v="1670"/>
    <x v="3"/>
    <x v="4"/>
    <x v="5"/>
    <x v="4"/>
    <m/>
  </r>
  <r>
    <x v="1671"/>
    <x v="0"/>
    <x v="0"/>
    <x v="0"/>
    <x v="0"/>
    <m/>
  </r>
  <r>
    <x v="1672"/>
    <x v="1"/>
    <x v="1"/>
    <x v="5"/>
    <x v="1"/>
    <m/>
  </r>
  <r>
    <x v="1673"/>
    <x v="1"/>
    <x v="1"/>
    <x v="1"/>
    <x v="1"/>
    <m/>
  </r>
  <r>
    <x v="1674"/>
    <x v="0"/>
    <x v="0"/>
    <x v="0"/>
    <x v="0"/>
    <m/>
  </r>
  <r>
    <x v="1675"/>
    <x v="0"/>
    <x v="0"/>
    <x v="0"/>
    <x v="0"/>
    <m/>
  </r>
  <r>
    <x v="1676"/>
    <x v="0"/>
    <x v="0"/>
    <x v="0"/>
    <x v="0"/>
    <m/>
  </r>
  <r>
    <x v="1677"/>
    <x v="0"/>
    <x v="0"/>
    <x v="0"/>
    <x v="0"/>
    <m/>
  </r>
  <r>
    <x v="1678"/>
    <x v="0"/>
    <x v="0"/>
    <x v="0"/>
    <x v="0"/>
    <m/>
  </r>
  <r>
    <x v="1679"/>
    <x v="0"/>
    <x v="0"/>
    <x v="0"/>
    <x v="0"/>
    <m/>
  </r>
  <r>
    <x v="1680"/>
    <x v="0"/>
    <x v="0"/>
    <x v="0"/>
    <x v="0"/>
    <m/>
  </r>
  <r>
    <x v="1681"/>
    <x v="0"/>
    <x v="0"/>
    <x v="0"/>
    <x v="0"/>
    <m/>
  </r>
  <r>
    <x v="1682"/>
    <x v="1"/>
    <x v="1"/>
    <x v="4"/>
    <x v="1"/>
    <m/>
  </r>
  <r>
    <x v="1683"/>
    <x v="0"/>
    <x v="0"/>
    <x v="0"/>
    <x v="0"/>
    <m/>
  </r>
  <r>
    <x v="1684"/>
    <x v="0"/>
    <x v="0"/>
    <x v="0"/>
    <x v="0"/>
    <m/>
  </r>
  <r>
    <x v="1685"/>
    <x v="5"/>
    <x v="5"/>
    <x v="5"/>
    <x v="5"/>
    <m/>
  </r>
  <r>
    <x v="1686"/>
    <x v="1"/>
    <x v="1"/>
    <x v="5"/>
    <x v="1"/>
    <m/>
  </r>
  <r>
    <x v="1687"/>
    <x v="1"/>
    <x v="1"/>
    <x v="5"/>
    <x v="1"/>
    <m/>
  </r>
  <r>
    <x v="1688"/>
    <x v="0"/>
    <x v="0"/>
    <x v="0"/>
    <x v="0"/>
    <m/>
  </r>
  <r>
    <x v="1689"/>
    <x v="0"/>
    <x v="0"/>
    <x v="0"/>
    <x v="0"/>
    <m/>
  </r>
  <r>
    <x v="1690"/>
    <x v="0"/>
    <x v="0"/>
    <x v="0"/>
    <x v="0"/>
    <m/>
  </r>
  <r>
    <x v="1691"/>
    <x v="2"/>
    <x v="5"/>
    <x v="5"/>
    <x v="5"/>
    <m/>
  </r>
  <r>
    <x v="1692"/>
    <x v="0"/>
    <x v="0"/>
    <x v="0"/>
    <x v="0"/>
    <m/>
  </r>
  <r>
    <x v="1693"/>
    <x v="1"/>
    <x v="4"/>
    <x v="5"/>
    <x v="4"/>
    <m/>
  </r>
  <r>
    <x v="1694"/>
    <x v="3"/>
    <x v="1"/>
    <x v="5"/>
    <x v="1"/>
    <m/>
  </r>
  <r>
    <x v="1695"/>
    <x v="0"/>
    <x v="0"/>
    <x v="0"/>
    <x v="0"/>
    <m/>
  </r>
  <r>
    <x v="1696"/>
    <x v="0"/>
    <x v="0"/>
    <x v="0"/>
    <x v="0"/>
    <m/>
  </r>
  <r>
    <x v="1697"/>
    <x v="0"/>
    <x v="0"/>
    <x v="0"/>
    <x v="0"/>
    <m/>
  </r>
  <r>
    <x v="1698"/>
    <x v="0"/>
    <x v="0"/>
    <x v="0"/>
    <x v="0"/>
    <m/>
  </r>
  <r>
    <x v="1699"/>
    <x v="1"/>
    <x v="7"/>
    <x v="5"/>
    <x v="7"/>
    <m/>
  </r>
  <r>
    <x v="1700"/>
    <x v="1"/>
    <x v="4"/>
    <x v="5"/>
    <x v="4"/>
    <m/>
  </r>
  <r>
    <x v="1701"/>
    <x v="0"/>
    <x v="0"/>
    <x v="0"/>
    <x v="0"/>
    <m/>
  </r>
  <r>
    <x v="1702"/>
    <x v="3"/>
    <x v="24"/>
    <x v="22"/>
    <x v="24"/>
    <m/>
  </r>
  <r>
    <x v="1703"/>
    <x v="0"/>
    <x v="0"/>
    <x v="0"/>
    <x v="0"/>
    <m/>
  </r>
  <r>
    <x v="1704"/>
    <x v="0"/>
    <x v="0"/>
    <x v="0"/>
    <x v="0"/>
    <m/>
  </r>
  <r>
    <x v="1705"/>
    <x v="1"/>
    <x v="1"/>
    <x v="4"/>
    <x v="1"/>
    <m/>
  </r>
  <r>
    <x v="1706"/>
    <x v="1"/>
    <x v="1"/>
    <x v="5"/>
    <x v="1"/>
    <m/>
  </r>
  <r>
    <x v="1707"/>
    <x v="0"/>
    <x v="0"/>
    <x v="0"/>
    <x v="0"/>
    <m/>
  </r>
  <r>
    <x v="1708"/>
    <x v="1"/>
    <x v="4"/>
    <x v="5"/>
    <x v="4"/>
    <m/>
  </r>
  <r>
    <x v="1709"/>
    <x v="0"/>
    <x v="0"/>
    <x v="0"/>
    <x v="0"/>
    <m/>
  </r>
  <r>
    <x v="1710"/>
    <x v="0"/>
    <x v="0"/>
    <x v="0"/>
    <x v="0"/>
    <m/>
  </r>
  <r>
    <x v="1711"/>
    <x v="0"/>
    <x v="0"/>
    <x v="0"/>
    <x v="0"/>
    <m/>
  </r>
  <r>
    <x v="1712"/>
    <x v="0"/>
    <x v="0"/>
    <x v="0"/>
    <x v="0"/>
    <m/>
  </r>
  <r>
    <x v="1713"/>
    <x v="0"/>
    <x v="0"/>
    <x v="0"/>
    <x v="0"/>
    <m/>
  </r>
  <r>
    <x v="1714"/>
    <x v="0"/>
    <x v="0"/>
    <x v="0"/>
    <x v="0"/>
    <m/>
  </r>
  <r>
    <x v="1715"/>
    <x v="1"/>
    <x v="8"/>
    <x v="7"/>
    <x v="8"/>
    <m/>
  </r>
  <r>
    <x v="1716"/>
    <x v="0"/>
    <x v="0"/>
    <x v="0"/>
    <x v="0"/>
    <m/>
  </r>
  <r>
    <x v="1717"/>
    <x v="1"/>
    <x v="4"/>
    <x v="5"/>
    <x v="4"/>
    <m/>
  </r>
  <r>
    <x v="1718"/>
    <x v="1"/>
    <x v="1"/>
    <x v="5"/>
    <x v="1"/>
    <m/>
  </r>
  <r>
    <x v="1719"/>
    <x v="5"/>
    <x v="5"/>
    <x v="33"/>
    <x v="5"/>
    <m/>
  </r>
  <r>
    <x v="1720"/>
    <x v="0"/>
    <x v="0"/>
    <x v="0"/>
    <x v="0"/>
    <m/>
  </r>
  <r>
    <x v="1721"/>
    <x v="1"/>
    <x v="6"/>
    <x v="6"/>
    <x v="6"/>
    <m/>
  </r>
  <r>
    <x v="1722"/>
    <x v="0"/>
    <x v="0"/>
    <x v="0"/>
    <x v="0"/>
    <m/>
  </r>
  <r>
    <x v="1723"/>
    <x v="0"/>
    <x v="0"/>
    <x v="0"/>
    <x v="0"/>
    <m/>
  </r>
  <r>
    <x v="1724"/>
    <x v="1"/>
    <x v="35"/>
    <x v="35"/>
    <x v="35"/>
    <m/>
  </r>
  <r>
    <x v="1725"/>
    <x v="1"/>
    <x v="1"/>
    <x v="1"/>
    <x v="1"/>
    <m/>
  </r>
  <r>
    <x v="1726"/>
    <x v="0"/>
    <x v="0"/>
    <x v="0"/>
    <x v="0"/>
    <m/>
  </r>
  <r>
    <x v="1727"/>
    <x v="0"/>
    <x v="0"/>
    <x v="0"/>
    <x v="0"/>
    <m/>
  </r>
  <r>
    <x v="1728"/>
    <x v="18"/>
    <x v="1"/>
    <x v="1"/>
    <x v="1"/>
    <m/>
  </r>
  <r>
    <x v="1729"/>
    <x v="3"/>
    <x v="4"/>
    <x v="5"/>
    <x v="4"/>
    <m/>
  </r>
  <r>
    <x v="1730"/>
    <x v="1"/>
    <x v="4"/>
    <x v="5"/>
    <x v="4"/>
    <m/>
  </r>
  <r>
    <x v="1731"/>
    <x v="0"/>
    <x v="0"/>
    <x v="0"/>
    <x v="0"/>
    <m/>
  </r>
  <r>
    <x v="1732"/>
    <x v="0"/>
    <x v="0"/>
    <x v="0"/>
    <x v="0"/>
    <m/>
  </r>
  <r>
    <x v="1733"/>
    <x v="2"/>
    <x v="1"/>
    <x v="1"/>
    <x v="1"/>
    <m/>
  </r>
  <r>
    <x v="1734"/>
    <x v="0"/>
    <x v="0"/>
    <x v="0"/>
    <x v="0"/>
    <m/>
  </r>
  <r>
    <x v="1735"/>
    <x v="3"/>
    <x v="3"/>
    <x v="3"/>
    <x v="3"/>
    <m/>
  </r>
  <r>
    <x v="1736"/>
    <x v="1"/>
    <x v="3"/>
    <x v="3"/>
    <x v="3"/>
    <m/>
  </r>
  <r>
    <x v="1737"/>
    <x v="0"/>
    <x v="0"/>
    <x v="0"/>
    <x v="0"/>
    <m/>
  </r>
  <r>
    <x v="1738"/>
    <x v="0"/>
    <x v="0"/>
    <x v="0"/>
    <x v="0"/>
    <m/>
  </r>
  <r>
    <x v="1739"/>
    <x v="1"/>
    <x v="1"/>
    <x v="1"/>
    <x v="1"/>
    <m/>
  </r>
  <r>
    <x v="1740"/>
    <x v="1"/>
    <x v="1"/>
    <x v="1"/>
    <x v="1"/>
    <m/>
  </r>
  <r>
    <x v="1741"/>
    <x v="0"/>
    <x v="0"/>
    <x v="0"/>
    <x v="0"/>
    <m/>
  </r>
  <r>
    <x v="1742"/>
    <x v="0"/>
    <x v="0"/>
    <x v="0"/>
    <x v="0"/>
    <m/>
  </r>
  <r>
    <x v="1743"/>
    <x v="0"/>
    <x v="0"/>
    <x v="0"/>
    <x v="0"/>
    <m/>
  </r>
  <r>
    <x v="1744"/>
    <x v="1"/>
    <x v="6"/>
    <x v="6"/>
    <x v="6"/>
    <m/>
  </r>
  <r>
    <x v="1745"/>
    <x v="3"/>
    <x v="1"/>
    <x v="5"/>
    <x v="1"/>
    <m/>
  </r>
  <r>
    <x v="1746"/>
    <x v="0"/>
    <x v="0"/>
    <x v="0"/>
    <x v="0"/>
    <m/>
  </r>
  <r>
    <x v="1747"/>
    <x v="0"/>
    <x v="0"/>
    <x v="0"/>
    <x v="0"/>
    <m/>
  </r>
  <r>
    <x v="1748"/>
    <x v="3"/>
    <x v="1"/>
    <x v="5"/>
    <x v="1"/>
    <m/>
  </r>
  <r>
    <x v="1749"/>
    <x v="0"/>
    <x v="0"/>
    <x v="0"/>
    <x v="0"/>
    <m/>
  </r>
  <r>
    <x v="1750"/>
    <x v="0"/>
    <x v="0"/>
    <x v="0"/>
    <x v="0"/>
    <m/>
  </r>
  <r>
    <x v="1751"/>
    <x v="0"/>
    <x v="0"/>
    <x v="0"/>
    <x v="0"/>
    <m/>
  </r>
  <r>
    <x v="1752"/>
    <x v="0"/>
    <x v="0"/>
    <x v="0"/>
    <x v="0"/>
    <m/>
  </r>
  <r>
    <x v="1753"/>
    <x v="1"/>
    <x v="1"/>
    <x v="4"/>
    <x v="1"/>
    <m/>
  </r>
  <r>
    <x v="1754"/>
    <x v="0"/>
    <x v="0"/>
    <x v="0"/>
    <x v="0"/>
    <m/>
  </r>
  <r>
    <x v="1755"/>
    <x v="0"/>
    <x v="0"/>
    <x v="0"/>
    <x v="0"/>
    <m/>
  </r>
  <r>
    <x v="1756"/>
    <x v="0"/>
    <x v="0"/>
    <x v="0"/>
    <x v="0"/>
    <m/>
  </r>
  <r>
    <x v="1757"/>
    <x v="1"/>
    <x v="1"/>
    <x v="4"/>
    <x v="1"/>
    <m/>
  </r>
  <r>
    <x v="1758"/>
    <x v="0"/>
    <x v="0"/>
    <x v="0"/>
    <x v="0"/>
    <m/>
  </r>
  <r>
    <x v="1759"/>
    <x v="0"/>
    <x v="0"/>
    <x v="0"/>
    <x v="0"/>
    <m/>
  </r>
  <r>
    <x v="1760"/>
    <x v="1"/>
    <x v="6"/>
    <x v="6"/>
    <x v="6"/>
    <m/>
  </r>
  <r>
    <x v="1761"/>
    <x v="0"/>
    <x v="0"/>
    <x v="0"/>
    <x v="0"/>
    <m/>
  </r>
  <r>
    <x v="1762"/>
    <x v="1"/>
    <x v="7"/>
    <x v="5"/>
    <x v="7"/>
    <m/>
  </r>
  <r>
    <x v="1763"/>
    <x v="0"/>
    <x v="0"/>
    <x v="0"/>
    <x v="0"/>
    <m/>
  </r>
  <r>
    <x v="1764"/>
    <x v="0"/>
    <x v="0"/>
    <x v="0"/>
    <x v="0"/>
    <m/>
  </r>
  <r>
    <x v="1765"/>
    <x v="1"/>
    <x v="1"/>
    <x v="5"/>
    <x v="1"/>
    <m/>
  </r>
  <r>
    <x v="1766"/>
    <x v="1"/>
    <x v="1"/>
    <x v="4"/>
    <x v="1"/>
    <m/>
  </r>
  <r>
    <x v="1767"/>
    <x v="0"/>
    <x v="0"/>
    <x v="0"/>
    <x v="0"/>
    <m/>
  </r>
  <r>
    <x v="1768"/>
    <x v="0"/>
    <x v="0"/>
    <x v="0"/>
    <x v="0"/>
    <m/>
  </r>
  <r>
    <x v="1769"/>
    <x v="0"/>
    <x v="0"/>
    <x v="0"/>
    <x v="0"/>
    <m/>
  </r>
  <r>
    <x v="1770"/>
    <x v="1"/>
    <x v="6"/>
    <x v="6"/>
    <x v="6"/>
    <m/>
  </r>
  <r>
    <x v="1771"/>
    <x v="0"/>
    <x v="0"/>
    <x v="0"/>
    <x v="0"/>
    <m/>
  </r>
  <r>
    <x v="1772"/>
    <x v="0"/>
    <x v="0"/>
    <x v="0"/>
    <x v="0"/>
    <m/>
  </r>
  <r>
    <x v="1773"/>
    <x v="0"/>
    <x v="0"/>
    <x v="0"/>
    <x v="0"/>
    <m/>
  </r>
  <r>
    <x v="1774"/>
    <x v="0"/>
    <x v="0"/>
    <x v="0"/>
    <x v="0"/>
    <m/>
  </r>
  <r>
    <x v="1775"/>
    <x v="1"/>
    <x v="4"/>
    <x v="5"/>
    <x v="4"/>
    <m/>
  </r>
  <r>
    <x v="1776"/>
    <x v="2"/>
    <x v="5"/>
    <x v="5"/>
    <x v="5"/>
    <m/>
  </r>
  <r>
    <x v="1777"/>
    <x v="1"/>
    <x v="4"/>
    <x v="5"/>
    <x v="4"/>
    <m/>
  </r>
  <r>
    <x v="1778"/>
    <x v="0"/>
    <x v="0"/>
    <x v="0"/>
    <x v="0"/>
    <m/>
  </r>
  <r>
    <x v="1779"/>
    <x v="0"/>
    <x v="0"/>
    <x v="0"/>
    <x v="0"/>
    <m/>
  </r>
  <r>
    <x v="1780"/>
    <x v="1"/>
    <x v="24"/>
    <x v="22"/>
    <x v="24"/>
    <m/>
  </r>
  <r>
    <x v="1781"/>
    <x v="0"/>
    <x v="0"/>
    <x v="0"/>
    <x v="0"/>
    <m/>
  </r>
  <r>
    <x v="1782"/>
    <x v="0"/>
    <x v="0"/>
    <x v="0"/>
    <x v="0"/>
    <m/>
  </r>
  <r>
    <x v="1783"/>
    <x v="6"/>
    <x v="3"/>
    <x v="3"/>
    <x v="3"/>
    <m/>
  </r>
  <r>
    <x v="1784"/>
    <x v="0"/>
    <x v="0"/>
    <x v="0"/>
    <x v="0"/>
    <m/>
  </r>
  <r>
    <x v="1785"/>
    <x v="0"/>
    <x v="0"/>
    <x v="0"/>
    <x v="0"/>
    <m/>
  </r>
  <r>
    <x v="1786"/>
    <x v="0"/>
    <x v="0"/>
    <x v="0"/>
    <x v="0"/>
    <m/>
  </r>
  <r>
    <x v="1787"/>
    <x v="1"/>
    <x v="1"/>
    <x v="4"/>
    <x v="1"/>
    <m/>
  </r>
  <r>
    <x v="1788"/>
    <x v="0"/>
    <x v="0"/>
    <x v="0"/>
    <x v="0"/>
    <m/>
  </r>
  <r>
    <x v="1789"/>
    <x v="0"/>
    <x v="0"/>
    <x v="0"/>
    <x v="0"/>
    <m/>
  </r>
  <r>
    <x v="1790"/>
    <x v="0"/>
    <x v="0"/>
    <x v="0"/>
    <x v="0"/>
    <m/>
  </r>
  <r>
    <x v="1791"/>
    <x v="0"/>
    <x v="0"/>
    <x v="0"/>
    <x v="0"/>
    <m/>
  </r>
  <r>
    <x v="1792"/>
    <x v="0"/>
    <x v="0"/>
    <x v="0"/>
    <x v="0"/>
    <m/>
  </r>
  <r>
    <x v="1793"/>
    <x v="0"/>
    <x v="0"/>
    <x v="0"/>
    <x v="0"/>
    <m/>
  </r>
  <r>
    <x v="1794"/>
    <x v="0"/>
    <x v="0"/>
    <x v="0"/>
    <x v="0"/>
    <m/>
  </r>
  <r>
    <x v="1795"/>
    <x v="0"/>
    <x v="0"/>
    <x v="0"/>
    <x v="0"/>
    <m/>
  </r>
  <r>
    <x v="1796"/>
    <x v="0"/>
    <x v="0"/>
    <x v="0"/>
    <x v="0"/>
    <m/>
  </r>
  <r>
    <x v="1797"/>
    <x v="0"/>
    <x v="0"/>
    <x v="0"/>
    <x v="0"/>
    <m/>
  </r>
  <r>
    <x v="1798"/>
    <x v="0"/>
    <x v="0"/>
    <x v="0"/>
    <x v="0"/>
    <m/>
  </r>
  <r>
    <x v="1799"/>
    <x v="0"/>
    <x v="0"/>
    <x v="0"/>
    <x v="0"/>
    <m/>
  </r>
  <r>
    <x v="1800"/>
    <x v="0"/>
    <x v="0"/>
    <x v="0"/>
    <x v="0"/>
    <m/>
  </r>
  <r>
    <x v="1801"/>
    <x v="0"/>
    <x v="0"/>
    <x v="0"/>
    <x v="0"/>
    <m/>
  </r>
  <r>
    <x v="1802"/>
    <x v="0"/>
    <x v="0"/>
    <x v="0"/>
    <x v="0"/>
    <m/>
  </r>
  <r>
    <x v="1803"/>
    <x v="0"/>
    <x v="0"/>
    <x v="0"/>
    <x v="0"/>
    <m/>
  </r>
  <r>
    <x v="1804"/>
    <x v="0"/>
    <x v="0"/>
    <x v="0"/>
    <x v="0"/>
    <m/>
  </r>
  <r>
    <x v="1805"/>
    <x v="0"/>
    <x v="0"/>
    <x v="0"/>
    <x v="0"/>
    <m/>
  </r>
  <r>
    <x v="1806"/>
    <x v="0"/>
    <x v="0"/>
    <x v="0"/>
    <x v="0"/>
    <m/>
  </r>
  <r>
    <x v="1807"/>
    <x v="1"/>
    <x v="1"/>
    <x v="1"/>
    <x v="1"/>
    <m/>
  </r>
  <r>
    <x v="1808"/>
    <x v="0"/>
    <x v="0"/>
    <x v="0"/>
    <x v="0"/>
    <m/>
  </r>
  <r>
    <x v="1809"/>
    <x v="3"/>
    <x v="7"/>
    <x v="5"/>
    <x v="7"/>
    <m/>
  </r>
  <r>
    <x v="1810"/>
    <x v="1"/>
    <x v="6"/>
    <x v="6"/>
    <x v="6"/>
    <m/>
  </r>
  <r>
    <x v="1811"/>
    <x v="0"/>
    <x v="0"/>
    <x v="0"/>
    <x v="0"/>
    <m/>
  </r>
  <r>
    <x v="1812"/>
    <x v="0"/>
    <x v="0"/>
    <x v="0"/>
    <x v="0"/>
    <m/>
  </r>
  <r>
    <x v="1813"/>
    <x v="0"/>
    <x v="0"/>
    <x v="0"/>
    <x v="0"/>
    <m/>
  </r>
  <r>
    <x v="1814"/>
    <x v="0"/>
    <x v="0"/>
    <x v="0"/>
    <x v="0"/>
    <m/>
  </r>
  <r>
    <x v="1815"/>
    <x v="0"/>
    <x v="0"/>
    <x v="0"/>
    <x v="0"/>
    <m/>
  </r>
  <r>
    <x v="1816"/>
    <x v="1"/>
    <x v="1"/>
    <x v="4"/>
    <x v="1"/>
    <m/>
  </r>
  <r>
    <x v="1817"/>
    <x v="3"/>
    <x v="1"/>
    <x v="5"/>
    <x v="1"/>
    <m/>
  </r>
  <r>
    <x v="1818"/>
    <x v="0"/>
    <x v="0"/>
    <x v="0"/>
    <x v="0"/>
    <m/>
  </r>
  <r>
    <x v="1819"/>
    <x v="0"/>
    <x v="0"/>
    <x v="0"/>
    <x v="0"/>
    <m/>
  </r>
  <r>
    <x v="1820"/>
    <x v="10"/>
    <x v="10"/>
    <x v="9"/>
    <x v="10"/>
    <m/>
  </r>
  <r>
    <x v="1821"/>
    <x v="0"/>
    <x v="0"/>
    <x v="0"/>
    <x v="0"/>
    <m/>
  </r>
  <r>
    <x v="1822"/>
    <x v="0"/>
    <x v="0"/>
    <x v="0"/>
    <x v="0"/>
    <m/>
  </r>
  <r>
    <x v="1823"/>
    <x v="0"/>
    <x v="0"/>
    <x v="0"/>
    <x v="0"/>
    <m/>
  </r>
  <r>
    <x v="1824"/>
    <x v="0"/>
    <x v="0"/>
    <x v="0"/>
    <x v="0"/>
    <m/>
  </r>
  <r>
    <x v="1825"/>
    <x v="0"/>
    <x v="0"/>
    <x v="0"/>
    <x v="0"/>
    <m/>
  </r>
  <r>
    <x v="1826"/>
    <x v="0"/>
    <x v="0"/>
    <x v="0"/>
    <x v="0"/>
    <m/>
  </r>
  <r>
    <x v="1827"/>
    <x v="3"/>
    <x v="4"/>
    <x v="5"/>
    <x v="4"/>
    <m/>
  </r>
  <r>
    <x v="1828"/>
    <x v="0"/>
    <x v="0"/>
    <x v="0"/>
    <x v="0"/>
    <m/>
  </r>
  <r>
    <x v="1829"/>
    <x v="0"/>
    <x v="0"/>
    <x v="0"/>
    <x v="0"/>
    <m/>
  </r>
  <r>
    <x v="1830"/>
    <x v="0"/>
    <x v="0"/>
    <x v="0"/>
    <x v="0"/>
    <m/>
  </r>
  <r>
    <x v="1831"/>
    <x v="0"/>
    <x v="0"/>
    <x v="0"/>
    <x v="0"/>
    <m/>
  </r>
  <r>
    <x v="1832"/>
    <x v="0"/>
    <x v="0"/>
    <x v="0"/>
    <x v="0"/>
    <m/>
  </r>
  <r>
    <x v="1833"/>
    <x v="0"/>
    <x v="0"/>
    <x v="0"/>
    <x v="0"/>
    <m/>
  </r>
  <r>
    <x v="1834"/>
    <x v="0"/>
    <x v="0"/>
    <x v="0"/>
    <x v="0"/>
    <m/>
  </r>
  <r>
    <x v="1835"/>
    <x v="0"/>
    <x v="0"/>
    <x v="0"/>
    <x v="0"/>
    <m/>
  </r>
  <r>
    <x v="1836"/>
    <x v="0"/>
    <x v="0"/>
    <x v="0"/>
    <x v="0"/>
    <m/>
  </r>
  <r>
    <x v="1837"/>
    <x v="0"/>
    <x v="0"/>
    <x v="0"/>
    <x v="0"/>
    <m/>
  </r>
  <r>
    <x v="1838"/>
    <x v="0"/>
    <x v="0"/>
    <x v="0"/>
    <x v="0"/>
    <m/>
  </r>
  <r>
    <x v="1839"/>
    <x v="0"/>
    <x v="0"/>
    <x v="0"/>
    <x v="0"/>
    <m/>
  </r>
  <r>
    <x v="1840"/>
    <x v="0"/>
    <x v="0"/>
    <x v="0"/>
    <x v="0"/>
    <m/>
  </r>
  <r>
    <x v="1841"/>
    <x v="3"/>
    <x v="1"/>
    <x v="5"/>
    <x v="1"/>
    <m/>
  </r>
  <r>
    <x v="1842"/>
    <x v="19"/>
    <x v="22"/>
    <x v="20"/>
    <x v="22"/>
    <m/>
  </r>
  <r>
    <x v="1843"/>
    <x v="0"/>
    <x v="0"/>
    <x v="0"/>
    <x v="0"/>
    <m/>
  </r>
  <r>
    <x v="1844"/>
    <x v="0"/>
    <x v="0"/>
    <x v="0"/>
    <x v="0"/>
    <m/>
  </r>
  <r>
    <x v="1845"/>
    <x v="0"/>
    <x v="0"/>
    <x v="0"/>
    <x v="0"/>
    <m/>
  </r>
  <r>
    <x v="1846"/>
    <x v="0"/>
    <x v="0"/>
    <x v="0"/>
    <x v="0"/>
    <m/>
  </r>
  <r>
    <x v="1847"/>
    <x v="3"/>
    <x v="5"/>
    <x v="1"/>
    <x v="5"/>
    <m/>
  </r>
  <r>
    <x v="1848"/>
    <x v="0"/>
    <x v="0"/>
    <x v="0"/>
    <x v="0"/>
    <m/>
  </r>
  <r>
    <x v="1849"/>
    <x v="3"/>
    <x v="4"/>
    <x v="5"/>
    <x v="4"/>
    <m/>
  </r>
  <r>
    <x v="1850"/>
    <x v="0"/>
    <x v="0"/>
    <x v="0"/>
    <x v="0"/>
    <m/>
  </r>
  <r>
    <x v="1851"/>
    <x v="0"/>
    <x v="0"/>
    <x v="0"/>
    <x v="0"/>
    <m/>
  </r>
  <r>
    <x v="1852"/>
    <x v="3"/>
    <x v="29"/>
    <x v="28"/>
    <x v="29"/>
    <m/>
  </r>
  <r>
    <x v="1853"/>
    <x v="0"/>
    <x v="0"/>
    <x v="0"/>
    <x v="0"/>
    <m/>
  </r>
  <r>
    <x v="1854"/>
    <x v="0"/>
    <x v="0"/>
    <x v="0"/>
    <x v="0"/>
    <m/>
  </r>
  <r>
    <x v="1855"/>
    <x v="0"/>
    <x v="0"/>
    <x v="0"/>
    <x v="0"/>
    <m/>
  </r>
  <r>
    <x v="1856"/>
    <x v="1"/>
    <x v="4"/>
    <x v="5"/>
    <x v="4"/>
    <m/>
  </r>
  <r>
    <x v="1857"/>
    <x v="0"/>
    <x v="0"/>
    <x v="0"/>
    <x v="0"/>
    <m/>
  </r>
  <r>
    <x v="1858"/>
    <x v="0"/>
    <x v="0"/>
    <x v="0"/>
    <x v="0"/>
    <m/>
  </r>
  <r>
    <x v="1859"/>
    <x v="3"/>
    <x v="4"/>
    <x v="5"/>
    <x v="4"/>
    <m/>
  </r>
  <r>
    <x v="1860"/>
    <x v="0"/>
    <x v="0"/>
    <x v="0"/>
    <x v="0"/>
    <m/>
  </r>
  <r>
    <x v="1861"/>
    <x v="0"/>
    <x v="0"/>
    <x v="0"/>
    <x v="0"/>
    <m/>
  </r>
  <r>
    <x v="1862"/>
    <x v="0"/>
    <x v="0"/>
    <x v="0"/>
    <x v="0"/>
    <m/>
  </r>
  <r>
    <x v="1863"/>
    <x v="0"/>
    <x v="0"/>
    <x v="0"/>
    <x v="0"/>
    <m/>
  </r>
  <r>
    <x v="1864"/>
    <x v="0"/>
    <x v="0"/>
    <x v="0"/>
    <x v="0"/>
    <m/>
  </r>
  <r>
    <x v="1865"/>
    <x v="0"/>
    <x v="0"/>
    <x v="0"/>
    <x v="0"/>
    <m/>
  </r>
  <r>
    <x v="1866"/>
    <x v="0"/>
    <x v="0"/>
    <x v="0"/>
    <x v="0"/>
    <m/>
  </r>
  <r>
    <x v="1867"/>
    <x v="1"/>
    <x v="1"/>
    <x v="5"/>
    <x v="1"/>
    <m/>
  </r>
  <r>
    <x v="1868"/>
    <x v="0"/>
    <x v="0"/>
    <x v="0"/>
    <x v="0"/>
    <m/>
  </r>
  <r>
    <x v="1869"/>
    <x v="0"/>
    <x v="0"/>
    <x v="0"/>
    <x v="0"/>
    <m/>
  </r>
  <r>
    <x v="1870"/>
    <x v="0"/>
    <x v="0"/>
    <x v="0"/>
    <x v="0"/>
    <m/>
  </r>
  <r>
    <x v="1871"/>
    <x v="3"/>
    <x v="1"/>
    <x v="5"/>
    <x v="1"/>
    <m/>
  </r>
  <r>
    <x v="1872"/>
    <x v="0"/>
    <x v="0"/>
    <x v="0"/>
    <x v="0"/>
    <m/>
  </r>
  <r>
    <x v="1873"/>
    <x v="0"/>
    <x v="0"/>
    <x v="0"/>
    <x v="0"/>
    <m/>
  </r>
  <r>
    <x v="1874"/>
    <x v="0"/>
    <x v="0"/>
    <x v="0"/>
    <x v="0"/>
    <m/>
  </r>
  <r>
    <x v="1875"/>
    <x v="3"/>
    <x v="4"/>
    <x v="5"/>
    <x v="4"/>
    <m/>
  </r>
  <r>
    <x v="1876"/>
    <x v="0"/>
    <x v="0"/>
    <x v="0"/>
    <x v="0"/>
    <m/>
  </r>
  <r>
    <x v="1877"/>
    <x v="0"/>
    <x v="0"/>
    <x v="0"/>
    <x v="0"/>
    <m/>
  </r>
  <r>
    <x v="1878"/>
    <x v="3"/>
    <x v="1"/>
    <x v="5"/>
    <x v="1"/>
    <m/>
  </r>
  <r>
    <x v="1879"/>
    <x v="6"/>
    <x v="5"/>
    <x v="5"/>
    <x v="5"/>
    <m/>
  </r>
  <r>
    <x v="1880"/>
    <x v="0"/>
    <x v="0"/>
    <x v="0"/>
    <x v="0"/>
    <m/>
  </r>
  <r>
    <x v="1881"/>
    <x v="0"/>
    <x v="0"/>
    <x v="0"/>
    <x v="0"/>
    <m/>
  </r>
  <r>
    <x v="1882"/>
    <x v="0"/>
    <x v="0"/>
    <x v="0"/>
    <x v="0"/>
    <m/>
  </r>
  <r>
    <x v="1883"/>
    <x v="0"/>
    <x v="0"/>
    <x v="0"/>
    <x v="0"/>
    <m/>
  </r>
  <r>
    <x v="1884"/>
    <x v="0"/>
    <x v="0"/>
    <x v="0"/>
    <x v="0"/>
    <m/>
  </r>
  <r>
    <x v="1885"/>
    <x v="0"/>
    <x v="0"/>
    <x v="0"/>
    <x v="0"/>
    <m/>
  </r>
  <r>
    <x v="1886"/>
    <x v="0"/>
    <x v="0"/>
    <x v="0"/>
    <x v="0"/>
    <m/>
  </r>
  <r>
    <x v="1887"/>
    <x v="1"/>
    <x v="1"/>
    <x v="4"/>
    <x v="1"/>
    <m/>
  </r>
  <r>
    <x v="1888"/>
    <x v="0"/>
    <x v="0"/>
    <x v="0"/>
    <x v="0"/>
    <m/>
  </r>
  <r>
    <x v="1889"/>
    <x v="1"/>
    <x v="6"/>
    <x v="6"/>
    <x v="6"/>
    <m/>
  </r>
  <r>
    <x v="1890"/>
    <x v="1"/>
    <x v="1"/>
    <x v="1"/>
    <x v="1"/>
    <m/>
  </r>
  <r>
    <x v="1891"/>
    <x v="0"/>
    <x v="0"/>
    <x v="0"/>
    <x v="0"/>
    <m/>
  </r>
  <r>
    <x v="1892"/>
    <x v="0"/>
    <x v="0"/>
    <x v="0"/>
    <x v="0"/>
    <m/>
  </r>
  <r>
    <x v="1893"/>
    <x v="0"/>
    <x v="0"/>
    <x v="0"/>
    <x v="0"/>
    <m/>
  </r>
  <r>
    <x v="1894"/>
    <x v="3"/>
    <x v="2"/>
    <x v="2"/>
    <x v="2"/>
    <m/>
  </r>
  <r>
    <x v="1895"/>
    <x v="0"/>
    <x v="0"/>
    <x v="0"/>
    <x v="0"/>
    <m/>
  </r>
  <r>
    <x v="1896"/>
    <x v="1"/>
    <x v="6"/>
    <x v="6"/>
    <x v="6"/>
    <m/>
  </r>
  <r>
    <x v="1897"/>
    <x v="0"/>
    <x v="0"/>
    <x v="0"/>
    <x v="0"/>
    <m/>
  </r>
  <r>
    <x v="1898"/>
    <x v="0"/>
    <x v="0"/>
    <x v="0"/>
    <x v="0"/>
    <m/>
  </r>
  <r>
    <x v="1899"/>
    <x v="3"/>
    <x v="1"/>
    <x v="5"/>
    <x v="1"/>
    <m/>
  </r>
  <r>
    <x v="1900"/>
    <x v="0"/>
    <x v="0"/>
    <x v="0"/>
    <x v="0"/>
    <m/>
  </r>
  <r>
    <x v="1901"/>
    <x v="0"/>
    <x v="0"/>
    <x v="0"/>
    <x v="0"/>
    <m/>
  </r>
  <r>
    <x v="1902"/>
    <x v="0"/>
    <x v="0"/>
    <x v="0"/>
    <x v="0"/>
    <m/>
  </r>
  <r>
    <x v="1903"/>
    <x v="0"/>
    <x v="0"/>
    <x v="0"/>
    <x v="0"/>
    <m/>
  </r>
  <r>
    <x v="1904"/>
    <x v="0"/>
    <x v="0"/>
    <x v="0"/>
    <x v="0"/>
    <m/>
  </r>
  <r>
    <x v="1905"/>
    <x v="0"/>
    <x v="0"/>
    <x v="0"/>
    <x v="0"/>
    <m/>
  </r>
  <r>
    <x v="1906"/>
    <x v="0"/>
    <x v="0"/>
    <x v="0"/>
    <x v="0"/>
    <m/>
  </r>
  <r>
    <x v="1907"/>
    <x v="0"/>
    <x v="0"/>
    <x v="0"/>
    <x v="0"/>
    <m/>
  </r>
  <r>
    <x v="1908"/>
    <x v="0"/>
    <x v="0"/>
    <x v="0"/>
    <x v="0"/>
    <m/>
  </r>
  <r>
    <x v="1909"/>
    <x v="1"/>
    <x v="1"/>
    <x v="4"/>
    <x v="1"/>
    <m/>
  </r>
  <r>
    <x v="1910"/>
    <x v="1"/>
    <x v="4"/>
    <x v="5"/>
    <x v="4"/>
    <m/>
  </r>
  <r>
    <x v="1911"/>
    <x v="3"/>
    <x v="1"/>
    <x v="5"/>
    <x v="1"/>
    <m/>
  </r>
  <r>
    <x v="1912"/>
    <x v="0"/>
    <x v="0"/>
    <x v="0"/>
    <x v="0"/>
    <m/>
  </r>
  <r>
    <x v="1913"/>
    <x v="0"/>
    <x v="0"/>
    <x v="0"/>
    <x v="0"/>
    <m/>
  </r>
  <r>
    <x v="1914"/>
    <x v="0"/>
    <x v="0"/>
    <x v="0"/>
    <x v="0"/>
    <m/>
  </r>
  <r>
    <x v="1915"/>
    <x v="1"/>
    <x v="1"/>
    <x v="5"/>
    <x v="1"/>
    <m/>
  </r>
  <r>
    <x v="1916"/>
    <x v="0"/>
    <x v="0"/>
    <x v="0"/>
    <x v="0"/>
    <m/>
  </r>
  <r>
    <x v="1917"/>
    <x v="0"/>
    <x v="0"/>
    <x v="0"/>
    <x v="0"/>
    <m/>
  </r>
  <r>
    <x v="1918"/>
    <x v="11"/>
    <x v="5"/>
    <x v="5"/>
    <x v="5"/>
    <m/>
  </r>
  <r>
    <x v="1919"/>
    <x v="1"/>
    <x v="4"/>
    <x v="5"/>
    <x v="4"/>
    <m/>
  </r>
  <r>
    <x v="1920"/>
    <x v="1"/>
    <x v="4"/>
    <x v="5"/>
    <x v="4"/>
    <m/>
  </r>
  <r>
    <x v="1921"/>
    <x v="0"/>
    <x v="0"/>
    <x v="0"/>
    <x v="0"/>
    <m/>
  </r>
  <r>
    <x v="1922"/>
    <x v="1"/>
    <x v="24"/>
    <x v="22"/>
    <x v="24"/>
    <m/>
  </r>
  <r>
    <x v="1923"/>
    <x v="0"/>
    <x v="0"/>
    <x v="0"/>
    <x v="0"/>
    <m/>
  </r>
  <r>
    <x v="1924"/>
    <x v="1"/>
    <x v="6"/>
    <x v="6"/>
    <x v="6"/>
    <m/>
  </r>
  <r>
    <x v="1925"/>
    <x v="0"/>
    <x v="0"/>
    <x v="0"/>
    <x v="0"/>
    <m/>
  </r>
  <r>
    <x v="1926"/>
    <x v="0"/>
    <x v="0"/>
    <x v="0"/>
    <x v="0"/>
    <m/>
  </r>
  <r>
    <x v="1927"/>
    <x v="0"/>
    <x v="0"/>
    <x v="0"/>
    <x v="0"/>
    <m/>
  </r>
  <r>
    <x v="1928"/>
    <x v="0"/>
    <x v="0"/>
    <x v="0"/>
    <x v="0"/>
    <m/>
  </r>
  <r>
    <x v="1929"/>
    <x v="0"/>
    <x v="0"/>
    <x v="0"/>
    <x v="0"/>
    <m/>
  </r>
  <r>
    <x v="1930"/>
    <x v="0"/>
    <x v="0"/>
    <x v="0"/>
    <x v="0"/>
    <m/>
  </r>
  <r>
    <x v="1931"/>
    <x v="1"/>
    <x v="6"/>
    <x v="6"/>
    <x v="6"/>
    <m/>
  </r>
  <r>
    <x v="1932"/>
    <x v="3"/>
    <x v="5"/>
    <x v="4"/>
    <x v="5"/>
    <m/>
  </r>
  <r>
    <x v="1933"/>
    <x v="0"/>
    <x v="0"/>
    <x v="0"/>
    <x v="0"/>
    <m/>
  </r>
  <r>
    <x v="1934"/>
    <x v="3"/>
    <x v="1"/>
    <x v="5"/>
    <x v="1"/>
    <m/>
  </r>
  <r>
    <x v="1935"/>
    <x v="0"/>
    <x v="0"/>
    <x v="0"/>
    <x v="0"/>
    <m/>
  </r>
  <r>
    <x v="1936"/>
    <x v="0"/>
    <x v="0"/>
    <x v="0"/>
    <x v="0"/>
    <m/>
  </r>
  <r>
    <x v="1937"/>
    <x v="0"/>
    <x v="0"/>
    <x v="0"/>
    <x v="0"/>
    <m/>
  </r>
  <r>
    <x v="1938"/>
    <x v="0"/>
    <x v="0"/>
    <x v="0"/>
    <x v="0"/>
    <m/>
  </r>
  <r>
    <x v="1939"/>
    <x v="0"/>
    <x v="0"/>
    <x v="0"/>
    <x v="0"/>
    <m/>
  </r>
  <r>
    <x v="1940"/>
    <x v="1"/>
    <x v="1"/>
    <x v="5"/>
    <x v="1"/>
    <m/>
  </r>
  <r>
    <x v="1941"/>
    <x v="0"/>
    <x v="0"/>
    <x v="0"/>
    <x v="0"/>
    <m/>
  </r>
  <r>
    <x v="1942"/>
    <x v="6"/>
    <x v="5"/>
    <x v="5"/>
    <x v="5"/>
    <m/>
  </r>
  <r>
    <x v="1943"/>
    <x v="1"/>
    <x v="1"/>
    <x v="5"/>
    <x v="1"/>
    <m/>
  </r>
  <r>
    <x v="1944"/>
    <x v="0"/>
    <x v="0"/>
    <x v="0"/>
    <x v="0"/>
    <m/>
  </r>
  <r>
    <x v="1945"/>
    <x v="3"/>
    <x v="3"/>
    <x v="3"/>
    <x v="3"/>
    <m/>
  </r>
  <r>
    <x v="1946"/>
    <x v="0"/>
    <x v="0"/>
    <x v="0"/>
    <x v="0"/>
    <m/>
  </r>
  <r>
    <x v="1947"/>
    <x v="0"/>
    <x v="0"/>
    <x v="0"/>
    <x v="0"/>
    <m/>
  </r>
  <r>
    <x v="1948"/>
    <x v="0"/>
    <x v="0"/>
    <x v="0"/>
    <x v="0"/>
    <m/>
  </r>
  <r>
    <x v="1949"/>
    <x v="0"/>
    <x v="0"/>
    <x v="0"/>
    <x v="0"/>
    <m/>
  </r>
  <r>
    <x v="1950"/>
    <x v="0"/>
    <x v="0"/>
    <x v="0"/>
    <x v="0"/>
    <m/>
  </r>
  <r>
    <x v="1951"/>
    <x v="1"/>
    <x v="1"/>
    <x v="5"/>
    <x v="1"/>
    <m/>
  </r>
  <r>
    <x v="1952"/>
    <x v="0"/>
    <x v="0"/>
    <x v="0"/>
    <x v="0"/>
    <m/>
  </r>
  <r>
    <x v="1953"/>
    <x v="0"/>
    <x v="0"/>
    <x v="0"/>
    <x v="0"/>
    <m/>
  </r>
  <r>
    <x v="1954"/>
    <x v="1"/>
    <x v="6"/>
    <x v="6"/>
    <x v="6"/>
    <m/>
  </r>
  <r>
    <x v="1955"/>
    <x v="0"/>
    <x v="0"/>
    <x v="0"/>
    <x v="0"/>
    <m/>
  </r>
  <r>
    <x v="1956"/>
    <x v="0"/>
    <x v="0"/>
    <x v="0"/>
    <x v="0"/>
    <m/>
  </r>
  <r>
    <x v="1957"/>
    <x v="0"/>
    <x v="0"/>
    <x v="0"/>
    <x v="0"/>
    <m/>
  </r>
  <r>
    <x v="1958"/>
    <x v="0"/>
    <x v="0"/>
    <x v="0"/>
    <x v="0"/>
    <m/>
  </r>
  <r>
    <x v="1959"/>
    <x v="0"/>
    <x v="0"/>
    <x v="0"/>
    <x v="0"/>
    <m/>
  </r>
  <r>
    <x v="1960"/>
    <x v="0"/>
    <x v="0"/>
    <x v="0"/>
    <x v="0"/>
    <m/>
  </r>
  <r>
    <x v="1961"/>
    <x v="0"/>
    <x v="0"/>
    <x v="0"/>
    <x v="0"/>
    <m/>
  </r>
  <r>
    <x v="1962"/>
    <x v="0"/>
    <x v="0"/>
    <x v="0"/>
    <x v="0"/>
    <m/>
  </r>
  <r>
    <x v="1963"/>
    <x v="1"/>
    <x v="1"/>
    <x v="1"/>
    <x v="1"/>
    <m/>
  </r>
  <r>
    <x v="1964"/>
    <x v="1"/>
    <x v="1"/>
    <x v="1"/>
    <x v="1"/>
    <m/>
  </r>
  <r>
    <x v="1965"/>
    <x v="1"/>
    <x v="1"/>
    <x v="1"/>
    <x v="1"/>
    <m/>
  </r>
  <r>
    <x v="1966"/>
    <x v="0"/>
    <x v="0"/>
    <x v="0"/>
    <x v="0"/>
    <m/>
  </r>
  <r>
    <x v="1967"/>
    <x v="1"/>
    <x v="1"/>
    <x v="1"/>
    <x v="1"/>
    <m/>
  </r>
  <r>
    <x v="1968"/>
    <x v="1"/>
    <x v="1"/>
    <x v="1"/>
    <x v="1"/>
    <m/>
  </r>
  <r>
    <x v="1969"/>
    <x v="1"/>
    <x v="1"/>
    <x v="4"/>
    <x v="1"/>
    <m/>
  </r>
  <r>
    <x v="1970"/>
    <x v="0"/>
    <x v="0"/>
    <x v="0"/>
    <x v="0"/>
    <m/>
  </r>
  <r>
    <x v="1971"/>
    <x v="0"/>
    <x v="0"/>
    <x v="0"/>
    <x v="0"/>
    <m/>
  </r>
  <r>
    <x v="1972"/>
    <x v="0"/>
    <x v="0"/>
    <x v="0"/>
    <x v="0"/>
    <m/>
  </r>
  <r>
    <x v="1973"/>
    <x v="0"/>
    <x v="0"/>
    <x v="0"/>
    <x v="0"/>
    <m/>
  </r>
  <r>
    <x v="1974"/>
    <x v="1"/>
    <x v="1"/>
    <x v="1"/>
    <x v="1"/>
    <m/>
  </r>
  <r>
    <x v="1975"/>
    <x v="0"/>
    <x v="0"/>
    <x v="0"/>
    <x v="0"/>
    <m/>
  </r>
  <r>
    <x v="1976"/>
    <x v="0"/>
    <x v="0"/>
    <x v="0"/>
    <x v="0"/>
    <m/>
  </r>
  <r>
    <x v="1977"/>
    <x v="0"/>
    <x v="0"/>
    <x v="0"/>
    <x v="0"/>
    <m/>
  </r>
  <r>
    <x v="1978"/>
    <x v="0"/>
    <x v="0"/>
    <x v="0"/>
    <x v="0"/>
    <m/>
  </r>
  <r>
    <x v="1979"/>
    <x v="0"/>
    <x v="0"/>
    <x v="0"/>
    <x v="0"/>
    <m/>
  </r>
  <r>
    <x v="1980"/>
    <x v="1"/>
    <x v="1"/>
    <x v="5"/>
    <x v="1"/>
    <m/>
  </r>
  <r>
    <x v="1981"/>
    <x v="1"/>
    <x v="1"/>
    <x v="1"/>
    <x v="1"/>
    <m/>
  </r>
  <r>
    <x v="1982"/>
    <x v="0"/>
    <x v="0"/>
    <x v="0"/>
    <x v="0"/>
    <m/>
  </r>
  <r>
    <x v="1983"/>
    <x v="1"/>
    <x v="4"/>
    <x v="5"/>
    <x v="4"/>
    <m/>
  </r>
  <r>
    <x v="1984"/>
    <x v="0"/>
    <x v="0"/>
    <x v="0"/>
    <x v="0"/>
    <m/>
  </r>
  <r>
    <x v="1985"/>
    <x v="0"/>
    <x v="0"/>
    <x v="0"/>
    <x v="0"/>
    <m/>
  </r>
  <r>
    <x v="1986"/>
    <x v="1"/>
    <x v="1"/>
    <x v="1"/>
    <x v="1"/>
    <m/>
  </r>
  <r>
    <x v="1987"/>
    <x v="0"/>
    <x v="0"/>
    <x v="0"/>
    <x v="0"/>
    <m/>
  </r>
  <r>
    <x v="1988"/>
    <x v="0"/>
    <x v="0"/>
    <x v="0"/>
    <x v="0"/>
    <m/>
  </r>
  <r>
    <x v="1989"/>
    <x v="0"/>
    <x v="0"/>
    <x v="0"/>
    <x v="0"/>
    <m/>
  </r>
  <r>
    <x v="1990"/>
    <x v="0"/>
    <x v="0"/>
    <x v="0"/>
    <x v="0"/>
    <m/>
  </r>
  <r>
    <x v="1991"/>
    <x v="1"/>
    <x v="1"/>
    <x v="1"/>
    <x v="1"/>
    <m/>
  </r>
  <r>
    <x v="1992"/>
    <x v="1"/>
    <x v="7"/>
    <x v="5"/>
    <x v="7"/>
    <m/>
  </r>
  <r>
    <x v="1993"/>
    <x v="0"/>
    <x v="0"/>
    <x v="0"/>
    <x v="0"/>
    <m/>
  </r>
  <r>
    <x v="1994"/>
    <x v="0"/>
    <x v="0"/>
    <x v="0"/>
    <x v="0"/>
    <m/>
  </r>
  <r>
    <x v="1995"/>
    <x v="0"/>
    <x v="0"/>
    <x v="0"/>
    <x v="0"/>
    <m/>
  </r>
  <r>
    <x v="1996"/>
    <x v="1"/>
    <x v="1"/>
    <x v="4"/>
    <x v="1"/>
    <m/>
  </r>
  <r>
    <x v="1997"/>
    <x v="0"/>
    <x v="0"/>
    <x v="0"/>
    <x v="0"/>
    <m/>
  </r>
  <r>
    <x v="1998"/>
    <x v="0"/>
    <x v="0"/>
    <x v="0"/>
    <x v="0"/>
    <m/>
  </r>
  <r>
    <x v="1999"/>
    <x v="0"/>
    <x v="0"/>
    <x v="0"/>
    <x v="0"/>
    <m/>
  </r>
  <r>
    <x v="2000"/>
    <x v="0"/>
    <x v="0"/>
    <x v="0"/>
    <x v="0"/>
    <m/>
  </r>
  <r>
    <x v="2001"/>
    <x v="1"/>
    <x v="4"/>
    <x v="5"/>
    <x v="4"/>
    <m/>
  </r>
  <r>
    <x v="2002"/>
    <x v="0"/>
    <x v="0"/>
    <x v="0"/>
    <x v="0"/>
    <m/>
  </r>
  <r>
    <x v="2003"/>
    <x v="0"/>
    <x v="0"/>
    <x v="0"/>
    <x v="0"/>
    <m/>
  </r>
  <r>
    <x v="2004"/>
    <x v="1"/>
    <x v="2"/>
    <x v="2"/>
    <x v="2"/>
    <m/>
  </r>
  <r>
    <x v="2005"/>
    <x v="0"/>
    <x v="0"/>
    <x v="0"/>
    <x v="0"/>
    <m/>
  </r>
  <r>
    <x v="2006"/>
    <x v="0"/>
    <x v="0"/>
    <x v="0"/>
    <x v="0"/>
    <m/>
  </r>
  <r>
    <x v="2007"/>
    <x v="13"/>
    <x v="13"/>
    <x v="12"/>
    <x v="13"/>
    <m/>
  </r>
  <r>
    <x v="2008"/>
    <x v="0"/>
    <x v="0"/>
    <x v="0"/>
    <x v="0"/>
    <m/>
  </r>
  <r>
    <x v="2009"/>
    <x v="1"/>
    <x v="6"/>
    <x v="6"/>
    <x v="6"/>
    <m/>
  </r>
  <r>
    <x v="2010"/>
    <x v="0"/>
    <x v="0"/>
    <x v="0"/>
    <x v="0"/>
    <m/>
  </r>
  <r>
    <x v="2011"/>
    <x v="6"/>
    <x v="5"/>
    <x v="5"/>
    <x v="5"/>
    <m/>
  </r>
  <r>
    <x v="2012"/>
    <x v="2"/>
    <x v="21"/>
    <x v="19"/>
    <x v="21"/>
    <m/>
  </r>
  <r>
    <x v="2013"/>
    <x v="3"/>
    <x v="1"/>
    <x v="5"/>
    <x v="1"/>
    <m/>
  </r>
  <r>
    <x v="2014"/>
    <x v="0"/>
    <x v="0"/>
    <x v="0"/>
    <x v="0"/>
    <m/>
  </r>
  <r>
    <x v="2015"/>
    <x v="3"/>
    <x v="1"/>
    <x v="5"/>
    <x v="1"/>
    <m/>
  </r>
  <r>
    <x v="2016"/>
    <x v="0"/>
    <x v="0"/>
    <x v="0"/>
    <x v="0"/>
    <m/>
  </r>
  <r>
    <x v="2017"/>
    <x v="0"/>
    <x v="0"/>
    <x v="0"/>
    <x v="0"/>
    <m/>
  </r>
  <r>
    <x v="2018"/>
    <x v="0"/>
    <x v="0"/>
    <x v="0"/>
    <x v="0"/>
    <m/>
  </r>
  <r>
    <x v="2019"/>
    <x v="0"/>
    <x v="0"/>
    <x v="0"/>
    <x v="0"/>
    <m/>
  </r>
  <r>
    <x v="2020"/>
    <x v="0"/>
    <x v="0"/>
    <x v="0"/>
    <x v="0"/>
    <m/>
  </r>
  <r>
    <x v="2021"/>
    <x v="3"/>
    <x v="1"/>
    <x v="5"/>
    <x v="1"/>
    <m/>
  </r>
  <r>
    <x v="2022"/>
    <x v="0"/>
    <x v="0"/>
    <x v="0"/>
    <x v="0"/>
    <m/>
  </r>
  <r>
    <x v="2023"/>
    <x v="0"/>
    <x v="0"/>
    <x v="0"/>
    <x v="0"/>
    <m/>
  </r>
  <r>
    <x v="2024"/>
    <x v="3"/>
    <x v="1"/>
    <x v="5"/>
    <x v="1"/>
    <m/>
  </r>
  <r>
    <x v="2025"/>
    <x v="0"/>
    <x v="0"/>
    <x v="0"/>
    <x v="0"/>
    <m/>
  </r>
  <r>
    <x v="2026"/>
    <x v="1"/>
    <x v="4"/>
    <x v="5"/>
    <x v="4"/>
    <m/>
  </r>
  <r>
    <x v="2027"/>
    <x v="0"/>
    <x v="0"/>
    <x v="0"/>
    <x v="0"/>
    <m/>
  </r>
  <r>
    <x v="2028"/>
    <x v="0"/>
    <x v="0"/>
    <x v="0"/>
    <x v="0"/>
    <m/>
  </r>
  <r>
    <x v="2029"/>
    <x v="0"/>
    <x v="0"/>
    <x v="0"/>
    <x v="0"/>
    <m/>
  </r>
  <r>
    <x v="2030"/>
    <x v="0"/>
    <x v="0"/>
    <x v="0"/>
    <x v="0"/>
    <m/>
  </r>
  <r>
    <x v="2031"/>
    <x v="0"/>
    <x v="0"/>
    <x v="0"/>
    <x v="0"/>
    <m/>
  </r>
  <r>
    <x v="2032"/>
    <x v="0"/>
    <x v="0"/>
    <x v="0"/>
    <x v="0"/>
    <m/>
  </r>
  <r>
    <x v="2033"/>
    <x v="1"/>
    <x v="1"/>
    <x v="5"/>
    <x v="1"/>
    <m/>
  </r>
  <r>
    <x v="2034"/>
    <x v="0"/>
    <x v="0"/>
    <x v="0"/>
    <x v="0"/>
    <m/>
  </r>
  <r>
    <x v="2035"/>
    <x v="0"/>
    <x v="0"/>
    <x v="0"/>
    <x v="0"/>
    <m/>
  </r>
  <r>
    <x v="2036"/>
    <x v="0"/>
    <x v="0"/>
    <x v="0"/>
    <x v="0"/>
    <m/>
  </r>
  <r>
    <x v="2037"/>
    <x v="0"/>
    <x v="0"/>
    <x v="0"/>
    <x v="0"/>
    <m/>
  </r>
  <r>
    <x v="2038"/>
    <x v="0"/>
    <x v="0"/>
    <x v="0"/>
    <x v="0"/>
    <m/>
  </r>
  <r>
    <x v="2039"/>
    <x v="3"/>
    <x v="1"/>
    <x v="5"/>
    <x v="1"/>
    <m/>
  </r>
  <r>
    <x v="2040"/>
    <x v="0"/>
    <x v="0"/>
    <x v="0"/>
    <x v="0"/>
    <m/>
  </r>
  <r>
    <x v="2041"/>
    <x v="1"/>
    <x v="1"/>
    <x v="1"/>
    <x v="1"/>
    <m/>
  </r>
  <r>
    <x v="2042"/>
    <x v="0"/>
    <x v="0"/>
    <x v="0"/>
    <x v="0"/>
    <m/>
  </r>
  <r>
    <x v="2043"/>
    <x v="1"/>
    <x v="1"/>
    <x v="4"/>
    <x v="1"/>
    <m/>
  </r>
  <r>
    <x v="2044"/>
    <x v="1"/>
    <x v="1"/>
    <x v="5"/>
    <x v="1"/>
    <m/>
  </r>
  <r>
    <x v="2045"/>
    <x v="1"/>
    <x v="1"/>
    <x v="4"/>
    <x v="1"/>
    <m/>
  </r>
  <r>
    <x v="2046"/>
    <x v="3"/>
    <x v="4"/>
    <x v="5"/>
    <x v="4"/>
    <m/>
  </r>
  <r>
    <x v="2047"/>
    <x v="0"/>
    <x v="0"/>
    <x v="0"/>
    <x v="0"/>
    <m/>
  </r>
  <r>
    <x v="2048"/>
    <x v="0"/>
    <x v="0"/>
    <x v="0"/>
    <x v="0"/>
    <m/>
  </r>
  <r>
    <x v="2049"/>
    <x v="0"/>
    <x v="0"/>
    <x v="0"/>
    <x v="0"/>
    <m/>
  </r>
  <r>
    <x v="2050"/>
    <x v="0"/>
    <x v="0"/>
    <x v="0"/>
    <x v="0"/>
    <m/>
  </r>
  <r>
    <x v="2051"/>
    <x v="0"/>
    <x v="0"/>
    <x v="0"/>
    <x v="0"/>
    <m/>
  </r>
  <r>
    <x v="2052"/>
    <x v="0"/>
    <x v="0"/>
    <x v="0"/>
    <x v="0"/>
    <m/>
  </r>
  <r>
    <x v="2053"/>
    <x v="0"/>
    <x v="0"/>
    <x v="0"/>
    <x v="0"/>
    <m/>
  </r>
  <r>
    <x v="2054"/>
    <x v="0"/>
    <x v="0"/>
    <x v="0"/>
    <x v="0"/>
    <m/>
  </r>
  <r>
    <x v="2055"/>
    <x v="2"/>
    <x v="5"/>
    <x v="5"/>
    <x v="5"/>
    <m/>
  </r>
  <r>
    <x v="2056"/>
    <x v="0"/>
    <x v="0"/>
    <x v="0"/>
    <x v="0"/>
    <m/>
  </r>
  <r>
    <x v="2057"/>
    <x v="3"/>
    <x v="1"/>
    <x v="5"/>
    <x v="1"/>
    <m/>
  </r>
  <r>
    <x v="2058"/>
    <x v="1"/>
    <x v="1"/>
    <x v="5"/>
    <x v="1"/>
    <m/>
  </r>
  <r>
    <x v="2059"/>
    <x v="2"/>
    <x v="5"/>
    <x v="5"/>
    <x v="5"/>
    <m/>
  </r>
  <r>
    <x v="2060"/>
    <x v="0"/>
    <x v="0"/>
    <x v="0"/>
    <x v="0"/>
    <m/>
  </r>
  <r>
    <x v="2061"/>
    <x v="1"/>
    <x v="6"/>
    <x v="6"/>
    <x v="6"/>
    <m/>
  </r>
  <r>
    <x v="2062"/>
    <x v="0"/>
    <x v="0"/>
    <x v="0"/>
    <x v="0"/>
    <m/>
  </r>
  <r>
    <x v="2063"/>
    <x v="0"/>
    <x v="0"/>
    <x v="0"/>
    <x v="0"/>
    <m/>
  </r>
  <r>
    <x v="2064"/>
    <x v="3"/>
    <x v="1"/>
    <x v="5"/>
    <x v="1"/>
    <m/>
  </r>
  <r>
    <x v="2065"/>
    <x v="0"/>
    <x v="0"/>
    <x v="0"/>
    <x v="0"/>
    <m/>
  </r>
  <r>
    <x v="2066"/>
    <x v="0"/>
    <x v="0"/>
    <x v="0"/>
    <x v="0"/>
    <m/>
  </r>
  <r>
    <x v="2067"/>
    <x v="1"/>
    <x v="4"/>
    <x v="5"/>
    <x v="4"/>
    <m/>
  </r>
  <r>
    <x v="2068"/>
    <x v="0"/>
    <x v="0"/>
    <x v="0"/>
    <x v="0"/>
    <m/>
  </r>
  <r>
    <x v="2069"/>
    <x v="0"/>
    <x v="0"/>
    <x v="0"/>
    <x v="0"/>
    <m/>
  </r>
  <r>
    <x v="2070"/>
    <x v="0"/>
    <x v="0"/>
    <x v="0"/>
    <x v="0"/>
    <m/>
  </r>
  <r>
    <x v="2071"/>
    <x v="3"/>
    <x v="1"/>
    <x v="1"/>
    <x v="1"/>
    <m/>
  </r>
  <r>
    <x v="2072"/>
    <x v="1"/>
    <x v="2"/>
    <x v="2"/>
    <x v="2"/>
    <m/>
  </r>
  <r>
    <x v="2073"/>
    <x v="0"/>
    <x v="0"/>
    <x v="0"/>
    <x v="0"/>
    <m/>
  </r>
  <r>
    <x v="2074"/>
    <x v="0"/>
    <x v="0"/>
    <x v="0"/>
    <x v="0"/>
    <m/>
  </r>
  <r>
    <x v="2075"/>
    <x v="0"/>
    <x v="0"/>
    <x v="0"/>
    <x v="0"/>
    <m/>
  </r>
  <r>
    <x v="2076"/>
    <x v="0"/>
    <x v="0"/>
    <x v="0"/>
    <x v="0"/>
    <m/>
  </r>
  <r>
    <x v="2077"/>
    <x v="0"/>
    <x v="0"/>
    <x v="0"/>
    <x v="0"/>
    <m/>
  </r>
  <r>
    <x v="2078"/>
    <x v="0"/>
    <x v="0"/>
    <x v="0"/>
    <x v="0"/>
    <m/>
  </r>
  <r>
    <x v="2079"/>
    <x v="3"/>
    <x v="3"/>
    <x v="3"/>
    <x v="3"/>
    <m/>
  </r>
  <r>
    <x v="2080"/>
    <x v="0"/>
    <x v="0"/>
    <x v="0"/>
    <x v="0"/>
    <m/>
  </r>
  <r>
    <x v="2081"/>
    <x v="0"/>
    <x v="0"/>
    <x v="0"/>
    <x v="0"/>
    <m/>
  </r>
  <r>
    <x v="2082"/>
    <x v="0"/>
    <x v="0"/>
    <x v="0"/>
    <x v="0"/>
    <m/>
  </r>
  <r>
    <x v="2083"/>
    <x v="1"/>
    <x v="1"/>
    <x v="4"/>
    <x v="1"/>
    <m/>
  </r>
  <r>
    <x v="2084"/>
    <x v="0"/>
    <x v="0"/>
    <x v="0"/>
    <x v="0"/>
    <m/>
  </r>
  <r>
    <x v="2085"/>
    <x v="1"/>
    <x v="8"/>
    <x v="7"/>
    <x v="8"/>
    <m/>
  </r>
  <r>
    <x v="2086"/>
    <x v="0"/>
    <x v="0"/>
    <x v="0"/>
    <x v="0"/>
    <m/>
  </r>
  <r>
    <x v="2087"/>
    <x v="1"/>
    <x v="1"/>
    <x v="4"/>
    <x v="1"/>
    <m/>
  </r>
  <r>
    <x v="2088"/>
    <x v="0"/>
    <x v="0"/>
    <x v="0"/>
    <x v="0"/>
    <m/>
  </r>
  <r>
    <x v="2089"/>
    <x v="1"/>
    <x v="6"/>
    <x v="6"/>
    <x v="6"/>
    <m/>
  </r>
  <r>
    <x v="2090"/>
    <x v="0"/>
    <x v="0"/>
    <x v="0"/>
    <x v="0"/>
    <m/>
  </r>
  <r>
    <x v="2091"/>
    <x v="0"/>
    <x v="0"/>
    <x v="0"/>
    <x v="0"/>
    <m/>
  </r>
  <r>
    <x v="2092"/>
    <x v="0"/>
    <x v="0"/>
    <x v="0"/>
    <x v="0"/>
    <m/>
  </r>
  <r>
    <x v="2093"/>
    <x v="0"/>
    <x v="0"/>
    <x v="0"/>
    <x v="0"/>
    <m/>
  </r>
  <r>
    <x v="2094"/>
    <x v="1"/>
    <x v="1"/>
    <x v="4"/>
    <x v="1"/>
    <m/>
  </r>
  <r>
    <x v="2095"/>
    <x v="0"/>
    <x v="0"/>
    <x v="0"/>
    <x v="0"/>
    <m/>
  </r>
  <r>
    <x v="2096"/>
    <x v="1"/>
    <x v="1"/>
    <x v="4"/>
    <x v="1"/>
    <m/>
  </r>
  <r>
    <x v="2097"/>
    <x v="0"/>
    <x v="0"/>
    <x v="0"/>
    <x v="0"/>
    <m/>
  </r>
  <r>
    <x v="2098"/>
    <x v="0"/>
    <x v="0"/>
    <x v="0"/>
    <x v="0"/>
    <m/>
  </r>
  <r>
    <x v="2099"/>
    <x v="0"/>
    <x v="0"/>
    <x v="0"/>
    <x v="0"/>
    <m/>
  </r>
  <r>
    <x v="2100"/>
    <x v="0"/>
    <x v="0"/>
    <x v="0"/>
    <x v="0"/>
    <m/>
  </r>
  <r>
    <x v="2101"/>
    <x v="18"/>
    <x v="15"/>
    <x v="14"/>
    <x v="15"/>
    <m/>
  </r>
  <r>
    <x v="2102"/>
    <x v="0"/>
    <x v="0"/>
    <x v="0"/>
    <x v="0"/>
    <m/>
  </r>
  <r>
    <x v="2103"/>
    <x v="0"/>
    <x v="0"/>
    <x v="0"/>
    <x v="0"/>
    <m/>
  </r>
  <r>
    <x v="2104"/>
    <x v="0"/>
    <x v="0"/>
    <x v="0"/>
    <x v="0"/>
    <m/>
  </r>
  <r>
    <x v="2105"/>
    <x v="3"/>
    <x v="1"/>
    <x v="1"/>
    <x v="1"/>
    <m/>
  </r>
  <r>
    <x v="2106"/>
    <x v="0"/>
    <x v="0"/>
    <x v="0"/>
    <x v="0"/>
    <m/>
  </r>
  <r>
    <x v="2107"/>
    <x v="1"/>
    <x v="1"/>
    <x v="4"/>
    <x v="1"/>
    <m/>
  </r>
  <r>
    <x v="2108"/>
    <x v="0"/>
    <x v="0"/>
    <x v="0"/>
    <x v="0"/>
    <m/>
  </r>
  <r>
    <x v="2109"/>
    <x v="0"/>
    <x v="0"/>
    <x v="0"/>
    <x v="0"/>
    <m/>
  </r>
  <r>
    <x v="2110"/>
    <x v="0"/>
    <x v="0"/>
    <x v="0"/>
    <x v="0"/>
    <m/>
  </r>
  <r>
    <x v="2111"/>
    <x v="0"/>
    <x v="0"/>
    <x v="0"/>
    <x v="0"/>
    <m/>
  </r>
  <r>
    <x v="2112"/>
    <x v="0"/>
    <x v="0"/>
    <x v="0"/>
    <x v="0"/>
    <m/>
  </r>
  <r>
    <x v="2113"/>
    <x v="0"/>
    <x v="0"/>
    <x v="0"/>
    <x v="0"/>
    <m/>
  </r>
  <r>
    <x v="2114"/>
    <x v="0"/>
    <x v="0"/>
    <x v="0"/>
    <x v="0"/>
    <m/>
  </r>
  <r>
    <x v="2115"/>
    <x v="3"/>
    <x v="7"/>
    <x v="5"/>
    <x v="7"/>
    <m/>
  </r>
  <r>
    <x v="2116"/>
    <x v="0"/>
    <x v="0"/>
    <x v="0"/>
    <x v="0"/>
    <m/>
  </r>
  <r>
    <x v="2117"/>
    <x v="0"/>
    <x v="0"/>
    <x v="0"/>
    <x v="0"/>
    <m/>
  </r>
  <r>
    <x v="2118"/>
    <x v="0"/>
    <x v="0"/>
    <x v="0"/>
    <x v="0"/>
    <m/>
  </r>
  <r>
    <x v="2119"/>
    <x v="0"/>
    <x v="0"/>
    <x v="0"/>
    <x v="0"/>
    <m/>
  </r>
  <r>
    <x v="2120"/>
    <x v="1"/>
    <x v="2"/>
    <x v="2"/>
    <x v="2"/>
    <m/>
  </r>
  <r>
    <x v="2121"/>
    <x v="0"/>
    <x v="0"/>
    <x v="0"/>
    <x v="0"/>
    <m/>
  </r>
  <r>
    <x v="2122"/>
    <x v="1"/>
    <x v="1"/>
    <x v="4"/>
    <x v="1"/>
    <m/>
  </r>
  <r>
    <x v="2123"/>
    <x v="3"/>
    <x v="1"/>
    <x v="5"/>
    <x v="1"/>
    <m/>
  </r>
  <r>
    <x v="2124"/>
    <x v="0"/>
    <x v="0"/>
    <x v="0"/>
    <x v="0"/>
    <m/>
  </r>
  <r>
    <x v="2125"/>
    <x v="0"/>
    <x v="0"/>
    <x v="0"/>
    <x v="0"/>
    <m/>
  </r>
  <r>
    <x v="2126"/>
    <x v="0"/>
    <x v="0"/>
    <x v="0"/>
    <x v="0"/>
    <m/>
  </r>
  <r>
    <x v="2127"/>
    <x v="0"/>
    <x v="0"/>
    <x v="0"/>
    <x v="0"/>
    <m/>
  </r>
  <r>
    <x v="2128"/>
    <x v="1"/>
    <x v="1"/>
    <x v="5"/>
    <x v="1"/>
    <m/>
  </r>
  <r>
    <x v="2129"/>
    <x v="0"/>
    <x v="0"/>
    <x v="0"/>
    <x v="0"/>
    <m/>
  </r>
  <r>
    <x v="2130"/>
    <x v="0"/>
    <x v="0"/>
    <x v="0"/>
    <x v="0"/>
    <m/>
  </r>
  <r>
    <x v="2131"/>
    <x v="0"/>
    <x v="0"/>
    <x v="0"/>
    <x v="0"/>
    <m/>
  </r>
  <r>
    <x v="2132"/>
    <x v="0"/>
    <x v="0"/>
    <x v="0"/>
    <x v="0"/>
    <m/>
  </r>
  <r>
    <x v="2133"/>
    <x v="1"/>
    <x v="24"/>
    <x v="22"/>
    <x v="24"/>
    <m/>
  </r>
  <r>
    <x v="2134"/>
    <x v="0"/>
    <x v="0"/>
    <x v="0"/>
    <x v="0"/>
    <m/>
  </r>
  <r>
    <x v="2135"/>
    <x v="6"/>
    <x v="5"/>
    <x v="5"/>
    <x v="5"/>
    <m/>
  </r>
  <r>
    <x v="2136"/>
    <x v="0"/>
    <x v="0"/>
    <x v="0"/>
    <x v="0"/>
    <m/>
  </r>
  <r>
    <x v="2137"/>
    <x v="0"/>
    <x v="0"/>
    <x v="0"/>
    <x v="0"/>
    <m/>
  </r>
  <r>
    <x v="2138"/>
    <x v="1"/>
    <x v="4"/>
    <x v="5"/>
    <x v="4"/>
    <m/>
  </r>
  <r>
    <x v="2139"/>
    <x v="3"/>
    <x v="4"/>
    <x v="5"/>
    <x v="4"/>
    <m/>
  </r>
  <r>
    <x v="2140"/>
    <x v="11"/>
    <x v="3"/>
    <x v="3"/>
    <x v="3"/>
    <m/>
  </r>
  <r>
    <x v="2141"/>
    <x v="0"/>
    <x v="0"/>
    <x v="0"/>
    <x v="0"/>
    <m/>
  </r>
  <r>
    <x v="2142"/>
    <x v="0"/>
    <x v="0"/>
    <x v="0"/>
    <x v="0"/>
    <m/>
  </r>
  <r>
    <x v="2143"/>
    <x v="0"/>
    <x v="0"/>
    <x v="0"/>
    <x v="0"/>
    <m/>
  </r>
  <r>
    <x v="2144"/>
    <x v="1"/>
    <x v="1"/>
    <x v="1"/>
    <x v="1"/>
    <m/>
  </r>
  <r>
    <x v="2145"/>
    <x v="0"/>
    <x v="0"/>
    <x v="0"/>
    <x v="0"/>
    <m/>
  </r>
  <r>
    <x v="2146"/>
    <x v="1"/>
    <x v="1"/>
    <x v="5"/>
    <x v="1"/>
    <m/>
  </r>
  <r>
    <x v="2147"/>
    <x v="0"/>
    <x v="0"/>
    <x v="0"/>
    <x v="0"/>
    <m/>
  </r>
  <r>
    <x v="2148"/>
    <x v="1"/>
    <x v="4"/>
    <x v="5"/>
    <x v="4"/>
    <m/>
  </r>
  <r>
    <x v="2149"/>
    <x v="0"/>
    <x v="0"/>
    <x v="0"/>
    <x v="0"/>
    <m/>
  </r>
  <r>
    <x v="2150"/>
    <x v="0"/>
    <x v="0"/>
    <x v="0"/>
    <x v="0"/>
    <m/>
  </r>
  <r>
    <x v="2151"/>
    <x v="0"/>
    <x v="0"/>
    <x v="0"/>
    <x v="0"/>
    <m/>
  </r>
  <r>
    <x v="2152"/>
    <x v="0"/>
    <x v="0"/>
    <x v="0"/>
    <x v="0"/>
    <m/>
  </r>
  <r>
    <x v="2153"/>
    <x v="1"/>
    <x v="1"/>
    <x v="5"/>
    <x v="1"/>
    <m/>
  </r>
  <r>
    <x v="2154"/>
    <x v="0"/>
    <x v="0"/>
    <x v="0"/>
    <x v="0"/>
    <m/>
  </r>
  <r>
    <x v="2155"/>
    <x v="0"/>
    <x v="0"/>
    <x v="0"/>
    <x v="0"/>
    <m/>
  </r>
  <r>
    <x v="2156"/>
    <x v="0"/>
    <x v="0"/>
    <x v="0"/>
    <x v="0"/>
    <m/>
  </r>
  <r>
    <x v="2157"/>
    <x v="0"/>
    <x v="0"/>
    <x v="0"/>
    <x v="0"/>
    <m/>
  </r>
  <r>
    <x v="2158"/>
    <x v="0"/>
    <x v="0"/>
    <x v="0"/>
    <x v="0"/>
    <m/>
  </r>
  <r>
    <x v="2159"/>
    <x v="1"/>
    <x v="4"/>
    <x v="5"/>
    <x v="4"/>
    <m/>
  </r>
  <r>
    <x v="2160"/>
    <x v="0"/>
    <x v="0"/>
    <x v="0"/>
    <x v="0"/>
    <m/>
  </r>
  <r>
    <x v="2161"/>
    <x v="0"/>
    <x v="0"/>
    <x v="0"/>
    <x v="0"/>
    <m/>
  </r>
  <r>
    <x v="2162"/>
    <x v="2"/>
    <x v="1"/>
    <x v="1"/>
    <x v="1"/>
    <m/>
  </r>
  <r>
    <x v="2163"/>
    <x v="15"/>
    <x v="1"/>
    <x v="1"/>
    <x v="1"/>
    <m/>
  </r>
  <r>
    <x v="2164"/>
    <x v="0"/>
    <x v="0"/>
    <x v="0"/>
    <x v="0"/>
    <m/>
  </r>
  <r>
    <x v="2165"/>
    <x v="0"/>
    <x v="0"/>
    <x v="0"/>
    <x v="0"/>
    <m/>
  </r>
  <r>
    <x v="2166"/>
    <x v="0"/>
    <x v="0"/>
    <x v="0"/>
    <x v="0"/>
    <m/>
  </r>
  <r>
    <x v="2167"/>
    <x v="2"/>
    <x v="7"/>
    <x v="5"/>
    <x v="7"/>
    <m/>
  </r>
  <r>
    <x v="2168"/>
    <x v="6"/>
    <x v="5"/>
    <x v="5"/>
    <x v="5"/>
    <m/>
  </r>
  <r>
    <x v="2169"/>
    <x v="0"/>
    <x v="0"/>
    <x v="0"/>
    <x v="0"/>
    <m/>
  </r>
  <r>
    <x v="2170"/>
    <x v="1"/>
    <x v="1"/>
    <x v="4"/>
    <x v="1"/>
    <m/>
  </r>
  <r>
    <x v="2171"/>
    <x v="0"/>
    <x v="0"/>
    <x v="0"/>
    <x v="0"/>
    <m/>
  </r>
  <r>
    <x v="2172"/>
    <x v="3"/>
    <x v="1"/>
    <x v="5"/>
    <x v="1"/>
    <m/>
  </r>
  <r>
    <x v="2173"/>
    <x v="0"/>
    <x v="0"/>
    <x v="0"/>
    <x v="0"/>
    <m/>
  </r>
  <r>
    <x v="2174"/>
    <x v="0"/>
    <x v="0"/>
    <x v="0"/>
    <x v="0"/>
    <m/>
  </r>
  <r>
    <x v="2175"/>
    <x v="0"/>
    <x v="0"/>
    <x v="0"/>
    <x v="0"/>
    <m/>
  </r>
  <r>
    <x v="2176"/>
    <x v="0"/>
    <x v="0"/>
    <x v="0"/>
    <x v="0"/>
    <m/>
  </r>
  <r>
    <x v="2177"/>
    <x v="3"/>
    <x v="5"/>
    <x v="5"/>
    <x v="5"/>
    <m/>
  </r>
  <r>
    <x v="2178"/>
    <x v="10"/>
    <x v="5"/>
    <x v="1"/>
    <x v="5"/>
    <m/>
  </r>
  <r>
    <x v="2179"/>
    <x v="0"/>
    <x v="0"/>
    <x v="0"/>
    <x v="0"/>
    <m/>
  </r>
  <r>
    <x v="2180"/>
    <x v="1"/>
    <x v="4"/>
    <x v="5"/>
    <x v="4"/>
    <m/>
  </r>
  <r>
    <x v="2181"/>
    <x v="0"/>
    <x v="0"/>
    <x v="0"/>
    <x v="0"/>
    <m/>
  </r>
  <r>
    <x v="2182"/>
    <x v="0"/>
    <x v="0"/>
    <x v="0"/>
    <x v="0"/>
    <m/>
  </r>
  <r>
    <x v="2183"/>
    <x v="0"/>
    <x v="0"/>
    <x v="0"/>
    <x v="0"/>
    <m/>
  </r>
  <r>
    <x v="2184"/>
    <x v="0"/>
    <x v="0"/>
    <x v="0"/>
    <x v="0"/>
    <m/>
  </r>
  <r>
    <x v="2185"/>
    <x v="1"/>
    <x v="1"/>
    <x v="1"/>
    <x v="1"/>
    <m/>
  </r>
  <r>
    <x v="2186"/>
    <x v="1"/>
    <x v="4"/>
    <x v="5"/>
    <x v="4"/>
    <m/>
  </r>
  <r>
    <x v="2187"/>
    <x v="0"/>
    <x v="0"/>
    <x v="0"/>
    <x v="0"/>
    <m/>
  </r>
  <r>
    <x v="2188"/>
    <x v="1"/>
    <x v="1"/>
    <x v="1"/>
    <x v="1"/>
    <m/>
  </r>
  <r>
    <x v="2189"/>
    <x v="0"/>
    <x v="0"/>
    <x v="0"/>
    <x v="0"/>
    <m/>
  </r>
  <r>
    <x v="2190"/>
    <x v="0"/>
    <x v="0"/>
    <x v="0"/>
    <x v="0"/>
    <m/>
  </r>
  <r>
    <x v="2191"/>
    <x v="0"/>
    <x v="0"/>
    <x v="0"/>
    <x v="0"/>
    <m/>
  </r>
  <r>
    <x v="2192"/>
    <x v="0"/>
    <x v="0"/>
    <x v="0"/>
    <x v="0"/>
    <m/>
  </r>
  <r>
    <x v="2193"/>
    <x v="1"/>
    <x v="7"/>
    <x v="5"/>
    <x v="7"/>
    <m/>
  </r>
  <r>
    <x v="2194"/>
    <x v="1"/>
    <x v="1"/>
    <x v="4"/>
    <x v="1"/>
    <m/>
  </r>
  <r>
    <x v="2195"/>
    <x v="15"/>
    <x v="5"/>
    <x v="1"/>
    <x v="5"/>
    <m/>
  </r>
  <r>
    <x v="2196"/>
    <x v="0"/>
    <x v="0"/>
    <x v="0"/>
    <x v="0"/>
    <m/>
  </r>
  <r>
    <x v="2197"/>
    <x v="1"/>
    <x v="7"/>
    <x v="5"/>
    <x v="7"/>
    <m/>
  </r>
  <r>
    <x v="2198"/>
    <x v="0"/>
    <x v="0"/>
    <x v="0"/>
    <x v="0"/>
    <m/>
  </r>
  <r>
    <x v="2199"/>
    <x v="0"/>
    <x v="0"/>
    <x v="0"/>
    <x v="0"/>
    <m/>
  </r>
  <r>
    <x v="2200"/>
    <x v="1"/>
    <x v="1"/>
    <x v="5"/>
    <x v="1"/>
    <m/>
  </r>
  <r>
    <x v="2201"/>
    <x v="0"/>
    <x v="0"/>
    <x v="0"/>
    <x v="0"/>
    <m/>
  </r>
  <r>
    <x v="2202"/>
    <x v="1"/>
    <x v="1"/>
    <x v="4"/>
    <x v="1"/>
    <m/>
  </r>
  <r>
    <x v="2203"/>
    <x v="0"/>
    <x v="0"/>
    <x v="0"/>
    <x v="0"/>
    <m/>
  </r>
  <r>
    <x v="2204"/>
    <x v="0"/>
    <x v="0"/>
    <x v="0"/>
    <x v="0"/>
    <m/>
  </r>
  <r>
    <x v="2205"/>
    <x v="0"/>
    <x v="0"/>
    <x v="0"/>
    <x v="0"/>
    <m/>
  </r>
  <r>
    <x v="2206"/>
    <x v="1"/>
    <x v="1"/>
    <x v="4"/>
    <x v="1"/>
    <m/>
  </r>
  <r>
    <x v="2207"/>
    <x v="0"/>
    <x v="0"/>
    <x v="0"/>
    <x v="0"/>
    <m/>
  </r>
  <r>
    <x v="2208"/>
    <x v="0"/>
    <x v="0"/>
    <x v="0"/>
    <x v="0"/>
    <m/>
  </r>
  <r>
    <x v="2209"/>
    <x v="0"/>
    <x v="0"/>
    <x v="0"/>
    <x v="0"/>
    <m/>
  </r>
  <r>
    <x v="2210"/>
    <x v="0"/>
    <x v="0"/>
    <x v="0"/>
    <x v="0"/>
    <m/>
  </r>
  <r>
    <x v="2211"/>
    <x v="0"/>
    <x v="0"/>
    <x v="0"/>
    <x v="0"/>
    <m/>
  </r>
  <r>
    <x v="2212"/>
    <x v="0"/>
    <x v="0"/>
    <x v="0"/>
    <x v="0"/>
    <m/>
  </r>
  <r>
    <x v="2213"/>
    <x v="0"/>
    <x v="0"/>
    <x v="0"/>
    <x v="0"/>
    <m/>
  </r>
  <r>
    <x v="2214"/>
    <x v="1"/>
    <x v="2"/>
    <x v="2"/>
    <x v="2"/>
    <m/>
  </r>
  <r>
    <x v="2215"/>
    <x v="1"/>
    <x v="4"/>
    <x v="5"/>
    <x v="4"/>
    <m/>
  </r>
  <r>
    <x v="2216"/>
    <x v="0"/>
    <x v="0"/>
    <x v="0"/>
    <x v="0"/>
    <m/>
  </r>
  <r>
    <x v="2217"/>
    <x v="0"/>
    <x v="0"/>
    <x v="0"/>
    <x v="0"/>
    <m/>
  </r>
  <r>
    <x v="2218"/>
    <x v="0"/>
    <x v="0"/>
    <x v="0"/>
    <x v="0"/>
    <m/>
  </r>
  <r>
    <x v="2219"/>
    <x v="0"/>
    <x v="0"/>
    <x v="0"/>
    <x v="0"/>
    <m/>
  </r>
  <r>
    <x v="2220"/>
    <x v="0"/>
    <x v="0"/>
    <x v="0"/>
    <x v="0"/>
    <m/>
  </r>
  <r>
    <x v="2221"/>
    <x v="0"/>
    <x v="0"/>
    <x v="0"/>
    <x v="0"/>
    <m/>
  </r>
  <r>
    <x v="2222"/>
    <x v="0"/>
    <x v="0"/>
    <x v="0"/>
    <x v="0"/>
    <m/>
  </r>
  <r>
    <x v="2223"/>
    <x v="0"/>
    <x v="0"/>
    <x v="0"/>
    <x v="0"/>
    <m/>
  </r>
  <r>
    <x v="2224"/>
    <x v="3"/>
    <x v="22"/>
    <x v="20"/>
    <x v="22"/>
    <m/>
  </r>
  <r>
    <x v="2225"/>
    <x v="1"/>
    <x v="4"/>
    <x v="5"/>
    <x v="4"/>
    <m/>
  </r>
  <r>
    <x v="2226"/>
    <x v="1"/>
    <x v="6"/>
    <x v="6"/>
    <x v="6"/>
    <m/>
  </r>
  <r>
    <x v="2227"/>
    <x v="0"/>
    <x v="0"/>
    <x v="0"/>
    <x v="0"/>
    <m/>
  </r>
  <r>
    <x v="2228"/>
    <x v="0"/>
    <x v="0"/>
    <x v="0"/>
    <x v="0"/>
    <m/>
  </r>
  <r>
    <x v="2229"/>
    <x v="0"/>
    <x v="0"/>
    <x v="0"/>
    <x v="0"/>
    <m/>
  </r>
  <r>
    <x v="2230"/>
    <x v="0"/>
    <x v="0"/>
    <x v="0"/>
    <x v="0"/>
    <m/>
  </r>
  <r>
    <x v="2231"/>
    <x v="3"/>
    <x v="5"/>
    <x v="5"/>
    <x v="5"/>
    <m/>
  </r>
  <r>
    <x v="2232"/>
    <x v="1"/>
    <x v="2"/>
    <x v="2"/>
    <x v="2"/>
    <m/>
  </r>
  <r>
    <x v="2233"/>
    <x v="1"/>
    <x v="1"/>
    <x v="5"/>
    <x v="1"/>
    <m/>
  </r>
  <r>
    <x v="2234"/>
    <x v="1"/>
    <x v="12"/>
    <x v="11"/>
    <x v="12"/>
    <m/>
  </r>
  <r>
    <x v="2235"/>
    <x v="0"/>
    <x v="0"/>
    <x v="0"/>
    <x v="0"/>
    <m/>
  </r>
  <r>
    <x v="2236"/>
    <x v="0"/>
    <x v="0"/>
    <x v="0"/>
    <x v="0"/>
    <m/>
  </r>
  <r>
    <x v="2237"/>
    <x v="1"/>
    <x v="2"/>
    <x v="2"/>
    <x v="2"/>
    <m/>
  </r>
  <r>
    <x v="2238"/>
    <x v="3"/>
    <x v="36"/>
    <x v="36"/>
    <x v="36"/>
    <m/>
  </r>
  <r>
    <x v="2239"/>
    <x v="0"/>
    <x v="0"/>
    <x v="0"/>
    <x v="0"/>
    <m/>
  </r>
  <r>
    <x v="2240"/>
    <x v="1"/>
    <x v="24"/>
    <x v="22"/>
    <x v="24"/>
    <m/>
  </r>
  <r>
    <x v="2241"/>
    <x v="0"/>
    <x v="0"/>
    <x v="0"/>
    <x v="0"/>
    <m/>
  </r>
  <r>
    <x v="2242"/>
    <x v="0"/>
    <x v="0"/>
    <x v="0"/>
    <x v="0"/>
    <m/>
  </r>
  <r>
    <x v="2243"/>
    <x v="0"/>
    <x v="0"/>
    <x v="0"/>
    <x v="0"/>
    <m/>
  </r>
  <r>
    <x v="2244"/>
    <x v="20"/>
    <x v="3"/>
    <x v="3"/>
    <x v="3"/>
    <m/>
  </r>
  <r>
    <x v="2245"/>
    <x v="0"/>
    <x v="0"/>
    <x v="0"/>
    <x v="0"/>
    <m/>
  </r>
  <r>
    <x v="2246"/>
    <x v="1"/>
    <x v="4"/>
    <x v="5"/>
    <x v="4"/>
    <m/>
  </r>
  <r>
    <x v="2247"/>
    <x v="0"/>
    <x v="0"/>
    <x v="0"/>
    <x v="0"/>
    <m/>
  </r>
  <r>
    <x v="2248"/>
    <x v="1"/>
    <x v="4"/>
    <x v="5"/>
    <x v="4"/>
    <m/>
  </r>
  <r>
    <x v="2249"/>
    <x v="0"/>
    <x v="0"/>
    <x v="0"/>
    <x v="0"/>
    <m/>
  </r>
  <r>
    <x v="2250"/>
    <x v="3"/>
    <x v="1"/>
    <x v="5"/>
    <x v="1"/>
    <m/>
  </r>
  <r>
    <x v="2251"/>
    <x v="0"/>
    <x v="0"/>
    <x v="0"/>
    <x v="0"/>
    <m/>
  </r>
  <r>
    <x v="2252"/>
    <x v="0"/>
    <x v="0"/>
    <x v="0"/>
    <x v="0"/>
    <m/>
  </r>
  <r>
    <x v="2253"/>
    <x v="3"/>
    <x v="1"/>
    <x v="5"/>
    <x v="1"/>
    <m/>
  </r>
  <r>
    <x v="2254"/>
    <x v="1"/>
    <x v="7"/>
    <x v="5"/>
    <x v="7"/>
    <m/>
  </r>
  <r>
    <x v="2255"/>
    <x v="0"/>
    <x v="0"/>
    <x v="0"/>
    <x v="0"/>
    <m/>
  </r>
  <r>
    <x v="2256"/>
    <x v="0"/>
    <x v="0"/>
    <x v="0"/>
    <x v="0"/>
    <m/>
  </r>
  <r>
    <x v="2257"/>
    <x v="3"/>
    <x v="1"/>
    <x v="5"/>
    <x v="1"/>
    <m/>
  </r>
  <r>
    <x v="2258"/>
    <x v="3"/>
    <x v="1"/>
    <x v="5"/>
    <x v="1"/>
    <m/>
  </r>
  <r>
    <x v="2259"/>
    <x v="1"/>
    <x v="1"/>
    <x v="5"/>
    <x v="1"/>
    <m/>
  </r>
  <r>
    <x v="2260"/>
    <x v="0"/>
    <x v="0"/>
    <x v="0"/>
    <x v="0"/>
    <m/>
  </r>
  <r>
    <x v="2261"/>
    <x v="0"/>
    <x v="0"/>
    <x v="0"/>
    <x v="0"/>
    <m/>
  </r>
  <r>
    <x v="2262"/>
    <x v="0"/>
    <x v="0"/>
    <x v="0"/>
    <x v="0"/>
    <m/>
  </r>
  <r>
    <x v="2263"/>
    <x v="0"/>
    <x v="0"/>
    <x v="0"/>
    <x v="0"/>
    <m/>
  </r>
  <r>
    <x v="2264"/>
    <x v="0"/>
    <x v="0"/>
    <x v="0"/>
    <x v="0"/>
    <m/>
  </r>
  <r>
    <x v="2265"/>
    <x v="1"/>
    <x v="2"/>
    <x v="2"/>
    <x v="2"/>
    <m/>
  </r>
  <r>
    <x v="2266"/>
    <x v="1"/>
    <x v="4"/>
    <x v="5"/>
    <x v="4"/>
    <m/>
  </r>
  <r>
    <x v="2267"/>
    <x v="0"/>
    <x v="0"/>
    <x v="0"/>
    <x v="0"/>
    <m/>
  </r>
  <r>
    <x v="2268"/>
    <x v="1"/>
    <x v="3"/>
    <x v="3"/>
    <x v="3"/>
    <m/>
  </r>
  <r>
    <x v="2269"/>
    <x v="1"/>
    <x v="4"/>
    <x v="5"/>
    <x v="4"/>
    <m/>
  </r>
  <r>
    <x v="2270"/>
    <x v="0"/>
    <x v="0"/>
    <x v="0"/>
    <x v="0"/>
    <m/>
  </r>
  <r>
    <x v="2271"/>
    <x v="3"/>
    <x v="1"/>
    <x v="1"/>
    <x v="1"/>
    <m/>
  </r>
  <r>
    <x v="2272"/>
    <x v="0"/>
    <x v="0"/>
    <x v="0"/>
    <x v="0"/>
    <m/>
  </r>
  <r>
    <x v="2273"/>
    <x v="0"/>
    <x v="0"/>
    <x v="0"/>
    <x v="0"/>
    <m/>
  </r>
  <r>
    <x v="2274"/>
    <x v="0"/>
    <x v="0"/>
    <x v="0"/>
    <x v="0"/>
    <m/>
  </r>
  <r>
    <x v="2275"/>
    <x v="0"/>
    <x v="0"/>
    <x v="0"/>
    <x v="0"/>
    <m/>
  </r>
  <r>
    <x v="2276"/>
    <x v="0"/>
    <x v="0"/>
    <x v="0"/>
    <x v="0"/>
    <m/>
  </r>
  <r>
    <x v="2277"/>
    <x v="1"/>
    <x v="4"/>
    <x v="5"/>
    <x v="4"/>
    <m/>
  </r>
  <r>
    <x v="2278"/>
    <x v="1"/>
    <x v="4"/>
    <x v="5"/>
    <x v="4"/>
    <m/>
  </r>
  <r>
    <x v="2279"/>
    <x v="0"/>
    <x v="0"/>
    <x v="0"/>
    <x v="0"/>
    <m/>
  </r>
  <r>
    <x v="2280"/>
    <x v="0"/>
    <x v="0"/>
    <x v="0"/>
    <x v="0"/>
    <m/>
  </r>
  <r>
    <x v="2281"/>
    <x v="1"/>
    <x v="1"/>
    <x v="5"/>
    <x v="1"/>
    <m/>
  </r>
  <r>
    <x v="2282"/>
    <x v="0"/>
    <x v="0"/>
    <x v="0"/>
    <x v="0"/>
    <m/>
  </r>
  <r>
    <x v="2283"/>
    <x v="1"/>
    <x v="1"/>
    <x v="1"/>
    <x v="1"/>
    <m/>
  </r>
  <r>
    <x v="2284"/>
    <x v="0"/>
    <x v="0"/>
    <x v="0"/>
    <x v="0"/>
    <m/>
  </r>
  <r>
    <x v="2285"/>
    <x v="0"/>
    <x v="0"/>
    <x v="0"/>
    <x v="0"/>
    <m/>
  </r>
  <r>
    <x v="2286"/>
    <x v="1"/>
    <x v="1"/>
    <x v="4"/>
    <x v="1"/>
    <m/>
  </r>
  <r>
    <x v="2287"/>
    <x v="0"/>
    <x v="0"/>
    <x v="0"/>
    <x v="0"/>
    <m/>
  </r>
  <r>
    <x v="2288"/>
    <x v="0"/>
    <x v="0"/>
    <x v="0"/>
    <x v="0"/>
    <m/>
  </r>
  <r>
    <x v="2289"/>
    <x v="0"/>
    <x v="0"/>
    <x v="0"/>
    <x v="0"/>
    <m/>
  </r>
  <r>
    <x v="2290"/>
    <x v="0"/>
    <x v="0"/>
    <x v="0"/>
    <x v="0"/>
    <m/>
  </r>
  <r>
    <x v="2291"/>
    <x v="0"/>
    <x v="0"/>
    <x v="0"/>
    <x v="0"/>
    <m/>
  </r>
  <r>
    <x v="2292"/>
    <x v="0"/>
    <x v="0"/>
    <x v="0"/>
    <x v="0"/>
    <m/>
  </r>
  <r>
    <x v="2293"/>
    <x v="0"/>
    <x v="0"/>
    <x v="0"/>
    <x v="0"/>
    <m/>
  </r>
  <r>
    <x v="2294"/>
    <x v="1"/>
    <x v="1"/>
    <x v="5"/>
    <x v="1"/>
    <m/>
  </r>
  <r>
    <x v="2295"/>
    <x v="3"/>
    <x v="4"/>
    <x v="5"/>
    <x v="4"/>
    <m/>
  </r>
  <r>
    <x v="2296"/>
    <x v="0"/>
    <x v="0"/>
    <x v="0"/>
    <x v="0"/>
    <m/>
  </r>
  <r>
    <x v="2297"/>
    <x v="0"/>
    <x v="0"/>
    <x v="0"/>
    <x v="0"/>
    <m/>
  </r>
  <r>
    <x v="2298"/>
    <x v="0"/>
    <x v="0"/>
    <x v="0"/>
    <x v="0"/>
    <m/>
  </r>
  <r>
    <x v="2299"/>
    <x v="0"/>
    <x v="0"/>
    <x v="0"/>
    <x v="0"/>
    <m/>
  </r>
  <r>
    <x v="2300"/>
    <x v="1"/>
    <x v="1"/>
    <x v="5"/>
    <x v="1"/>
    <m/>
  </r>
  <r>
    <x v="2301"/>
    <x v="0"/>
    <x v="0"/>
    <x v="0"/>
    <x v="0"/>
    <m/>
  </r>
  <r>
    <x v="2302"/>
    <x v="1"/>
    <x v="6"/>
    <x v="6"/>
    <x v="6"/>
    <m/>
  </r>
  <r>
    <x v="2303"/>
    <x v="1"/>
    <x v="1"/>
    <x v="4"/>
    <x v="1"/>
    <m/>
  </r>
  <r>
    <x v="2304"/>
    <x v="0"/>
    <x v="0"/>
    <x v="0"/>
    <x v="0"/>
    <m/>
  </r>
  <r>
    <x v="2305"/>
    <x v="1"/>
    <x v="4"/>
    <x v="5"/>
    <x v="4"/>
    <m/>
  </r>
  <r>
    <x v="2306"/>
    <x v="2"/>
    <x v="2"/>
    <x v="2"/>
    <x v="2"/>
    <m/>
  </r>
  <r>
    <x v="2307"/>
    <x v="0"/>
    <x v="0"/>
    <x v="0"/>
    <x v="0"/>
    <m/>
  </r>
  <r>
    <x v="2308"/>
    <x v="0"/>
    <x v="0"/>
    <x v="0"/>
    <x v="0"/>
    <m/>
  </r>
  <r>
    <x v="2309"/>
    <x v="0"/>
    <x v="0"/>
    <x v="0"/>
    <x v="0"/>
    <m/>
  </r>
  <r>
    <x v="2310"/>
    <x v="0"/>
    <x v="0"/>
    <x v="0"/>
    <x v="0"/>
    <m/>
  </r>
  <r>
    <x v="2311"/>
    <x v="0"/>
    <x v="0"/>
    <x v="0"/>
    <x v="0"/>
    <m/>
  </r>
  <r>
    <x v="2312"/>
    <x v="0"/>
    <x v="0"/>
    <x v="0"/>
    <x v="0"/>
    <m/>
  </r>
  <r>
    <x v="2313"/>
    <x v="0"/>
    <x v="0"/>
    <x v="0"/>
    <x v="0"/>
    <m/>
  </r>
  <r>
    <x v="2314"/>
    <x v="0"/>
    <x v="0"/>
    <x v="0"/>
    <x v="0"/>
    <m/>
  </r>
  <r>
    <x v="2315"/>
    <x v="0"/>
    <x v="0"/>
    <x v="0"/>
    <x v="0"/>
    <m/>
  </r>
  <r>
    <x v="2316"/>
    <x v="1"/>
    <x v="1"/>
    <x v="5"/>
    <x v="1"/>
    <m/>
  </r>
  <r>
    <x v="2317"/>
    <x v="6"/>
    <x v="5"/>
    <x v="5"/>
    <x v="5"/>
    <m/>
  </r>
  <r>
    <x v="2318"/>
    <x v="0"/>
    <x v="0"/>
    <x v="0"/>
    <x v="0"/>
    <m/>
  </r>
  <r>
    <x v="2319"/>
    <x v="0"/>
    <x v="0"/>
    <x v="0"/>
    <x v="0"/>
    <m/>
  </r>
  <r>
    <x v="2320"/>
    <x v="1"/>
    <x v="7"/>
    <x v="5"/>
    <x v="7"/>
    <m/>
  </r>
  <r>
    <x v="2321"/>
    <x v="3"/>
    <x v="1"/>
    <x v="5"/>
    <x v="1"/>
    <m/>
  </r>
  <r>
    <x v="2322"/>
    <x v="0"/>
    <x v="0"/>
    <x v="0"/>
    <x v="0"/>
    <m/>
  </r>
  <r>
    <x v="2323"/>
    <x v="2"/>
    <x v="1"/>
    <x v="1"/>
    <x v="1"/>
    <m/>
  </r>
  <r>
    <x v="2324"/>
    <x v="1"/>
    <x v="1"/>
    <x v="4"/>
    <x v="1"/>
    <m/>
  </r>
  <r>
    <x v="2325"/>
    <x v="0"/>
    <x v="0"/>
    <x v="0"/>
    <x v="0"/>
    <m/>
  </r>
  <r>
    <x v="2326"/>
    <x v="0"/>
    <x v="0"/>
    <x v="0"/>
    <x v="0"/>
    <m/>
  </r>
  <r>
    <x v="2327"/>
    <x v="1"/>
    <x v="4"/>
    <x v="5"/>
    <x v="4"/>
    <m/>
  </r>
  <r>
    <x v="2328"/>
    <x v="0"/>
    <x v="0"/>
    <x v="0"/>
    <x v="0"/>
    <m/>
  </r>
  <r>
    <x v="2329"/>
    <x v="0"/>
    <x v="0"/>
    <x v="0"/>
    <x v="0"/>
    <m/>
  </r>
  <r>
    <x v="2330"/>
    <x v="0"/>
    <x v="0"/>
    <x v="0"/>
    <x v="0"/>
    <m/>
  </r>
  <r>
    <x v="2331"/>
    <x v="1"/>
    <x v="1"/>
    <x v="4"/>
    <x v="1"/>
    <m/>
  </r>
  <r>
    <x v="2332"/>
    <x v="1"/>
    <x v="4"/>
    <x v="5"/>
    <x v="4"/>
    <m/>
  </r>
  <r>
    <x v="2333"/>
    <x v="0"/>
    <x v="0"/>
    <x v="0"/>
    <x v="0"/>
    <m/>
  </r>
  <r>
    <x v="2334"/>
    <x v="3"/>
    <x v="7"/>
    <x v="5"/>
    <x v="7"/>
    <m/>
  </r>
  <r>
    <x v="2335"/>
    <x v="0"/>
    <x v="0"/>
    <x v="0"/>
    <x v="0"/>
    <m/>
  </r>
  <r>
    <x v="2336"/>
    <x v="0"/>
    <x v="0"/>
    <x v="0"/>
    <x v="0"/>
    <m/>
  </r>
  <r>
    <x v="2337"/>
    <x v="0"/>
    <x v="0"/>
    <x v="0"/>
    <x v="0"/>
    <m/>
  </r>
  <r>
    <x v="2338"/>
    <x v="0"/>
    <x v="0"/>
    <x v="0"/>
    <x v="0"/>
    <m/>
  </r>
  <r>
    <x v="2339"/>
    <x v="0"/>
    <x v="0"/>
    <x v="0"/>
    <x v="0"/>
    <m/>
  </r>
  <r>
    <x v="2340"/>
    <x v="1"/>
    <x v="1"/>
    <x v="4"/>
    <x v="1"/>
    <m/>
  </r>
  <r>
    <x v="2341"/>
    <x v="3"/>
    <x v="7"/>
    <x v="5"/>
    <x v="7"/>
    <m/>
  </r>
  <r>
    <x v="2342"/>
    <x v="0"/>
    <x v="0"/>
    <x v="0"/>
    <x v="0"/>
    <m/>
  </r>
  <r>
    <x v="2343"/>
    <x v="0"/>
    <x v="0"/>
    <x v="0"/>
    <x v="0"/>
    <m/>
  </r>
  <r>
    <x v="2344"/>
    <x v="0"/>
    <x v="0"/>
    <x v="0"/>
    <x v="0"/>
    <m/>
  </r>
  <r>
    <x v="2345"/>
    <x v="1"/>
    <x v="2"/>
    <x v="2"/>
    <x v="2"/>
    <m/>
  </r>
  <r>
    <x v="2346"/>
    <x v="0"/>
    <x v="0"/>
    <x v="0"/>
    <x v="0"/>
    <m/>
  </r>
  <r>
    <x v="2347"/>
    <x v="0"/>
    <x v="0"/>
    <x v="0"/>
    <x v="0"/>
    <m/>
  </r>
  <r>
    <x v="2348"/>
    <x v="1"/>
    <x v="1"/>
    <x v="4"/>
    <x v="1"/>
    <m/>
  </r>
  <r>
    <x v="2349"/>
    <x v="0"/>
    <x v="0"/>
    <x v="0"/>
    <x v="0"/>
    <m/>
  </r>
  <r>
    <x v="2350"/>
    <x v="0"/>
    <x v="0"/>
    <x v="0"/>
    <x v="0"/>
    <m/>
  </r>
  <r>
    <x v="2351"/>
    <x v="0"/>
    <x v="0"/>
    <x v="0"/>
    <x v="0"/>
    <m/>
  </r>
  <r>
    <x v="2352"/>
    <x v="0"/>
    <x v="0"/>
    <x v="0"/>
    <x v="0"/>
    <m/>
  </r>
  <r>
    <x v="2353"/>
    <x v="0"/>
    <x v="0"/>
    <x v="0"/>
    <x v="0"/>
    <m/>
  </r>
  <r>
    <x v="2354"/>
    <x v="1"/>
    <x v="4"/>
    <x v="5"/>
    <x v="4"/>
    <m/>
  </r>
  <r>
    <x v="2355"/>
    <x v="1"/>
    <x v="1"/>
    <x v="1"/>
    <x v="1"/>
    <m/>
  </r>
  <r>
    <x v="2356"/>
    <x v="0"/>
    <x v="0"/>
    <x v="0"/>
    <x v="0"/>
    <m/>
  </r>
  <r>
    <x v="2357"/>
    <x v="3"/>
    <x v="1"/>
    <x v="5"/>
    <x v="1"/>
    <m/>
  </r>
  <r>
    <x v="2358"/>
    <x v="1"/>
    <x v="4"/>
    <x v="5"/>
    <x v="4"/>
    <m/>
  </r>
  <r>
    <x v="2359"/>
    <x v="1"/>
    <x v="4"/>
    <x v="5"/>
    <x v="4"/>
    <m/>
  </r>
  <r>
    <x v="2360"/>
    <x v="0"/>
    <x v="0"/>
    <x v="0"/>
    <x v="0"/>
    <m/>
  </r>
  <r>
    <x v="2361"/>
    <x v="1"/>
    <x v="3"/>
    <x v="3"/>
    <x v="3"/>
    <m/>
  </r>
  <r>
    <x v="2362"/>
    <x v="1"/>
    <x v="4"/>
    <x v="5"/>
    <x v="4"/>
    <m/>
  </r>
  <r>
    <x v="2363"/>
    <x v="0"/>
    <x v="0"/>
    <x v="0"/>
    <x v="0"/>
    <m/>
  </r>
  <r>
    <x v="2364"/>
    <x v="0"/>
    <x v="0"/>
    <x v="0"/>
    <x v="0"/>
    <m/>
  </r>
  <r>
    <x v="2365"/>
    <x v="1"/>
    <x v="1"/>
    <x v="4"/>
    <x v="1"/>
    <m/>
  </r>
  <r>
    <x v="2366"/>
    <x v="1"/>
    <x v="1"/>
    <x v="4"/>
    <x v="1"/>
    <m/>
  </r>
  <r>
    <x v="2367"/>
    <x v="1"/>
    <x v="4"/>
    <x v="5"/>
    <x v="4"/>
    <m/>
  </r>
  <r>
    <x v="2368"/>
    <x v="1"/>
    <x v="1"/>
    <x v="4"/>
    <x v="1"/>
    <m/>
  </r>
  <r>
    <x v="2369"/>
    <x v="0"/>
    <x v="0"/>
    <x v="0"/>
    <x v="0"/>
    <m/>
  </r>
  <r>
    <x v="2370"/>
    <x v="0"/>
    <x v="0"/>
    <x v="0"/>
    <x v="0"/>
    <m/>
  </r>
  <r>
    <x v="2371"/>
    <x v="0"/>
    <x v="0"/>
    <x v="0"/>
    <x v="0"/>
    <m/>
  </r>
  <r>
    <x v="2372"/>
    <x v="0"/>
    <x v="0"/>
    <x v="0"/>
    <x v="0"/>
    <m/>
  </r>
  <r>
    <x v="2373"/>
    <x v="0"/>
    <x v="0"/>
    <x v="0"/>
    <x v="0"/>
    <m/>
  </r>
  <r>
    <x v="2374"/>
    <x v="0"/>
    <x v="0"/>
    <x v="0"/>
    <x v="0"/>
    <m/>
  </r>
  <r>
    <x v="2375"/>
    <x v="3"/>
    <x v="1"/>
    <x v="5"/>
    <x v="1"/>
    <m/>
  </r>
  <r>
    <x v="2376"/>
    <x v="0"/>
    <x v="0"/>
    <x v="0"/>
    <x v="0"/>
    <m/>
  </r>
  <r>
    <x v="2377"/>
    <x v="0"/>
    <x v="0"/>
    <x v="0"/>
    <x v="0"/>
    <m/>
  </r>
  <r>
    <x v="2378"/>
    <x v="3"/>
    <x v="1"/>
    <x v="5"/>
    <x v="1"/>
    <m/>
  </r>
  <r>
    <x v="2379"/>
    <x v="21"/>
    <x v="3"/>
    <x v="3"/>
    <x v="3"/>
    <m/>
  </r>
  <r>
    <x v="2380"/>
    <x v="1"/>
    <x v="37"/>
    <x v="37"/>
    <x v="37"/>
    <m/>
  </r>
  <r>
    <x v="2381"/>
    <x v="0"/>
    <x v="0"/>
    <x v="0"/>
    <x v="0"/>
    <m/>
  </r>
  <r>
    <x v="2382"/>
    <x v="0"/>
    <x v="0"/>
    <x v="0"/>
    <x v="0"/>
    <m/>
  </r>
  <r>
    <x v="2383"/>
    <x v="0"/>
    <x v="0"/>
    <x v="0"/>
    <x v="0"/>
    <m/>
  </r>
  <r>
    <x v="2384"/>
    <x v="0"/>
    <x v="0"/>
    <x v="0"/>
    <x v="0"/>
    <m/>
  </r>
  <r>
    <x v="2385"/>
    <x v="0"/>
    <x v="0"/>
    <x v="0"/>
    <x v="0"/>
    <m/>
  </r>
  <r>
    <x v="2386"/>
    <x v="0"/>
    <x v="0"/>
    <x v="0"/>
    <x v="0"/>
    <m/>
  </r>
  <r>
    <x v="2387"/>
    <x v="0"/>
    <x v="0"/>
    <x v="0"/>
    <x v="0"/>
    <m/>
  </r>
  <r>
    <x v="2388"/>
    <x v="1"/>
    <x v="4"/>
    <x v="5"/>
    <x v="4"/>
    <m/>
  </r>
  <r>
    <x v="2389"/>
    <x v="0"/>
    <x v="0"/>
    <x v="0"/>
    <x v="0"/>
    <m/>
  </r>
  <r>
    <x v="2390"/>
    <x v="0"/>
    <x v="0"/>
    <x v="0"/>
    <x v="0"/>
    <m/>
  </r>
  <r>
    <x v="2391"/>
    <x v="0"/>
    <x v="0"/>
    <x v="0"/>
    <x v="0"/>
    <m/>
  </r>
  <r>
    <x v="2392"/>
    <x v="0"/>
    <x v="0"/>
    <x v="0"/>
    <x v="0"/>
    <m/>
  </r>
  <r>
    <x v="2393"/>
    <x v="0"/>
    <x v="0"/>
    <x v="0"/>
    <x v="0"/>
    <m/>
  </r>
  <r>
    <x v="2394"/>
    <x v="0"/>
    <x v="0"/>
    <x v="0"/>
    <x v="0"/>
    <m/>
  </r>
  <r>
    <x v="2395"/>
    <x v="0"/>
    <x v="0"/>
    <x v="0"/>
    <x v="0"/>
    <m/>
  </r>
  <r>
    <x v="2396"/>
    <x v="0"/>
    <x v="0"/>
    <x v="0"/>
    <x v="0"/>
    <m/>
  </r>
  <r>
    <x v="2397"/>
    <x v="0"/>
    <x v="0"/>
    <x v="0"/>
    <x v="0"/>
    <m/>
  </r>
  <r>
    <x v="2398"/>
    <x v="1"/>
    <x v="4"/>
    <x v="5"/>
    <x v="4"/>
    <m/>
  </r>
  <r>
    <x v="2399"/>
    <x v="2"/>
    <x v="1"/>
    <x v="1"/>
    <x v="1"/>
    <m/>
  </r>
  <r>
    <x v="2400"/>
    <x v="0"/>
    <x v="0"/>
    <x v="0"/>
    <x v="0"/>
    <m/>
  </r>
  <r>
    <x v="2401"/>
    <x v="1"/>
    <x v="4"/>
    <x v="5"/>
    <x v="4"/>
    <m/>
  </r>
  <r>
    <x v="2402"/>
    <x v="1"/>
    <x v="4"/>
    <x v="5"/>
    <x v="4"/>
    <m/>
  </r>
  <r>
    <x v="2403"/>
    <x v="0"/>
    <x v="0"/>
    <x v="0"/>
    <x v="0"/>
    <m/>
  </r>
  <r>
    <x v="2404"/>
    <x v="0"/>
    <x v="0"/>
    <x v="0"/>
    <x v="0"/>
    <m/>
  </r>
  <r>
    <x v="2405"/>
    <x v="0"/>
    <x v="0"/>
    <x v="0"/>
    <x v="0"/>
    <m/>
  </r>
  <r>
    <x v="2406"/>
    <x v="4"/>
    <x v="13"/>
    <x v="12"/>
    <x v="13"/>
    <m/>
  </r>
  <r>
    <x v="2407"/>
    <x v="0"/>
    <x v="0"/>
    <x v="0"/>
    <x v="0"/>
    <m/>
  </r>
  <r>
    <x v="2408"/>
    <x v="1"/>
    <x v="6"/>
    <x v="6"/>
    <x v="6"/>
    <m/>
  </r>
  <r>
    <x v="2409"/>
    <x v="0"/>
    <x v="0"/>
    <x v="0"/>
    <x v="0"/>
    <m/>
  </r>
  <r>
    <x v="2410"/>
    <x v="0"/>
    <x v="0"/>
    <x v="0"/>
    <x v="0"/>
    <m/>
  </r>
  <r>
    <x v="2411"/>
    <x v="0"/>
    <x v="0"/>
    <x v="0"/>
    <x v="0"/>
    <m/>
  </r>
  <r>
    <x v="2412"/>
    <x v="3"/>
    <x v="1"/>
    <x v="5"/>
    <x v="1"/>
    <m/>
  </r>
  <r>
    <x v="2413"/>
    <x v="0"/>
    <x v="0"/>
    <x v="0"/>
    <x v="0"/>
    <m/>
  </r>
  <r>
    <x v="2414"/>
    <x v="0"/>
    <x v="0"/>
    <x v="0"/>
    <x v="0"/>
    <m/>
  </r>
  <r>
    <x v="2415"/>
    <x v="0"/>
    <x v="0"/>
    <x v="0"/>
    <x v="0"/>
    <m/>
  </r>
  <r>
    <x v="2416"/>
    <x v="0"/>
    <x v="0"/>
    <x v="0"/>
    <x v="0"/>
    <m/>
  </r>
  <r>
    <x v="2417"/>
    <x v="3"/>
    <x v="1"/>
    <x v="5"/>
    <x v="1"/>
    <m/>
  </r>
  <r>
    <x v="2418"/>
    <x v="0"/>
    <x v="0"/>
    <x v="0"/>
    <x v="0"/>
    <m/>
  </r>
  <r>
    <x v="2419"/>
    <x v="3"/>
    <x v="1"/>
    <x v="5"/>
    <x v="1"/>
    <m/>
  </r>
  <r>
    <x v="2420"/>
    <x v="1"/>
    <x v="1"/>
    <x v="4"/>
    <x v="1"/>
    <m/>
  </r>
  <r>
    <x v="2421"/>
    <x v="1"/>
    <x v="4"/>
    <x v="5"/>
    <x v="4"/>
    <m/>
  </r>
  <r>
    <x v="2422"/>
    <x v="1"/>
    <x v="7"/>
    <x v="5"/>
    <x v="7"/>
    <m/>
  </r>
  <r>
    <x v="2423"/>
    <x v="0"/>
    <x v="0"/>
    <x v="0"/>
    <x v="0"/>
    <m/>
  </r>
  <r>
    <x v="2424"/>
    <x v="0"/>
    <x v="0"/>
    <x v="0"/>
    <x v="0"/>
    <m/>
  </r>
  <r>
    <x v="2425"/>
    <x v="0"/>
    <x v="0"/>
    <x v="0"/>
    <x v="0"/>
    <m/>
  </r>
  <r>
    <x v="2426"/>
    <x v="1"/>
    <x v="1"/>
    <x v="1"/>
    <x v="1"/>
    <m/>
  </r>
  <r>
    <x v="2427"/>
    <x v="0"/>
    <x v="0"/>
    <x v="0"/>
    <x v="0"/>
    <m/>
  </r>
  <r>
    <x v="2428"/>
    <x v="0"/>
    <x v="0"/>
    <x v="0"/>
    <x v="0"/>
    <m/>
  </r>
  <r>
    <x v="2429"/>
    <x v="0"/>
    <x v="0"/>
    <x v="0"/>
    <x v="0"/>
    <m/>
  </r>
  <r>
    <x v="2430"/>
    <x v="0"/>
    <x v="0"/>
    <x v="0"/>
    <x v="0"/>
    <m/>
  </r>
  <r>
    <x v="2431"/>
    <x v="0"/>
    <x v="0"/>
    <x v="0"/>
    <x v="0"/>
    <m/>
  </r>
  <r>
    <x v="2432"/>
    <x v="1"/>
    <x v="4"/>
    <x v="5"/>
    <x v="4"/>
    <m/>
  </r>
  <r>
    <x v="2433"/>
    <x v="0"/>
    <x v="0"/>
    <x v="0"/>
    <x v="0"/>
    <m/>
  </r>
  <r>
    <x v="2434"/>
    <x v="0"/>
    <x v="0"/>
    <x v="0"/>
    <x v="0"/>
    <m/>
  </r>
  <r>
    <x v="2435"/>
    <x v="0"/>
    <x v="0"/>
    <x v="0"/>
    <x v="0"/>
    <m/>
  </r>
  <r>
    <x v="2436"/>
    <x v="1"/>
    <x v="2"/>
    <x v="2"/>
    <x v="2"/>
    <m/>
  </r>
  <r>
    <x v="2437"/>
    <x v="0"/>
    <x v="0"/>
    <x v="0"/>
    <x v="0"/>
    <m/>
  </r>
  <r>
    <x v="2438"/>
    <x v="0"/>
    <x v="0"/>
    <x v="0"/>
    <x v="0"/>
    <m/>
  </r>
  <r>
    <x v="2439"/>
    <x v="0"/>
    <x v="0"/>
    <x v="0"/>
    <x v="0"/>
    <m/>
  </r>
  <r>
    <x v="2440"/>
    <x v="0"/>
    <x v="0"/>
    <x v="0"/>
    <x v="0"/>
    <m/>
  </r>
  <r>
    <x v="2441"/>
    <x v="0"/>
    <x v="0"/>
    <x v="0"/>
    <x v="0"/>
    <m/>
  </r>
  <r>
    <x v="2442"/>
    <x v="0"/>
    <x v="0"/>
    <x v="0"/>
    <x v="0"/>
    <m/>
  </r>
  <r>
    <x v="2443"/>
    <x v="0"/>
    <x v="0"/>
    <x v="0"/>
    <x v="0"/>
    <m/>
  </r>
  <r>
    <x v="2444"/>
    <x v="1"/>
    <x v="1"/>
    <x v="5"/>
    <x v="1"/>
    <m/>
  </r>
  <r>
    <x v="2445"/>
    <x v="1"/>
    <x v="2"/>
    <x v="2"/>
    <x v="2"/>
    <m/>
  </r>
  <r>
    <x v="2446"/>
    <x v="1"/>
    <x v="6"/>
    <x v="6"/>
    <x v="6"/>
    <m/>
  </r>
  <r>
    <x v="2447"/>
    <x v="0"/>
    <x v="0"/>
    <x v="0"/>
    <x v="0"/>
    <m/>
  </r>
  <r>
    <x v="2448"/>
    <x v="0"/>
    <x v="0"/>
    <x v="0"/>
    <x v="0"/>
    <m/>
  </r>
  <r>
    <x v="2449"/>
    <x v="1"/>
    <x v="6"/>
    <x v="6"/>
    <x v="6"/>
    <m/>
  </r>
  <r>
    <x v="2450"/>
    <x v="0"/>
    <x v="0"/>
    <x v="0"/>
    <x v="0"/>
    <m/>
  </r>
  <r>
    <x v="2451"/>
    <x v="3"/>
    <x v="1"/>
    <x v="5"/>
    <x v="1"/>
    <m/>
  </r>
  <r>
    <x v="2452"/>
    <x v="0"/>
    <x v="0"/>
    <x v="0"/>
    <x v="0"/>
    <m/>
  </r>
  <r>
    <x v="2453"/>
    <x v="0"/>
    <x v="0"/>
    <x v="0"/>
    <x v="0"/>
    <m/>
  </r>
  <r>
    <x v="2454"/>
    <x v="3"/>
    <x v="24"/>
    <x v="22"/>
    <x v="24"/>
    <m/>
  </r>
  <r>
    <x v="2455"/>
    <x v="0"/>
    <x v="0"/>
    <x v="0"/>
    <x v="0"/>
    <m/>
  </r>
  <r>
    <x v="2456"/>
    <x v="0"/>
    <x v="0"/>
    <x v="0"/>
    <x v="0"/>
    <m/>
  </r>
  <r>
    <x v="2457"/>
    <x v="3"/>
    <x v="7"/>
    <x v="5"/>
    <x v="7"/>
    <m/>
  </r>
  <r>
    <x v="2458"/>
    <x v="0"/>
    <x v="0"/>
    <x v="0"/>
    <x v="0"/>
    <m/>
  </r>
  <r>
    <x v="2459"/>
    <x v="3"/>
    <x v="1"/>
    <x v="5"/>
    <x v="1"/>
    <m/>
  </r>
  <r>
    <x v="2460"/>
    <x v="0"/>
    <x v="0"/>
    <x v="0"/>
    <x v="0"/>
    <m/>
  </r>
  <r>
    <x v="2461"/>
    <x v="0"/>
    <x v="0"/>
    <x v="0"/>
    <x v="0"/>
    <m/>
  </r>
  <r>
    <x v="2462"/>
    <x v="0"/>
    <x v="0"/>
    <x v="0"/>
    <x v="0"/>
    <m/>
  </r>
  <r>
    <x v="2463"/>
    <x v="0"/>
    <x v="0"/>
    <x v="0"/>
    <x v="0"/>
    <m/>
  </r>
  <r>
    <x v="2464"/>
    <x v="0"/>
    <x v="0"/>
    <x v="0"/>
    <x v="0"/>
    <m/>
  </r>
  <r>
    <x v="2465"/>
    <x v="1"/>
    <x v="2"/>
    <x v="2"/>
    <x v="2"/>
    <m/>
  </r>
  <r>
    <x v="2466"/>
    <x v="11"/>
    <x v="5"/>
    <x v="1"/>
    <x v="5"/>
    <m/>
  </r>
  <r>
    <x v="2467"/>
    <x v="0"/>
    <x v="0"/>
    <x v="0"/>
    <x v="0"/>
    <m/>
  </r>
  <r>
    <x v="2468"/>
    <x v="3"/>
    <x v="1"/>
    <x v="5"/>
    <x v="1"/>
    <m/>
  </r>
  <r>
    <x v="2469"/>
    <x v="0"/>
    <x v="0"/>
    <x v="0"/>
    <x v="0"/>
    <m/>
  </r>
  <r>
    <x v="2470"/>
    <x v="0"/>
    <x v="0"/>
    <x v="0"/>
    <x v="0"/>
    <m/>
  </r>
  <r>
    <x v="2471"/>
    <x v="0"/>
    <x v="0"/>
    <x v="0"/>
    <x v="0"/>
    <m/>
  </r>
  <r>
    <x v="2472"/>
    <x v="0"/>
    <x v="0"/>
    <x v="0"/>
    <x v="0"/>
    <m/>
  </r>
  <r>
    <x v="2473"/>
    <x v="0"/>
    <x v="0"/>
    <x v="0"/>
    <x v="0"/>
    <m/>
  </r>
  <r>
    <x v="2474"/>
    <x v="1"/>
    <x v="1"/>
    <x v="1"/>
    <x v="1"/>
    <m/>
  </r>
  <r>
    <x v="2475"/>
    <x v="1"/>
    <x v="1"/>
    <x v="1"/>
    <x v="1"/>
    <m/>
  </r>
  <r>
    <x v="2476"/>
    <x v="0"/>
    <x v="0"/>
    <x v="0"/>
    <x v="0"/>
    <m/>
  </r>
  <r>
    <x v="2477"/>
    <x v="1"/>
    <x v="38"/>
    <x v="38"/>
    <x v="38"/>
    <m/>
  </r>
  <r>
    <x v="2478"/>
    <x v="0"/>
    <x v="0"/>
    <x v="0"/>
    <x v="0"/>
    <m/>
  </r>
  <r>
    <x v="2479"/>
    <x v="1"/>
    <x v="7"/>
    <x v="5"/>
    <x v="7"/>
    <m/>
  </r>
  <r>
    <x v="2480"/>
    <x v="0"/>
    <x v="0"/>
    <x v="0"/>
    <x v="0"/>
    <m/>
  </r>
  <r>
    <x v="2481"/>
    <x v="1"/>
    <x v="1"/>
    <x v="1"/>
    <x v="1"/>
    <m/>
  </r>
  <r>
    <x v="2482"/>
    <x v="0"/>
    <x v="0"/>
    <x v="0"/>
    <x v="0"/>
    <m/>
  </r>
  <r>
    <x v="2483"/>
    <x v="1"/>
    <x v="1"/>
    <x v="4"/>
    <x v="1"/>
    <m/>
  </r>
  <r>
    <x v="2484"/>
    <x v="1"/>
    <x v="1"/>
    <x v="4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A3:D798" firstHeaderRow="1" firstDataRow="1" firstDataCol="4" rowPageCount="1" colPageCount="1"/>
  <pivotFields count="6">
    <pivotField axis="axisRow" compact="0" outline="0" showAll="0" defaultSubtotal="0">
      <items count="2485">
        <item x="0"/>
        <item sd="0"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3"/>
        <item x="234"/>
        <item x="235"/>
        <item x="236"/>
        <item x="237"/>
        <item x="238"/>
        <item x="232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784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970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188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6"/>
        <item x="1457"/>
        <item x="1458"/>
        <item x="1459"/>
        <item x="1460"/>
        <item x="1461"/>
        <item x="1462"/>
        <item x="1463"/>
        <item x="1464"/>
        <item x="1455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6"/>
        <item x="1615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52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3"/>
        <item x="1894"/>
        <item x="1895"/>
        <item x="1892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6"/>
        <item x="2347"/>
        <item x="2348"/>
        <item x="2349"/>
        <item x="2350"/>
        <item x="2351"/>
        <item x="2352"/>
        <item x="2345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7"/>
        <item x="2458"/>
        <item x="2459"/>
        <item x="2456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</items>
    </pivotField>
    <pivotField axis="axisPage" compact="0" outline="0" multipleItemSelectionAllowed="1" showAll="0">
      <items count="23">
        <item h="1" x="0"/>
        <item x="1"/>
        <item x="3"/>
        <item x="2"/>
        <item x="6"/>
        <item x="11"/>
        <item x="10"/>
        <item x="5"/>
        <item x="15"/>
        <item x="4"/>
        <item x="14"/>
        <item x="20"/>
        <item x="13"/>
        <item x="7"/>
        <item x="19"/>
        <item x="18"/>
        <item x="16"/>
        <item x="9"/>
        <item x="8"/>
        <item x="17"/>
        <item x="21"/>
        <item x="12"/>
        <item t="default"/>
      </items>
    </pivotField>
    <pivotField axis="axisRow" compact="0" outline="0" showAll="0" defaultSubtotal="0">
      <items count="39">
        <item x="3"/>
        <item x="34"/>
        <item x="2"/>
        <item x="15"/>
        <item x="13"/>
        <item x="22"/>
        <item x="5"/>
        <item x="9"/>
        <item x="17"/>
        <item x="7"/>
        <item x="1"/>
        <item x="16"/>
        <item x="12"/>
        <item x="31"/>
        <item x="37"/>
        <item x="28"/>
        <item x="32"/>
        <item x="21"/>
        <item x="33"/>
        <item x="14"/>
        <item x="36"/>
        <item x="10"/>
        <item x="25"/>
        <item x="20"/>
        <item x="18"/>
        <item x="19"/>
        <item x="4"/>
        <item x="26"/>
        <item x="30"/>
        <item x="24"/>
        <item x="8"/>
        <item x="11"/>
        <item x="29"/>
        <item x="6"/>
        <item x="23"/>
        <item x="38"/>
        <item x="27"/>
        <item x="35"/>
        <item x="0"/>
      </items>
    </pivotField>
    <pivotField axis="axisRow" compact="0" outline="0" showAll="0" defaultSubtotal="0">
      <items count="39">
        <item x="3"/>
        <item x="34"/>
        <item x="2"/>
        <item x="14"/>
        <item x="12"/>
        <item x="20"/>
        <item x="33"/>
        <item x="8"/>
        <item x="1"/>
        <item x="15"/>
        <item x="11"/>
        <item x="30"/>
        <item x="37"/>
        <item x="26"/>
        <item x="31"/>
        <item x="19"/>
        <item x="32"/>
        <item x="13"/>
        <item x="36"/>
        <item x="9"/>
        <item x="23"/>
        <item x="18"/>
        <item x="16"/>
        <item x="17"/>
        <item x="27"/>
        <item x="5"/>
        <item x="24"/>
        <item x="29"/>
        <item x="22"/>
        <item x="7"/>
        <item x="10"/>
        <item x="28"/>
        <item x="6"/>
        <item x="21"/>
        <item x="38"/>
        <item x="4"/>
        <item x="25"/>
        <item x="35"/>
        <item x="0"/>
      </items>
    </pivotField>
    <pivotField axis="axisRow" compact="0" outline="0" showAll="0" defaultSubtotal="0">
      <items count="39">
        <item x="3"/>
        <item x="34"/>
        <item x="2"/>
        <item x="15"/>
        <item x="13"/>
        <item x="22"/>
        <item x="5"/>
        <item x="9"/>
        <item x="17"/>
        <item x="7"/>
        <item x="1"/>
        <item x="16"/>
        <item x="12"/>
        <item x="31"/>
        <item x="37"/>
        <item x="28"/>
        <item x="32"/>
        <item x="21"/>
        <item x="33"/>
        <item x="14"/>
        <item x="36"/>
        <item x="10"/>
        <item x="25"/>
        <item x="20"/>
        <item x="18"/>
        <item x="19"/>
        <item x="4"/>
        <item x="26"/>
        <item x="30"/>
        <item x="24"/>
        <item x="8"/>
        <item x="11"/>
        <item x="29"/>
        <item x="6"/>
        <item x="23"/>
        <item x="38"/>
        <item x="27"/>
        <item x="35"/>
        <item x="0"/>
      </items>
    </pivotField>
    <pivotField compact="0" outline="0" showAll="0"/>
  </pivotFields>
  <rowFields count="4">
    <field x="0"/>
    <field x="2"/>
    <field x="3"/>
    <field x="4"/>
  </rowFields>
  <rowItems count="795">
    <i>
      <x v="1"/>
    </i>
    <i>
      <x v="2"/>
      <x v="2"/>
      <x v="2"/>
      <x v="2"/>
    </i>
    <i>
      <x v="3"/>
      <x/>
      <x/>
      <x/>
    </i>
    <i>
      <x v="7"/>
      <x v="10"/>
      <x v="35"/>
      <x v="10"/>
    </i>
    <i>
      <x v="9"/>
      <x v="10"/>
      <x v="8"/>
      <x v="10"/>
    </i>
    <i>
      <x v="12"/>
      <x v="10"/>
      <x v="8"/>
      <x v="10"/>
    </i>
    <i>
      <x v="19"/>
      <x v="10"/>
      <x v="8"/>
      <x v="10"/>
    </i>
    <i>
      <x v="24"/>
      <x v="26"/>
      <x v="25"/>
      <x v="26"/>
    </i>
    <i>
      <x v="30"/>
      <x v="10"/>
      <x v="35"/>
      <x v="10"/>
    </i>
    <i>
      <x v="31"/>
      <x v="26"/>
      <x v="25"/>
      <x v="26"/>
    </i>
    <i>
      <x v="32"/>
      <x v="26"/>
      <x v="25"/>
      <x v="26"/>
    </i>
    <i>
      <x v="33"/>
      <x v="2"/>
      <x v="2"/>
      <x v="2"/>
    </i>
    <i>
      <x v="34"/>
      <x v="6"/>
      <x v="25"/>
      <x v="6"/>
    </i>
    <i>
      <x v="35"/>
      <x v="26"/>
      <x v="25"/>
      <x v="26"/>
    </i>
    <i>
      <x v="36"/>
      <x v="33"/>
      <x v="32"/>
      <x v="33"/>
    </i>
    <i>
      <x v="43"/>
      <x v="6"/>
      <x v="25"/>
      <x v="6"/>
    </i>
    <i>
      <x v="44"/>
      <x v="10"/>
      <x v="25"/>
      <x v="10"/>
    </i>
    <i>
      <x v="47"/>
      <x v="6"/>
      <x v="25"/>
      <x v="6"/>
    </i>
    <i>
      <x v="48"/>
      <x v="33"/>
      <x v="32"/>
      <x v="33"/>
    </i>
    <i>
      <x v="50"/>
      <x v="9"/>
      <x v="25"/>
      <x v="9"/>
    </i>
    <i>
      <x v="52"/>
      <x/>
      <x/>
      <x/>
    </i>
    <i>
      <x v="55"/>
      <x v="2"/>
      <x v="2"/>
      <x v="2"/>
    </i>
    <i>
      <x v="66"/>
      <x v="33"/>
      <x v="32"/>
      <x v="33"/>
    </i>
    <i>
      <x v="68"/>
      <x v="10"/>
      <x v="8"/>
      <x v="10"/>
    </i>
    <i>
      <x v="69"/>
      <x v="10"/>
      <x v="25"/>
      <x v="10"/>
    </i>
    <i>
      <x v="70"/>
      <x v="10"/>
      <x v="35"/>
      <x v="10"/>
    </i>
    <i>
      <x v="72"/>
      <x v="10"/>
      <x v="25"/>
      <x v="10"/>
    </i>
    <i>
      <x v="73"/>
      <x v="6"/>
      <x v="25"/>
      <x v="6"/>
    </i>
    <i>
      <x v="74"/>
      <x v="33"/>
      <x v="32"/>
      <x v="33"/>
    </i>
    <i>
      <x v="81"/>
      <x v="10"/>
      <x v="35"/>
      <x v="10"/>
    </i>
    <i>
      <x v="82"/>
      <x v="10"/>
      <x v="8"/>
      <x v="10"/>
    </i>
    <i>
      <x v="86"/>
      <x v="30"/>
      <x v="29"/>
      <x v="30"/>
    </i>
    <i>
      <x v="89"/>
      <x v="26"/>
      <x v="25"/>
      <x v="26"/>
    </i>
    <i>
      <x v="90"/>
      <x v="33"/>
      <x v="32"/>
      <x v="33"/>
    </i>
    <i>
      <x v="91"/>
      <x v="10"/>
      <x v="25"/>
      <x v="10"/>
    </i>
    <i>
      <x v="115"/>
      <x v="9"/>
      <x v="25"/>
      <x v="9"/>
    </i>
    <i>
      <x v="116"/>
      <x v="26"/>
      <x v="25"/>
      <x v="26"/>
    </i>
    <i>
      <x v="118"/>
      <x v="10"/>
      <x v="8"/>
      <x v="10"/>
    </i>
    <i>
      <x v="123"/>
      <x v="10"/>
      <x v="35"/>
      <x v="10"/>
    </i>
    <i>
      <x v="125"/>
      <x v="26"/>
      <x v="25"/>
      <x v="26"/>
    </i>
    <i>
      <x v="128"/>
      <x v="10"/>
      <x v="25"/>
      <x v="10"/>
    </i>
    <i>
      <x v="129"/>
      <x v="9"/>
      <x v="25"/>
      <x v="9"/>
    </i>
    <i>
      <x v="141"/>
      <x v="10"/>
      <x v="8"/>
      <x v="10"/>
    </i>
    <i>
      <x v="144"/>
      <x v="6"/>
      <x v="25"/>
      <x v="6"/>
    </i>
    <i>
      <x v="145"/>
      <x v="6"/>
      <x v="25"/>
      <x v="6"/>
    </i>
    <i>
      <x v="146"/>
      <x v="26"/>
      <x v="25"/>
      <x v="26"/>
    </i>
    <i>
      <x v="149"/>
      <x v="2"/>
      <x v="2"/>
      <x v="2"/>
    </i>
    <i>
      <x v="154"/>
      <x v="26"/>
      <x v="25"/>
      <x v="26"/>
    </i>
    <i>
      <x v="160"/>
      <x v="10"/>
      <x v="35"/>
      <x v="10"/>
    </i>
    <i>
      <x v="163"/>
      <x v="10"/>
      <x v="25"/>
      <x v="10"/>
    </i>
    <i>
      <x v="166"/>
      <x v="10"/>
      <x v="8"/>
      <x v="10"/>
    </i>
    <i>
      <x v="175"/>
      <x v="10"/>
      <x v="8"/>
      <x v="10"/>
    </i>
    <i>
      <x v="176"/>
      <x/>
      <x/>
      <x/>
    </i>
    <i>
      <x v="177"/>
      <x v="10"/>
      <x v="25"/>
      <x v="10"/>
    </i>
    <i>
      <x v="178"/>
      <x v="9"/>
      <x v="25"/>
      <x v="9"/>
    </i>
    <i>
      <x v="182"/>
      <x v="26"/>
      <x v="25"/>
      <x v="26"/>
    </i>
    <i>
      <x v="186"/>
      <x v="10"/>
      <x v="25"/>
      <x v="10"/>
    </i>
    <i>
      <x v="188"/>
      <x v="10"/>
      <x v="25"/>
      <x v="10"/>
    </i>
    <i>
      <x v="189"/>
      <x v="2"/>
      <x v="2"/>
      <x v="2"/>
    </i>
    <i>
      <x v="193"/>
      <x v="26"/>
      <x v="25"/>
      <x v="26"/>
    </i>
    <i>
      <x v="195"/>
      <x v="33"/>
      <x v="32"/>
      <x v="33"/>
    </i>
    <i>
      <x v="198"/>
      <x v="10"/>
      <x v="25"/>
      <x v="10"/>
    </i>
    <i>
      <x v="201"/>
      <x v="26"/>
      <x v="25"/>
      <x v="26"/>
    </i>
    <i>
      <x v="202"/>
      <x v="26"/>
      <x v="25"/>
      <x v="26"/>
    </i>
    <i>
      <x v="206"/>
      <x v="10"/>
      <x v="25"/>
      <x v="10"/>
    </i>
    <i>
      <x v="207"/>
      <x v="10"/>
      <x v="25"/>
      <x v="10"/>
    </i>
    <i>
      <x v="211"/>
      <x v="10"/>
      <x v="35"/>
      <x v="10"/>
    </i>
    <i>
      <x v="215"/>
      <x v="26"/>
      <x v="25"/>
      <x v="26"/>
    </i>
    <i>
      <x v="216"/>
      <x v="26"/>
      <x v="25"/>
      <x v="26"/>
    </i>
    <i>
      <x v="217"/>
      <x v="7"/>
      <x v="7"/>
      <x v="7"/>
    </i>
    <i>
      <x v="221"/>
      <x v="10"/>
      <x v="25"/>
      <x v="10"/>
    </i>
    <i>
      <x v="231"/>
      <x v="10"/>
      <x v="25"/>
      <x v="10"/>
    </i>
    <i>
      <x v="232"/>
      <x v="10"/>
      <x v="25"/>
      <x v="10"/>
    </i>
    <i>
      <x v="235"/>
      <x v="10"/>
      <x v="35"/>
      <x v="10"/>
    </i>
    <i>
      <x v="236"/>
      <x v="10"/>
      <x v="8"/>
      <x v="10"/>
    </i>
    <i>
      <x v="237"/>
      <x v="10"/>
      <x v="25"/>
      <x v="10"/>
    </i>
    <i>
      <x v="238"/>
      <x v="10"/>
      <x v="35"/>
      <x v="10"/>
    </i>
    <i>
      <x v="239"/>
      <x v="10"/>
      <x v="25"/>
      <x v="10"/>
    </i>
    <i>
      <x v="240"/>
      <x v="33"/>
      <x v="32"/>
      <x v="33"/>
    </i>
    <i>
      <x v="247"/>
      <x v="33"/>
      <x v="32"/>
      <x v="33"/>
    </i>
    <i>
      <x v="248"/>
      <x v="10"/>
      <x v="35"/>
      <x v="10"/>
    </i>
    <i>
      <x v="251"/>
      <x v="10"/>
      <x v="35"/>
      <x v="10"/>
    </i>
    <i>
      <x v="255"/>
      <x v="33"/>
      <x v="32"/>
      <x v="33"/>
    </i>
    <i>
      <x v="256"/>
      <x v="10"/>
      <x v="25"/>
      <x v="10"/>
    </i>
    <i>
      <x v="259"/>
      <x v="9"/>
      <x v="25"/>
      <x v="9"/>
    </i>
    <i>
      <x v="264"/>
      <x v="9"/>
      <x v="25"/>
      <x v="9"/>
    </i>
    <i>
      <x v="270"/>
      <x v="10"/>
      <x v="25"/>
      <x v="10"/>
    </i>
    <i>
      <x v="273"/>
      <x v="10"/>
      <x v="8"/>
      <x v="10"/>
    </i>
    <i>
      <x v="275"/>
      <x v="10"/>
      <x v="35"/>
      <x v="10"/>
    </i>
    <i>
      <x v="276"/>
      <x v="10"/>
      <x v="25"/>
      <x v="10"/>
    </i>
    <i>
      <x v="277"/>
      <x v="21"/>
      <x v="19"/>
      <x v="21"/>
    </i>
    <i>
      <x v="278"/>
      <x v="31"/>
      <x v="30"/>
      <x v="31"/>
    </i>
    <i>
      <x v="292"/>
      <x v="12"/>
      <x v="10"/>
      <x v="12"/>
    </i>
    <i>
      <x v="293"/>
      <x v="10"/>
      <x v="25"/>
      <x v="10"/>
    </i>
    <i>
      <x v="299"/>
      <x v="10"/>
      <x v="25"/>
      <x v="10"/>
    </i>
    <i>
      <x v="305"/>
      <x v="6"/>
      <x v="25"/>
      <x v="6"/>
    </i>
    <i>
      <x v="308"/>
      <x v="10"/>
      <x v="25"/>
      <x v="10"/>
    </i>
    <i>
      <x v="309"/>
      <x v="9"/>
      <x v="25"/>
      <x v="9"/>
    </i>
    <i>
      <x v="311"/>
      <x v="10"/>
      <x v="25"/>
      <x v="10"/>
    </i>
    <i>
      <x v="314"/>
      <x v="10"/>
      <x v="25"/>
      <x v="10"/>
    </i>
    <i>
      <x v="322"/>
      <x v="10"/>
      <x v="35"/>
      <x v="10"/>
    </i>
    <i>
      <x v="326"/>
      <x v="2"/>
      <x v="2"/>
      <x v="2"/>
    </i>
    <i>
      <x v="335"/>
      <x v="10"/>
      <x v="35"/>
      <x v="10"/>
    </i>
    <i>
      <x v="338"/>
      <x v="10"/>
      <x v="35"/>
      <x v="10"/>
    </i>
    <i>
      <x v="339"/>
      <x v="10"/>
      <x v="25"/>
      <x v="10"/>
    </i>
    <i>
      <x v="340"/>
      <x v="10"/>
      <x v="25"/>
      <x v="10"/>
    </i>
    <i>
      <x v="350"/>
      <x v="6"/>
      <x v="25"/>
      <x v="6"/>
    </i>
    <i>
      <x v="351"/>
      <x v="6"/>
      <x v="25"/>
      <x v="6"/>
    </i>
    <i>
      <x v="360"/>
      <x v="26"/>
      <x v="25"/>
      <x v="26"/>
    </i>
    <i>
      <x v="362"/>
      <x v="4"/>
      <x v="4"/>
      <x v="4"/>
    </i>
    <i>
      <x v="363"/>
      <x v="19"/>
      <x v="17"/>
      <x v="19"/>
    </i>
    <i>
      <x v="364"/>
      <x v="3"/>
      <x v="3"/>
      <x v="3"/>
    </i>
    <i>
      <x v="365"/>
      <x v="11"/>
      <x v="9"/>
      <x v="11"/>
    </i>
    <i>
      <x v="369"/>
      <x v="26"/>
      <x v="25"/>
      <x v="26"/>
    </i>
    <i>
      <x v="374"/>
      <x v="2"/>
      <x v="2"/>
      <x v="2"/>
    </i>
    <i>
      <x v="378"/>
      <x v="10"/>
      <x v="25"/>
      <x v="10"/>
    </i>
    <i>
      <x v="381"/>
      <x v="2"/>
      <x v="2"/>
      <x v="2"/>
    </i>
    <i>
      <x v="382"/>
      <x v="6"/>
      <x v="25"/>
      <x v="6"/>
    </i>
    <i>
      <x v="383"/>
      <x v="10"/>
      <x v="25"/>
      <x v="10"/>
    </i>
    <i>
      <x v="385"/>
      <x v="9"/>
      <x v="25"/>
      <x v="9"/>
    </i>
    <i>
      <x v="387"/>
      <x v="10"/>
      <x v="8"/>
      <x v="10"/>
    </i>
    <i>
      <x v="388"/>
      <x v="8"/>
      <x v="25"/>
      <x v="10"/>
    </i>
    <i>
      <x v="389"/>
      <x v="10"/>
      <x v="25"/>
      <x v="10"/>
    </i>
    <i>
      <x v="390"/>
      <x v="8"/>
      <x v="25"/>
      <x v="10"/>
    </i>
    <i>
      <x v="391"/>
      <x v="6"/>
      <x v="8"/>
      <x v="6"/>
    </i>
    <i>
      <x v="394"/>
      <x v="10"/>
      <x v="25"/>
      <x v="10"/>
    </i>
    <i>
      <x v="399"/>
      <x v="33"/>
      <x v="32"/>
      <x v="33"/>
    </i>
    <i>
      <x v="410"/>
      <x v="9"/>
      <x v="25"/>
      <x v="9"/>
    </i>
    <i>
      <x v="413"/>
      <x v="9"/>
      <x v="25"/>
      <x v="9"/>
    </i>
    <i>
      <x v="414"/>
      <x v="10"/>
      <x v="35"/>
      <x v="10"/>
    </i>
    <i>
      <x v="419"/>
      <x v="10"/>
      <x v="25"/>
      <x v="10"/>
    </i>
    <i>
      <x v="423"/>
      <x v="10"/>
      <x v="8"/>
      <x v="10"/>
    </i>
    <i>
      <x v="430"/>
      <x v="10"/>
      <x v="25"/>
      <x v="10"/>
    </i>
    <i>
      <x v="433"/>
      <x v="10"/>
      <x v="25"/>
      <x v="10"/>
    </i>
    <i>
      <x v="435"/>
      <x v="10"/>
      <x v="25"/>
      <x v="10"/>
    </i>
    <i>
      <x v="436"/>
      <x v="9"/>
      <x v="25"/>
      <x v="9"/>
    </i>
    <i>
      <x v="437"/>
      <x v="10"/>
      <x v="25"/>
      <x v="10"/>
    </i>
    <i>
      <x v="439"/>
      <x v="10"/>
      <x v="35"/>
      <x v="10"/>
    </i>
    <i>
      <x v="442"/>
      <x v="8"/>
      <x v="8"/>
      <x v="8"/>
    </i>
    <i>
      <x v="443"/>
      <x v="9"/>
      <x v="8"/>
      <x v="10"/>
    </i>
    <i>
      <x v="444"/>
      <x v="26"/>
      <x v="25"/>
      <x v="26"/>
    </i>
    <i>
      <x v="446"/>
      <x v="6"/>
      <x v="25"/>
      <x v="6"/>
    </i>
    <i>
      <x v="448"/>
      <x/>
      <x/>
      <x/>
    </i>
    <i>
      <x v="451"/>
      <x v="26"/>
      <x v="25"/>
      <x v="26"/>
    </i>
    <i>
      <x v="452"/>
      <x v="10"/>
      <x v="35"/>
      <x v="10"/>
    </i>
    <i>
      <x v="453"/>
      <x v="24"/>
      <x v="22"/>
      <x v="24"/>
    </i>
    <i>
      <x v="454"/>
      <x v="25"/>
      <x v="23"/>
      <x v="25"/>
    </i>
    <i>
      <x v="459"/>
      <x v="2"/>
      <x v="2"/>
      <x v="2"/>
    </i>
    <i>
      <x v="460"/>
      <x v="10"/>
      <x v="35"/>
      <x v="10"/>
    </i>
    <i>
      <x v="461"/>
      <x v="6"/>
      <x v="25"/>
      <x v="6"/>
    </i>
    <i>
      <x v="466"/>
      <x v="10"/>
      <x v="25"/>
      <x v="10"/>
    </i>
    <i>
      <x v="467"/>
      <x v="10"/>
      <x v="25"/>
      <x v="10"/>
    </i>
    <i>
      <x v="468"/>
      <x v="10"/>
      <x v="8"/>
      <x v="10"/>
    </i>
    <i>
      <x v="471"/>
      <x v="10"/>
      <x v="35"/>
      <x v="10"/>
    </i>
    <i>
      <x v="472"/>
      <x v="10"/>
      <x v="35"/>
      <x v="10"/>
    </i>
    <i>
      <x v="474"/>
      <x v="10"/>
      <x v="25"/>
      <x v="10"/>
    </i>
    <i>
      <x v="478"/>
      <x v="10"/>
      <x v="35"/>
      <x v="10"/>
    </i>
    <i>
      <x v="482"/>
      <x v="23"/>
      <x v="21"/>
      <x v="23"/>
    </i>
    <i>
      <x v="483"/>
      <x v="26"/>
      <x v="25"/>
      <x v="26"/>
    </i>
    <i>
      <x v="487"/>
      <x v="2"/>
      <x v="2"/>
      <x v="2"/>
    </i>
    <i>
      <x v="489"/>
      <x v="10"/>
      <x v="25"/>
      <x v="10"/>
    </i>
    <i>
      <x v="490"/>
      <x v="17"/>
      <x v="15"/>
      <x v="17"/>
    </i>
    <i>
      <x v="491"/>
      <x v="9"/>
      <x v="25"/>
      <x v="9"/>
    </i>
    <i>
      <x v="492"/>
      <x v="10"/>
      <x v="25"/>
      <x v="10"/>
    </i>
    <i>
      <x v="493"/>
      <x v="26"/>
      <x v="25"/>
      <x v="26"/>
    </i>
    <i>
      <x v="499"/>
      <x v="6"/>
      <x v="25"/>
      <x v="6"/>
    </i>
    <i>
      <x v="500"/>
      <x v="10"/>
      <x v="35"/>
      <x v="10"/>
    </i>
    <i>
      <x v="508"/>
      <x v="5"/>
      <x v="5"/>
      <x v="5"/>
    </i>
    <i>
      <x v="509"/>
      <x/>
      <x/>
      <x/>
    </i>
    <i>
      <x v="511"/>
      <x v="26"/>
      <x v="25"/>
      <x v="26"/>
    </i>
    <i>
      <x v="513"/>
      <x v="26"/>
      <x v="25"/>
      <x v="26"/>
    </i>
    <i>
      <x v="514"/>
      <x v="2"/>
      <x v="2"/>
      <x v="2"/>
    </i>
    <i>
      <x v="516"/>
      <x v="11"/>
      <x v="9"/>
      <x v="11"/>
    </i>
    <i>
      <x v="517"/>
      <x v="2"/>
      <x v="2"/>
      <x v="2"/>
    </i>
    <i>
      <x v="521"/>
      <x v="6"/>
      <x v="25"/>
      <x v="6"/>
    </i>
    <i>
      <x v="522"/>
      <x v="10"/>
      <x v="25"/>
      <x v="10"/>
    </i>
    <i>
      <x v="525"/>
      <x v="6"/>
      <x v="25"/>
      <x v="6"/>
    </i>
    <i>
      <x v="528"/>
      <x v="10"/>
      <x v="35"/>
      <x v="10"/>
    </i>
    <i>
      <x v="530"/>
      <x v="33"/>
      <x v="32"/>
      <x v="33"/>
    </i>
    <i>
      <x v="534"/>
      <x v="33"/>
      <x v="32"/>
      <x v="33"/>
    </i>
    <i>
      <x v="535"/>
      <x v="34"/>
      <x v="33"/>
      <x v="34"/>
    </i>
    <i>
      <x v="539"/>
      <x v="26"/>
      <x v="25"/>
      <x v="26"/>
    </i>
    <i>
      <x v="542"/>
      <x/>
      <x/>
      <x/>
    </i>
    <i>
      <x v="545"/>
      <x v="26"/>
      <x v="25"/>
      <x v="26"/>
    </i>
    <i>
      <x v="549"/>
      <x v="9"/>
      <x v="25"/>
      <x v="9"/>
    </i>
    <i>
      <x v="551"/>
      <x v="10"/>
      <x v="8"/>
      <x v="10"/>
    </i>
    <i>
      <x v="556"/>
      <x v="25"/>
      <x v="23"/>
      <x v="25"/>
    </i>
    <i>
      <x v="557"/>
      <x v="29"/>
      <x v="28"/>
      <x v="29"/>
    </i>
    <i>
      <x v="562"/>
      <x v="10"/>
      <x v="25"/>
      <x v="10"/>
    </i>
    <i>
      <x v="563"/>
      <x v="10"/>
      <x v="25"/>
      <x v="10"/>
    </i>
    <i>
      <x v="565"/>
      <x v="10"/>
      <x v="25"/>
      <x v="10"/>
    </i>
    <i>
      <x v="572"/>
      <x v="10"/>
      <x v="25"/>
      <x v="10"/>
    </i>
    <i>
      <x v="575"/>
      <x v="10"/>
      <x v="8"/>
      <x v="10"/>
    </i>
    <i>
      <x v="580"/>
      <x v="10"/>
      <x v="25"/>
      <x v="10"/>
    </i>
    <i>
      <x v="581"/>
      <x/>
      <x/>
      <x/>
    </i>
    <i>
      <x v="582"/>
      <x v="10"/>
      <x v="25"/>
      <x v="10"/>
    </i>
    <i>
      <x v="583"/>
      <x v="10"/>
      <x v="25"/>
      <x v="10"/>
    </i>
    <i>
      <x v="584"/>
      <x v="10"/>
      <x v="25"/>
      <x v="10"/>
    </i>
    <i>
      <x v="588"/>
      <x v="33"/>
      <x v="32"/>
      <x v="33"/>
    </i>
    <i>
      <x v="601"/>
      <x v="6"/>
      <x v="25"/>
      <x v="6"/>
    </i>
    <i>
      <x v="605"/>
      <x/>
      <x/>
      <x/>
    </i>
    <i>
      <x v="607"/>
      <x v="26"/>
      <x v="25"/>
      <x v="26"/>
    </i>
    <i>
      <x v="610"/>
      <x v="10"/>
      <x v="25"/>
      <x v="10"/>
    </i>
    <i>
      <x v="612"/>
      <x v="10"/>
      <x v="25"/>
      <x v="10"/>
    </i>
    <i>
      <x v="613"/>
      <x v="10"/>
      <x v="35"/>
      <x v="10"/>
    </i>
    <i>
      <x v="618"/>
      <x v="10"/>
      <x v="25"/>
      <x v="10"/>
    </i>
    <i>
      <x v="630"/>
      <x/>
      <x/>
      <x/>
    </i>
    <i>
      <x v="632"/>
      <x v="10"/>
      <x v="35"/>
      <x v="10"/>
    </i>
    <i>
      <x v="633"/>
      <x v="10"/>
      <x v="35"/>
      <x v="10"/>
    </i>
    <i>
      <x v="637"/>
      <x v="22"/>
      <x v="20"/>
      <x v="22"/>
    </i>
    <i>
      <x v="641"/>
      <x v="10"/>
      <x v="8"/>
      <x v="10"/>
    </i>
    <i>
      <x v="643"/>
      <x v="10"/>
      <x v="8"/>
      <x v="10"/>
    </i>
    <i>
      <x v="647"/>
      <x v="26"/>
      <x v="25"/>
      <x v="26"/>
    </i>
    <i>
      <x v="648"/>
      <x v="10"/>
      <x v="35"/>
      <x v="10"/>
    </i>
    <i>
      <x v="653"/>
      <x v="26"/>
      <x v="25"/>
      <x v="26"/>
    </i>
    <i>
      <x v="657"/>
      <x v="10"/>
      <x v="25"/>
      <x v="10"/>
    </i>
    <i>
      <x v="659"/>
      <x v="10"/>
      <x v="25"/>
      <x v="10"/>
    </i>
    <i>
      <x v="660"/>
      <x v="10"/>
      <x v="8"/>
      <x v="10"/>
    </i>
    <i>
      <x v="667"/>
      <x v="6"/>
      <x v="25"/>
      <x v="6"/>
    </i>
    <i>
      <x v="674"/>
      <x v="26"/>
      <x v="25"/>
      <x v="26"/>
    </i>
    <i>
      <x v="675"/>
      <x v="6"/>
      <x v="25"/>
      <x v="6"/>
    </i>
    <i>
      <x v="677"/>
      <x v="10"/>
      <x v="25"/>
      <x v="10"/>
    </i>
    <i>
      <x v="679"/>
      <x v="26"/>
      <x v="25"/>
      <x v="26"/>
    </i>
    <i>
      <x v="689"/>
      <x v="6"/>
      <x v="25"/>
      <x v="6"/>
    </i>
    <i>
      <x v="704"/>
      <x v="3"/>
      <x v="3"/>
      <x v="3"/>
    </i>
    <i>
      <x v="705"/>
      <x/>
      <x/>
      <x/>
    </i>
    <i>
      <x v="707"/>
      <x/>
      <x/>
      <x/>
    </i>
    <i>
      <x v="713"/>
      <x v="4"/>
      <x v="4"/>
      <x v="4"/>
    </i>
    <i>
      <x v="715"/>
      <x v="3"/>
      <x v="3"/>
      <x v="3"/>
    </i>
    <i>
      <x v="717"/>
      <x v="10"/>
      <x v="35"/>
      <x v="10"/>
    </i>
    <i>
      <x v="720"/>
      <x v="10"/>
      <x v="25"/>
      <x v="10"/>
    </i>
    <i>
      <x v="721"/>
      <x v="10"/>
      <x v="35"/>
      <x v="10"/>
    </i>
    <i>
      <x v="722"/>
      <x v="10"/>
      <x v="8"/>
      <x v="10"/>
    </i>
    <i>
      <x v="723"/>
      <x/>
      <x/>
      <x/>
    </i>
    <i>
      <x v="724"/>
      <x/>
      <x/>
      <x/>
    </i>
    <i>
      <x v="725"/>
      <x v="27"/>
      <x v="26"/>
      <x v="27"/>
    </i>
    <i>
      <x v="726"/>
      <x v="2"/>
      <x v="2"/>
      <x v="2"/>
    </i>
    <i>
      <x v="727"/>
      <x v="10"/>
      <x v="35"/>
      <x v="10"/>
    </i>
    <i>
      <x v="728"/>
      <x v="36"/>
      <x v="36"/>
      <x v="36"/>
    </i>
    <i>
      <x v="729"/>
      <x v="27"/>
      <x v="26"/>
      <x v="27"/>
    </i>
    <i>
      <x v="730"/>
      <x v="15"/>
      <x v="13"/>
      <x v="15"/>
    </i>
    <i>
      <x v="731"/>
      <x v="33"/>
      <x v="32"/>
      <x v="33"/>
    </i>
    <i>
      <x v="737"/>
      <x v="10"/>
      <x v="25"/>
      <x v="10"/>
    </i>
    <i>
      <x v="750"/>
      <x v="26"/>
      <x v="25"/>
      <x v="26"/>
    </i>
    <i>
      <x v="751"/>
      <x v="33"/>
      <x v="32"/>
      <x v="33"/>
    </i>
    <i>
      <x v="752"/>
      <x v="33"/>
      <x v="32"/>
      <x v="33"/>
    </i>
    <i>
      <x v="760"/>
      <x v="10"/>
      <x v="8"/>
      <x v="10"/>
    </i>
    <i>
      <x v="762"/>
      <x v="33"/>
      <x v="32"/>
      <x v="33"/>
    </i>
    <i>
      <x v="764"/>
      <x/>
      <x/>
      <x/>
    </i>
    <i>
      <x v="768"/>
      <x v="10"/>
      <x v="8"/>
      <x v="10"/>
    </i>
    <i>
      <x v="775"/>
      <x v="26"/>
      <x v="25"/>
      <x v="26"/>
    </i>
    <i>
      <x v="776"/>
      <x v="9"/>
      <x v="25"/>
      <x v="9"/>
    </i>
    <i>
      <x v="782"/>
      <x v="10"/>
      <x v="8"/>
      <x v="10"/>
    </i>
    <i>
      <x v="783"/>
      <x v="33"/>
      <x v="32"/>
      <x v="33"/>
    </i>
    <i>
      <x v="784"/>
      <x v="26"/>
      <x v="25"/>
      <x v="26"/>
    </i>
    <i>
      <x v="787"/>
      <x v="26"/>
      <x v="25"/>
      <x v="26"/>
    </i>
    <i>
      <x v="790"/>
      <x v="6"/>
      <x v="25"/>
      <x v="6"/>
    </i>
    <i>
      <x v="794"/>
      <x v="6"/>
      <x v="25"/>
      <x v="6"/>
    </i>
    <i>
      <x v="798"/>
      <x v="10"/>
      <x v="25"/>
      <x v="10"/>
    </i>
    <i>
      <x v="800"/>
      <x v="10"/>
      <x v="25"/>
      <x v="10"/>
    </i>
    <i>
      <x v="805"/>
      <x v="26"/>
      <x v="25"/>
      <x v="26"/>
    </i>
    <i>
      <x v="807"/>
      <x v="10"/>
      <x v="35"/>
      <x v="10"/>
    </i>
    <i>
      <x v="809"/>
      <x v="10"/>
      <x v="8"/>
      <x v="10"/>
    </i>
    <i>
      <x v="814"/>
      <x v="6"/>
      <x v="25"/>
      <x v="6"/>
    </i>
    <i>
      <x v="816"/>
      <x v="10"/>
      <x v="25"/>
      <x v="10"/>
    </i>
    <i>
      <x v="817"/>
      <x v="10"/>
      <x v="25"/>
      <x v="10"/>
    </i>
    <i>
      <x v="818"/>
      <x v="10"/>
      <x v="35"/>
      <x v="10"/>
    </i>
    <i>
      <x v="819"/>
      <x v="33"/>
      <x v="32"/>
      <x v="33"/>
    </i>
    <i>
      <x v="820"/>
      <x v="10"/>
      <x v="8"/>
      <x v="10"/>
    </i>
    <i>
      <x v="823"/>
      <x/>
      <x/>
      <x/>
    </i>
    <i>
      <x v="828"/>
      <x v="26"/>
      <x v="25"/>
      <x v="26"/>
    </i>
    <i>
      <x v="829"/>
      <x v="10"/>
      <x v="25"/>
      <x v="10"/>
    </i>
    <i>
      <x v="835"/>
      <x v="9"/>
      <x v="25"/>
      <x v="9"/>
    </i>
    <i>
      <x v="836"/>
      <x v="10"/>
      <x v="25"/>
      <x v="10"/>
    </i>
    <i>
      <x v="841"/>
      <x v="10"/>
      <x v="35"/>
      <x v="10"/>
    </i>
    <i>
      <x v="846"/>
      <x v="10"/>
      <x v="25"/>
      <x v="10"/>
    </i>
    <i>
      <x v="852"/>
      <x v="10"/>
      <x v="25"/>
      <x v="10"/>
    </i>
    <i>
      <x v="862"/>
      <x v="10"/>
      <x v="8"/>
      <x v="10"/>
    </i>
    <i>
      <x v="865"/>
      <x v="9"/>
      <x v="24"/>
      <x v="9"/>
    </i>
    <i>
      <x v="866"/>
      <x v="26"/>
      <x v="25"/>
      <x v="26"/>
    </i>
    <i>
      <x v="872"/>
      <x v="10"/>
      <x v="8"/>
      <x v="10"/>
    </i>
    <i>
      <x v="876"/>
      <x v="10"/>
      <x v="8"/>
      <x v="10"/>
    </i>
    <i>
      <x v="886"/>
      <x v="10"/>
      <x v="8"/>
      <x v="10"/>
    </i>
    <i>
      <x v="889"/>
      <x v="26"/>
      <x v="25"/>
      <x v="26"/>
    </i>
    <i>
      <x v="896"/>
      <x v="10"/>
      <x v="8"/>
      <x v="10"/>
    </i>
    <i>
      <x v="900"/>
      <x v="6"/>
      <x v="25"/>
      <x v="6"/>
    </i>
    <i>
      <x v="901"/>
      <x v="10"/>
      <x v="25"/>
      <x v="10"/>
    </i>
    <i>
      <x v="904"/>
      <x v="10"/>
      <x v="25"/>
      <x v="10"/>
    </i>
    <i>
      <x v="909"/>
      <x v="10"/>
      <x v="25"/>
      <x v="10"/>
    </i>
    <i>
      <x v="910"/>
      <x v="10"/>
      <x v="25"/>
      <x v="10"/>
    </i>
    <i>
      <x v="914"/>
      <x v="6"/>
      <x v="25"/>
      <x v="6"/>
    </i>
    <i>
      <x v="915"/>
      <x v="10"/>
      <x v="8"/>
      <x v="10"/>
    </i>
    <i>
      <x v="916"/>
      <x/>
      <x/>
      <x/>
    </i>
    <i>
      <x v="918"/>
      <x v="10"/>
      <x v="25"/>
      <x v="10"/>
    </i>
    <i>
      <x v="921"/>
      <x v="33"/>
      <x v="32"/>
      <x v="33"/>
    </i>
    <i>
      <x v="923"/>
      <x/>
      <x/>
      <x/>
    </i>
    <i>
      <x v="927"/>
      <x v="10"/>
      <x v="35"/>
      <x v="10"/>
    </i>
    <i>
      <x v="928"/>
      <x v="32"/>
      <x v="31"/>
      <x v="32"/>
    </i>
    <i>
      <x v="929"/>
      <x v="10"/>
      <x v="8"/>
      <x v="10"/>
    </i>
    <i>
      <x v="931"/>
      <x v="26"/>
      <x v="25"/>
      <x v="26"/>
    </i>
    <i>
      <x v="937"/>
      <x v="10"/>
      <x v="8"/>
      <x v="10"/>
    </i>
    <i>
      <x v="938"/>
      <x v="9"/>
      <x v="25"/>
      <x v="9"/>
    </i>
    <i>
      <x v="939"/>
      <x v="10"/>
      <x v="8"/>
      <x v="10"/>
    </i>
    <i>
      <x v="943"/>
      <x v="26"/>
      <x v="25"/>
      <x v="26"/>
    </i>
    <i>
      <x v="944"/>
      <x v="26"/>
      <x v="25"/>
      <x v="26"/>
    </i>
    <i>
      <x v="945"/>
      <x v="10"/>
      <x v="8"/>
      <x v="10"/>
    </i>
    <i>
      <x v="950"/>
      <x v="10"/>
      <x v="8"/>
      <x v="10"/>
    </i>
    <i>
      <x v="953"/>
      <x v="2"/>
      <x v="2"/>
      <x v="2"/>
    </i>
    <i>
      <x v="961"/>
      <x v="10"/>
      <x v="25"/>
      <x v="10"/>
    </i>
    <i>
      <x v="975"/>
      <x v="10"/>
      <x v="35"/>
      <x v="10"/>
    </i>
    <i>
      <x v="985"/>
      <x v="27"/>
      <x v="26"/>
      <x v="27"/>
    </i>
    <i>
      <x v="986"/>
      <x/>
      <x/>
      <x/>
    </i>
    <i>
      <x v="992"/>
      <x v="10"/>
      <x v="25"/>
      <x v="10"/>
    </i>
    <i>
      <x v="993"/>
      <x v="26"/>
      <x v="25"/>
      <x v="26"/>
    </i>
    <i>
      <x v="995"/>
      <x v="10"/>
      <x v="25"/>
      <x v="10"/>
    </i>
    <i>
      <x v="1020"/>
      <x v="10"/>
      <x v="25"/>
      <x v="10"/>
    </i>
    <i>
      <x v="1023"/>
      <x v="26"/>
      <x v="25"/>
      <x v="26"/>
    </i>
    <i>
      <x v="1033"/>
      <x v="26"/>
      <x v="25"/>
      <x v="26"/>
    </i>
    <i>
      <x v="1037"/>
      <x v="6"/>
      <x v="25"/>
      <x v="6"/>
    </i>
    <i>
      <x v="1040"/>
      <x v="10"/>
      <x v="35"/>
      <x v="10"/>
    </i>
    <i>
      <x v="1041"/>
      <x v="10"/>
      <x v="25"/>
      <x v="10"/>
    </i>
    <i>
      <x v="1047"/>
      <x v="10"/>
      <x v="35"/>
      <x v="10"/>
    </i>
    <i>
      <x v="1049"/>
      <x v="9"/>
      <x v="25"/>
      <x v="9"/>
    </i>
    <i>
      <x v="1050"/>
      <x v="6"/>
      <x v="25"/>
      <x v="6"/>
    </i>
    <i>
      <x v="1052"/>
      <x v="2"/>
      <x v="2"/>
      <x v="2"/>
    </i>
    <i>
      <x v="1054"/>
      <x v="33"/>
      <x v="32"/>
      <x v="33"/>
    </i>
    <i>
      <x v="1057"/>
      <x v="10"/>
      <x v="35"/>
      <x v="10"/>
    </i>
    <i>
      <x v="1060"/>
      <x v="2"/>
      <x v="2"/>
      <x v="2"/>
    </i>
    <i>
      <x v="1062"/>
      <x v="2"/>
      <x v="2"/>
      <x v="2"/>
    </i>
    <i>
      <x v="1063"/>
      <x v="28"/>
      <x v="27"/>
      <x v="28"/>
    </i>
    <i>
      <x v="1064"/>
      <x v="28"/>
      <x v="27"/>
      <x v="28"/>
    </i>
    <i>
      <x v="1067"/>
      <x v="33"/>
      <x v="32"/>
      <x v="33"/>
    </i>
    <i>
      <x v="1070"/>
      <x v="26"/>
      <x v="25"/>
      <x v="26"/>
    </i>
    <i>
      <x v="1071"/>
      <x v="26"/>
      <x v="25"/>
      <x v="26"/>
    </i>
    <i>
      <x v="1073"/>
      <x v="31"/>
      <x v="30"/>
      <x v="31"/>
    </i>
    <i>
      <x v="1077"/>
      <x v="27"/>
      <x v="26"/>
      <x v="27"/>
    </i>
    <i>
      <x v="1078"/>
      <x v="3"/>
      <x v="3"/>
      <x v="3"/>
    </i>
    <i>
      <x v="1080"/>
      <x v="13"/>
      <x v="11"/>
      <x v="13"/>
    </i>
    <i>
      <x v="1081"/>
      <x v="15"/>
      <x v="13"/>
      <x v="15"/>
    </i>
    <i>
      <x v="1082"/>
      <x v="23"/>
      <x v="21"/>
      <x v="23"/>
    </i>
    <i>
      <x v="1083"/>
      <x v="25"/>
      <x v="23"/>
      <x v="25"/>
    </i>
    <i>
      <x v="1084"/>
      <x/>
      <x/>
      <x/>
    </i>
    <i>
      <x v="1085"/>
      <x v="2"/>
      <x v="2"/>
      <x v="2"/>
    </i>
    <i>
      <x v="1086"/>
      <x v="5"/>
      <x v="5"/>
      <x v="5"/>
    </i>
    <i>
      <x v="1088"/>
      <x v="2"/>
      <x v="2"/>
      <x v="2"/>
    </i>
    <i>
      <x v="1089"/>
      <x v="26"/>
      <x v="25"/>
      <x v="26"/>
    </i>
    <i>
      <x v="1090"/>
      <x v="26"/>
      <x v="25"/>
      <x v="26"/>
    </i>
    <i>
      <x v="1093"/>
      <x v="10"/>
      <x v="25"/>
      <x v="10"/>
    </i>
    <i>
      <x v="1103"/>
      <x v="10"/>
      <x v="35"/>
      <x v="10"/>
    </i>
    <i>
      <x v="1105"/>
      <x v="26"/>
      <x v="25"/>
      <x v="26"/>
    </i>
    <i>
      <x v="1106"/>
      <x v="33"/>
      <x v="32"/>
      <x v="33"/>
    </i>
    <i>
      <x v="1108"/>
      <x v="33"/>
      <x v="32"/>
      <x v="33"/>
    </i>
    <i>
      <x v="1109"/>
      <x v="33"/>
      <x v="32"/>
      <x v="33"/>
    </i>
    <i>
      <x v="1110"/>
      <x v="6"/>
      <x v="25"/>
      <x v="6"/>
    </i>
    <i>
      <x v="1111"/>
      <x v="26"/>
      <x v="25"/>
      <x v="26"/>
    </i>
    <i>
      <x v="1113"/>
      <x v="10"/>
      <x v="35"/>
      <x v="10"/>
    </i>
    <i>
      <x v="1115"/>
      <x v="10"/>
      <x v="25"/>
      <x v="10"/>
    </i>
    <i>
      <x v="1120"/>
      <x v="10"/>
      <x v="8"/>
      <x v="10"/>
    </i>
    <i>
      <x v="1121"/>
      <x/>
      <x/>
      <x/>
    </i>
    <i>
      <x v="1122"/>
      <x v="9"/>
      <x v="25"/>
      <x v="9"/>
    </i>
    <i>
      <x v="1125"/>
      <x v="10"/>
      <x v="25"/>
      <x v="10"/>
    </i>
    <i>
      <x v="1126"/>
      <x v="10"/>
      <x v="25"/>
      <x v="10"/>
    </i>
    <i>
      <x v="1131"/>
      <x v="10"/>
      <x v="25"/>
      <x v="10"/>
    </i>
    <i>
      <x v="1132"/>
      <x v="10"/>
      <x v="35"/>
      <x v="10"/>
    </i>
    <i>
      <x v="1134"/>
      <x v="10"/>
      <x v="25"/>
      <x v="10"/>
    </i>
    <i>
      <x v="1139"/>
      <x v="10"/>
      <x v="25"/>
      <x v="10"/>
    </i>
    <i>
      <x v="1142"/>
      <x v="10"/>
      <x v="35"/>
      <x v="10"/>
    </i>
    <i>
      <x v="1143"/>
      <x v="16"/>
      <x v="14"/>
      <x v="16"/>
    </i>
    <i>
      <x v="1144"/>
      <x v="10"/>
      <x v="35"/>
      <x v="10"/>
    </i>
    <i>
      <x v="1148"/>
      <x v="10"/>
      <x v="35"/>
      <x v="10"/>
    </i>
    <i>
      <x v="1149"/>
      <x v="10"/>
      <x v="25"/>
      <x v="10"/>
    </i>
    <i>
      <x v="1150"/>
      <x v="10"/>
      <x v="25"/>
      <x v="10"/>
    </i>
    <i>
      <x v="1154"/>
      <x v="10"/>
      <x v="8"/>
      <x v="10"/>
    </i>
    <i>
      <x v="1159"/>
      <x v="9"/>
      <x v="25"/>
      <x v="9"/>
    </i>
    <i>
      <x v="1162"/>
      <x/>
      <x/>
      <x/>
    </i>
    <i>
      <x v="1168"/>
      <x v="33"/>
      <x v="32"/>
      <x v="33"/>
    </i>
    <i>
      <x v="1169"/>
      <x v="10"/>
      <x v="25"/>
      <x v="10"/>
    </i>
    <i>
      <x v="1174"/>
      <x v="12"/>
      <x v="10"/>
      <x v="12"/>
    </i>
    <i>
      <x v="1177"/>
      <x v="10"/>
      <x v="25"/>
      <x v="10"/>
    </i>
    <i>
      <x v="1185"/>
      <x v="10"/>
      <x v="8"/>
      <x v="10"/>
    </i>
    <i>
      <x v="1192"/>
      <x v="11"/>
      <x v="9"/>
      <x v="11"/>
    </i>
    <i>
      <x v="1193"/>
      <x v="9"/>
      <x v="25"/>
      <x v="9"/>
    </i>
    <i>
      <x v="1196"/>
      <x v="18"/>
      <x v="16"/>
      <x v="18"/>
    </i>
    <i>
      <x v="1201"/>
      <x v="6"/>
      <x v="25"/>
      <x v="6"/>
    </i>
    <i>
      <x v="1219"/>
      <x v="10"/>
      <x v="35"/>
      <x v="10"/>
    </i>
    <i>
      <x v="1221"/>
      <x v="10"/>
      <x v="25"/>
      <x v="10"/>
    </i>
    <i>
      <x v="1222"/>
      <x v="26"/>
      <x v="25"/>
      <x v="26"/>
    </i>
    <i>
      <x v="1232"/>
      <x v="10"/>
      <x v="25"/>
      <x v="10"/>
    </i>
    <i>
      <x v="1233"/>
      <x v="10"/>
      <x v="25"/>
      <x v="10"/>
    </i>
    <i>
      <x v="1235"/>
      <x v="6"/>
      <x v="25"/>
      <x v="6"/>
    </i>
    <i>
      <x v="1242"/>
      <x v="6"/>
      <x v="25"/>
      <x v="6"/>
    </i>
    <i>
      <x v="1245"/>
      <x v="6"/>
      <x v="8"/>
      <x v="6"/>
    </i>
    <i>
      <x v="1252"/>
      <x v="10"/>
      <x v="25"/>
      <x v="10"/>
    </i>
    <i>
      <x v="1253"/>
      <x v="10"/>
      <x v="8"/>
      <x v="10"/>
    </i>
    <i>
      <x v="1254"/>
      <x v="26"/>
      <x v="25"/>
      <x v="26"/>
    </i>
    <i>
      <x v="1261"/>
      <x v="10"/>
      <x v="25"/>
      <x v="10"/>
    </i>
    <i>
      <x v="1263"/>
      <x v="6"/>
      <x v="6"/>
      <x v="6"/>
    </i>
    <i>
      <x v="1267"/>
      <x v="10"/>
      <x v="25"/>
      <x v="10"/>
    </i>
    <i>
      <x v="1268"/>
      <x v="10"/>
      <x v="35"/>
      <x v="10"/>
    </i>
    <i>
      <x v="1270"/>
      <x v="10"/>
      <x v="25"/>
      <x v="10"/>
    </i>
    <i>
      <x v="1280"/>
      <x v="10"/>
      <x v="25"/>
      <x v="10"/>
    </i>
    <i>
      <x v="1294"/>
      <x v="33"/>
      <x v="32"/>
      <x v="33"/>
    </i>
    <i>
      <x v="1295"/>
      <x v="10"/>
      <x v="25"/>
      <x v="10"/>
    </i>
    <i>
      <x v="1301"/>
      <x v="10"/>
      <x v="8"/>
      <x v="10"/>
    </i>
    <i>
      <x v="1302"/>
      <x v="10"/>
      <x v="8"/>
      <x v="10"/>
    </i>
    <i>
      <x v="1305"/>
      <x v="10"/>
      <x v="35"/>
      <x v="10"/>
    </i>
    <i>
      <x v="1310"/>
      <x v="10"/>
      <x v="35"/>
      <x v="10"/>
    </i>
    <i>
      <x v="1311"/>
      <x v="10"/>
      <x v="25"/>
      <x v="10"/>
    </i>
    <i>
      <x v="1312"/>
      <x v="33"/>
      <x v="32"/>
      <x v="33"/>
    </i>
    <i>
      <x v="1314"/>
      <x v="26"/>
      <x v="25"/>
      <x v="26"/>
    </i>
    <i>
      <x v="1328"/>
      <x v="26"/>
      <x v="25"/>
      <x v="26"/>
    </i>
    <i>
      <x v="1332"/>
      <x v="2"/>
      <x v="2"/>
      <x v="2"/>
    </i>
    <i>
      <x v="1337"/>
      <x v="10"/>
      <x v="35"/>
      <x v="10"/>
    </i>
    <i>
      <x v="1339"/>
      <x v="11"/>
      <x v="9"/>
      <x v="11"/>
    </i>
    <i>
      <x v="1341"/>
      <x v="33"/>
      <x v="32"/>
      <x v="33"/>
    </i>
    <i>
      <x v="1342"/>
      <x v="2"/>
      <x v="2"/>
      <x v="2"/>
    </i>
    <i>
      <x v="1350"/>
      <x v="10"/>
      <x v="35"/>
      <x v="10"/>
    </i>
    <i>
      <x v="1352"/>
      <x v="10"/>
      <x v="25"/>
      <x v="10"/>
    </i>
    <i>
      <x v="1353"/>
      <x v="10"/>
      <x v="25"/>
      <x v="10"/>
    </i>
    <i>
      <x v="1357"/>
      <x v="26"/>
      <x v="25"/>
      <x v="26"/>
    </i>
    <i>
      <x v="1360"/>
      <x v="33"/>
      <x v="32"/>
      <x v="33"/>
    </i>
    <i>
      <x v="1362"/>
      <x v="10"/>
      <x v="35"/>
      <x v="10"/>
    </i>
    <i>
      <x v="1365"/>
      <x v="10"/>
      <x v="25"/>
      <x v="10"/>
    </i>
    <i>
      <x v="1374"/>
      <x v="26"/>
      <x v="25"/>
      <x v="26"/>
    </i>
    <i>
      <x v="1377"/>
      <x v="9"/>
      <x v="25"/>
      <x v="9"/>
    </i>
    <i>
      <x v="1378"/>
      <x v="9"/>
      <x v="25"/>
      <x v="9"/>
    </i>
    <i>
      <x v="1384"/>
      <x v="10"/>
      <x v="25"/>
      <x v="10"/>
    </i>
    <i>
      <x v="1386"/>
      <x v="10"/>
      <x v="25"/>
      <x v="10"/>
    </i>
    <i>
      <x v="1387"/>
      <x v="29"/>
      <x v="28"/>
      <x v="29"/>
    </i>
    <i>
      <x v="1388"/>
      <x v="6"/>
      <x v="25"/>
      <x v="6"/>
    </i>
    <i>
      <x v="1391"/>
      <x v="2"/>
      <x v="2"/>
      <x v="2"/>
    </i>
    <i>
      <x v="1392"/>
      <x v="10"/>
      <x v="25"/>
      <x v="10"/>
    </i>
    <i>
      <x v="1394"/>
      <x v="28"/>
      <x v="27"/>
      <x v="28"/>
    </i>
    <i>
      <x v="1399"/>
      <x v="10"/>
      <x v="25"/>
      <x v="10"/>
    </i>
    <i>
      <x v="1402"/>
      <x v="33"/>
      <x v="32"/>
      <x v="33"/>
    </i>
    <i>
      <x v="1404"/>
      <x v="10"/>
      <x v="25"/>
      <x v="10"/>
    </i>
    <i>
      <x v="1409"/>
      <x v="2"/>
      <x v="2"/>
      <x v="2"/>
    </i>
    <i>
      <x v="1412"/>
      <x v="10"/>
      <x v="25"/>
      <x v="10"/>
    </i>
    <i>
      <x v="1414"/>
      <x v="10"/>
      <x v="8"/>
      <x v="10"/>
    </i>
    <i>
      <x v="1422"/>
      <x v="10"/>
      <x v="25"/>
      <x v="10"/>
    </i>
    <i>
      <x v="1423"/>
      <x v="10"/>
      <x v="25"/>
      <x v="10"/>
    </i>
    <i>
      <x v="1428"/>
      <x v="10"/>
      <x v="35"/>
      <x v="10"/>
    </i>
    <i>
      <x v="1429"/>
      <x v="10"/>
      <x v="25"/>
      <x v="10"/>
    </i>
    <i>
      <x v="1430"/>
      <x v="10"/>
      <x v="35"/>
      <x v="10"/>
    </i>
    <i>
      <x v="1431"/>
      <x v="10"/>
      <x v="25"/>
      <x v="10"/>
    </i>
    <i>
      <x v="1434"/>
      <x v="10"/>
      <x v="25"/>
      <x v="10"/>
    </i>
    <i>
      <x v="1439"/>
      <x v="10"/>
      <x v="25"/>
      <x v="10"/>
    </i>
    <i>
      <x v="1444"/>
      <x v="10"/>
      <x v="35"/>
      <x v="10"/>
    </i>
    <i>
      <x v="1446"/>
      <x v="6"/>
      <x v="25"/>
      <x v="6"/>
    </i>
    <i>
      <x v="1451"/>
      <x/>
      <x/>
      <x/>
    </i>
    <i>
      <x v="1454"/>
      <x v="10"/>
      <x v="25"/>
      <x v="10"/>
    </i>
    <i>
      <x v="1457"/>
      <x v="10"/>
      <x v="8"/>
      <x v="10"/>
    </i>
    <i>
      <x v="1458"/>
      <x v="10"/>
      <x v="8"/>
      <x v="10"/>
    </i>
    <i>
      <x v="1460"/>
      <x v="13"/>
      <x v="11"/>
      <x v="13"/>
    </i>
    <i>
      <x v="1465"/>
      <x v="10"/>
      <x v="35"/>
      <x v="10"/>
    </i>
    <i>
      <x v="1466"/>
      <x v="26"/>
      <x v="25"/>
      <x v="26"/>
    </i>
    <i>
      <x v="1469"/>
      <x v="10"/>
      <x v="8"/>
      <x v="10"/>
    </i>
    <i>
      <x v="1473"/>
      <x v="9"/>
      <x v="25"/>
      <x v="9"/>
    </i>
    <i>
      <x v="1474"/>
      <x v="26"/>
      <x v="25"/>
      <x v="26"/>
    </i>
    <i>
      <x v="1480"/>
      <x/>
      <x/>
      <x/>
    </i>
    <i>
      <x v="1482"/>
      <x v="6"/>
      <x v="25"/>
      <x v="6"/>
    </i>
    <i>
      <x v="1487"/>
      <x v="29"/>
      <x v="28"/>
      <x v="29"/>
    </i>
    <i>
      <x v="1493"/>
      <x v="10"/>
      <x v="8"/>
      <x v="10"/>
    </i>
    <i>
      <x v="1496"/>
      <x v="9"/>
      <x v="25"/>
      <x v="9"/>
    </i>
    <i>
      <x v="1513"/>
      <x v="6"/>
      <x v="25"/>
      <x v="6"/>
    </i>
    <i>
      <x v="1514"/>
      <x v="6"/>
      <x v="25"/>
      <x v="6"/>
    </i>
    <i>
      <x v="1516"/>
      <x v="33"/>
      <x v="32"/>
      <x v="33"/>
    </i>
    <i>
      <x v="1517"/>
      <x v="26"/>
      <x v="25"/>
      <x v="26"/>
    </i>
    <i>
      <x v="1525"/>
      <x v="10"/>
      <x v="25"/>
      <x v="10"/>
    </i>
    <i>
      <x v="1526"/>
      <x v="10"/>
      <x v="25"/>
      <x v="10"/>
    </i>
    <i>
      <x v="1527"/>
      <x v="10"/>
      <x v="25"/>
      <x v="10"/>
    </i>
    <i>
      <x v="1535"/>
      <x v="26"/>
      <x v="25"/>
      <x v="26"/>
    </i>
    <i>
      <x v="1537"/>
      <x v="10"/>
      <x v="25"/>
      <x v="10"/>
    </i>
    <i>
      <x v="1541"/>
      <x v="33"/>
      <x v="32"/>
      <x v="33"/>
    </i>
    <i>
      <x v="1550"/>
      <x v="26"/>
      <x v="25"/>
      <x v="26"/>
    </i>
    <i>
      <x v="1552"/>
      <x v="26"/>
      <x v="25"/>
      <x v="26"/>
    </i>
    <i>
      <x v="1557"/>
      <x v="10"/>
      <x v="25"/>
      <x v="10"/>
    </i>
    <i>
      <x v="1562"/>
      <x v="10"/>
      <x v="25"/>
      <x v="10"/>
    </i>
    <i>
      <x v="1566"/>
      <x v="10"/>
      <x v="25"/>
      <x v="10"/>
    </i>
    <i>
      <x v="1570"/>
      <x v="10"/>
      <x v="25"/>
      <x v="10"/>
    </i>
    <i>
      <x v="1571"/>
      <x v="10"/>
      <x v="25"/>
      <x v="10"/>
    </i>
    <i>
      <x v="1574"/>
      <x v="10"/>
      <x v="8"/>
      <x v="10"/>
    </i>
    <i>
      <x v="1575"/>
      <x v="6"/>
      <x v="8"/>
      <x v="6"/>
    </i>
    <i>
      <x v="1577"/>
      <x/>
      <x/>
      <x/>
    </i>
    <i>
      <x v="1583"/>
      <x v="30"/>
      <x v="29"/>
      <x v="30"/>
    </i>
    <i>
      <x v="1584"/>
      <x v="6"/>
      <x v="25"/>
      <x v="6"/>
    </i>
    <i>
      <x v="1585"/>
      <x v="6"/>
      <x v="25"/>
      <x v="6"/>
    </i>
    <i>
      <x v="1591"/>
      <x v="6"/>
      <x v="25"/>
      <x v="6"/>
    </i>
    <i>
      <x v="1594"/>
      <x v="36"/>
      <x v="36"/>
      <x v="36"/>
    </i>
    <i>
      <x v="1595"/>
      <x v="29"/>
      <x v="28"/>
      <x v="29"/>
    </i>
    <i>
      <x v="1596"/>
      <x v="33"/>
      <x v="32"/>
      <x v="33"/>
    </i>
    <i>
      <x v="1602"/>
      <x v="10"/>
      <x v="25"/>
      <x v="10"/>
    </i>
    <i>
      <x v="1603"/>
      <x v="26"/>
      <x v="25"/>
      <x v="26"/>
    </i>
    <i>
      <x v="1605"/>
      <x v="1"/>
      <x v="1"/>
      <x v="1"/>
    </i>
    <i>
      <x v="1607"/>
      <x v="33"/>
      <x v="32"/>
      <x v="33"/>
    </i>
    <i>
      <x v="1611"/>
      <x v="10"/>
      <x v="25"/>
      <x v="10"/>
    </i>
    <i>
      <x v="1615"/>
      <x v="10"/>
      <x v="25"/>
      <x v="10"/>
    </i>
    <i>
      <x v="1616"/>
      <x v="10"/>
      <x v="25"/>
      <x v="10"/>
    </i>
    <i>
      <x v="1617"/>
      <x v="10"/>
      <x v="35"/>
      <x v="10"/>
    </i>
    <i>
      <x v="1620"/>
      <x v="9"/>
      <x v="25"/>
      <x v="9"/>
    </i>
    <i>
      <x v="1621"/>
      <x v="10"/>
      <x v="25"/>
      <x v="10"/>
    </i>
    <i>
      <x v="1622"/>
      <x v="26"/>
      <x v="25"/>
      <x v="26"/>
    </i>
    <i>
      <x v="1624"/>
      <x v="2"/>
      <x v="2"/>
      <x v="2"/>
    </i>
    <i>
      <x v="1630"/>
      <x v="10"/>
      <x v="25"/>
      <x v="10"/>
    </i>
    <i>
      <x v="1631"/>
      <x v="10"/>
      <x v="25"/>
      <x v="10"/>
    </i>
    <i>
      <x v="1632"/>
      <x v="10"/>
      <x v="25"/>
      <x v="10"/>
    </i>
    <i>
      <x v="1634"/>
      <x v="9"/>
      <x v="25"/>
      <x v="9"/>
    </i>
    <i>
      <x v="1637"/>
      <x v="10"/>
      <x v="8"/>
      <x v="10"/>
    </i>
    <i>
      <x v="1643"/>
      <x v="2"/>
      <x v="2"/>
      <x v="2"/>
    </i>
    <i>
      <x v="1644"/>
      <x v="2"/>
      <x v="2"/>
      <x v="2"/>
    </i>
    <i>
      <x v="1646"/>
      <x v="33"/>
      <x v="32"/>
      <x v="33"/>
    </i>
    <i>
      <x v="1647"/>
      <x v="26"/>
      <x v="25"/>
      <x v="26"/>
    </i>
    <i>
      <x v="1656"/>
      <x v="26"/>
      <x v="25"/>
      <x v="26"/>
    </i>
    <i>
      <x v="1657"/>
      <x v="26"/>
      <x v="25"/>
      <x v="26"/>
    </i>
    <i>
      <x v="1661"/>
      <x v="26"/>
      <x v="25"/>
      <x v="26"/>
    </i>
    <i>
      <x v="1662"/>
      <x v="10"/>
      <x v="35"/>
      <x v="10"/>
    </i>
    <i>
      <x v="1664"/>
      <x v="9"/>
      <x v="25"/>
      <x v="9"/>
    </i>
    <i>
      <x v="1665"/>
      <x/>
      <x/>
      <x/>
    </i>
    <i>
      <x v="1670"/>
      <x v="26"/>
      <x v="25"/>
      <x v="26"/>
    </i>
    <i>
      <x v="1672"/>
      <x v="10"/>
      <x v="25"/>
      <x v="10"/>
    </i>
    <i>
      <x v="1673"/>
      <x v="10"/>
      <x v="8"/>
      <x v="10"/>
    </i>
    <i>
      <x v="1682"/>
      <x v="10"/>
      <x v="35"/>
      <x v="10"/>
    </i>
    <i>
      <x v="1685"/>
      <x v="6"/>
      <x v="25"/>
      <x v="6"/>
    </i>
    <i>
      <x v="1686"/>
      <x v="10"/>
      <x v="25"/>
      <x v="10"/>
    </i>
    <i>
      <x v="1687"/>
      <x v="10"/>
      <x v="25"/>
      <x v="10"/>
    </i>
    <i>
      <x v="1691"/>
      <x v="6"/>
      <x v="25"/>
      <x v="6"/>
    </i>
    <i>
      <x v="1693"/>
      <x v="26"/>
      <x v="25"/>
      <x v="26"/>
    </i>
    <i>
      <x v="1694"/>
      <x v="10"/>
      <x v="25"/>
      <x v="10"/>
    </i>
    <i>
      <x v="1699"/>
      <x v="9"/>
      <x v="25"/>
      <x v="9"/>
    </i>
    <i>
      <x v="1700"/>
      <x v="26"/>
      <x v="25"/>
      <x v="26"/>
    </i>
    <i>
      <x v="1702"/>
      <x v="29"/>
      <x v="28"/>
      <x v="29"/>
    </i>
    <i>
      <x v="1705"/>
      <x v="10"/>
      <x v="35"/>
      <x v="10"/>
    </i>
    <i>
      <x v="1706"/>
      <x v="10"/>
      <x v="25"/>
      <x v="10"/>
    </i>
    <i>
      <x v="1708"/>
      <x v="26"/>
      <x v="25"/>
      <x v="26"/>
    </i>
    <i>
      <x v="1715"/>
      <x v="30"/>
      <x v="29"/>
      <x v="30"/>
    </i>
    <i>
      <x v="1717"/>
      <x v="26"/>
      <x v="25"/>
      <x v="26"/>
    </i>
    <i>
      <x v="1718"/>
      <x v="10"/>
      <x v="25"/>
      <x v="10"/>
    </i>
    <i>
      <x v="1719"/>
      <x v="6"/>
      <x v="6"/>
      <x v="6"/>
    </i>
    <i>
      <x v="1721"/>
      <x v="33"/>
      <x v="32"/>
      <x v="33"/>
    </i>
    <i>
      <x v="1724"/>
      <x v="37"/>
      <x v="37"/>
      <x v="37"/>
    </i>
    <i>
      <x v="1725"/>
      <x v="10"/>
      <x v="8"/>
      <x v="10"/>
    </i>
    <i>
      <x v="1728"/>
      <x v="10"/>
      <x v="8"/>
      <x v="10"/>
    </i>
    <i>
      <x v="1729"/>
      <x v="26"/>
      <x v="25"/>
      <x v="26"/>
    </i>
    <i>
      <x v="1730"/>
      <x v="26"/>
      <x v="25"/>
      <x v="26"/>
    </i>
    <i>
      <x v="1733"/>
      <x v="10"/>
      <x v="8"/>
      <x v="10"/>
    </i>
    <i>
      <x v="1735"/>
      <x/>
      <x/>
      <x/>
    </i>
    <i>
      <x v="1736"/>
      <x/>
      <x/>
      <x/>
    </i>
    <i>
      <x v="1739"/>
      <x v="10"/>
      <x v="8"/>
      <x v="10"/>
    </i>
    <i>
      <x v="1740"/>
      <x v="10"/>
      <x v="8"/>
      <x v="10"/>
    </i>
    <i>
      <x v="1744"/>
      <x v="33"/>
      <x v="32"/>
      <x v="33"/>
    </i>
    <i>
      <x v="1745"/>
      <x v="10"/>
      <x v="25"/>
      <x v="10"/>
    </i>
    <i>
      <x v="1748"/>
      <x v="10"/>
      <x v="25"/>
      <x v="10"/>
    </i>
    <i>
      <x v="1753"/>
      <x v="10"/>
      <x v="35"/>
      <x v="10"/>
    </i>
    <i>
      <x v="1757"/>
      <x v="10"/>
      <x v="35"/>
      <x v="10"/>
    </i>
    <i>
      <x v="1760"/>
      <x v="33"/>
      <x v="32"/>
      <x v="33"/>
    </i>
    <i>
      <x v="1762"/>
      <x v="9"/>
      <x v="25"/>
      <x v="9"/>
    </i>
    <i>
      <x v="1765"/>
      <x v="10"/>
      <x v="25"/>
      <x v="10"/>
    </i>
    <i>
      <x v="1766"/>
      <x v="10"/>
      <x v="35"/>
      <x v="10"/>
    </i>
    <i>
      <x v="1770"/>
      <x v="33"/>
      <x v="32"/>
      <x v="33"/>
    </i>
    <i>
      <x v="1775"/>
      <x v="26"/>
      <x v="25"/>
      <x v="26"/>
    </i>
    <i>
      <x v="1776"/>
      <x v="6"/>
      <x v="25"/>
      <x v="6"/>
    </i>
    <i>
      <x v="1777"/>
      <x v="26"/>
      <x v="25"/>
      <x v="26"/>
    </i>
    <i>
      <x v="1780"/>
      <x v="29"/>
      <x v="28"/>
      <x v="29"/>
    </i>
    <i>
      <x v="1783"/>
      <x/>
      <x/>
      <x/>
    </i>
    <i>
      <x v="1787"/>
      <x v="10"/>
      <x v="35"/>
      <x v="10"/>
    </i>
    <i>
      <x v="1807"/>
      <x v="10"/>
      <x v="8"/>
      <x v="10"/>
    </i>
    <i>
      <x v="1809"/>
      <x v="9"/>
      <x v="25"/>
      <x v="9"/>
    </i>
    <i>
      <x v="1810"/>
      <x v="33"/>
      <x v="32"/>
      <x v="33"/>
    </i>
    <i>
      <x v="1816"/>
      <x v="10"/>
      <x v="35"/>
      <x v="10"/>
    </i>
    <i>
      <x v="1817"/>
      <x v="10"/>
      <x v="25"/>
      <x v="10"/>
    </i>
    <i>
      <x v="1820"/>
      <x v="21"/>
      <x v="19"/>
      <x v="21"/>
    </i>
    <i>
      <x v="1827"/>
      <x v="26"/>
      <x v="25"/>
      <x v="26"/>
    </i>
    <i>
      <x v="1841"/>
      <x v="10"/>
      <x v="25"/>
      <x v="10"/>
    </i>
    <i>
      <x v="1842"/>
      <x v="5"/>
      <x v="5"/>
      <x v="5"/>
    </i>
    <i>
      <x v="1847"/>
      <x v="6"/>
      <x v="8"/>
      <x v="6"/>
    </i>
    <i>
      <x v="1849"/>
      <x v="26"/>
      <x v="25"/>
      <x v="26"/>
    </i>
    <i>
      <x v="1855"/>
      <x v="26"/>
      <x v="25"/>
      <x v="26"/>
    </i>
    <i>
      <x v="1858"/>
      <x v="26"/>
      <x v="25"/>
      <x v="26"/>
    </i>
    <i>
      <x v="1863"/>
      <x v="32"/>
      <x v="31"/>
      <x v="32"/>
    </i>
    <i>
      <x v="1867"/>
      <x v="10"/>
      <x v="25"/>
      <x v="10"/>
    </i>
    <i>
      <x v="1871"/>
      <x v="10"/>
      <x v="25"/>
      <x v="10"/>
    </i>
    <i>
      <x v="1875"/>
      <x v="26"/>
      <x v="25"/>
      <x v="26"/>
    </i>
    <i>
      <x v="1878"/>
      <x v="10"/>
      <x v="25"/>
      <x v="10"/>
    </i>
    <i>
      <x v="1879"/>
      <x v="6"/>
      <x v="25"/>
      <x v="6"/>
    </i>
    <i>
      <x v="1887"/>
      <x v="10"/>
      <x v="35"/>
      <x v="10"/>
    </i>
    <i>
      <x v="1889"/>
      <x v="33"/>
      <x v="32"/>
      <x v="33"/>
    </i>
    <i>
      <x v="1890"/>
      <x v="10"/>
      <x v="8"/>
      <x v="10"/>
    </i>
    <i>
      <x v="1893"/>
      <x v="2"/>
      <x v="2"/>
      <x v="2"/>
    </i>
    <i>
      <x v="1896"/>
      <x v="33"/>
      <x v="32"/>
      <x v="33"/>
    </i>
    <i>
      <x v="1899"/>
      <x v="10"/>
      <x v="25"/>
      <x v="10"/>
    </i>
    <i>
      <x v="1909"/>
      <x v="10"/>
      <x v="35"/>
      <x v="10"/>
    </i>
    <i>
      <x v="1910"/>
      <x v="26"/>
      <x v="25"/>
      <x v="26"/>
    </i>
    <i>
      <x v="1911"/>
      <x v="10"/>
      <x v="25"/>
      <x v="10"/>
    </i>
    <i>
      <x v="1915"/>
      <x v="10"/>
      <x v="25"/>
      <x v="10"/>
    </i>
    <i>
      <x v="1918"/>
      <x v="6"/>
      <x v="25"/>
      <x v="6"/>
    </i>
    <i>
      <x v="1919"/>
      <x v="26"/>
      <x v="25"/>
      <x v="26"/>
    </i>
    <i>
      <x v="1920"/>
      <x v="26"/>
      <x v="25"/>
      <x v="26"/>
    </i>
    <i>
      <x v="1922"/>
      <x v="29"/>
      <x v="28"/>
      <x v="29"/>
    </i>
    <i>
      <x v="1924"/>
      <x v="33"/>
      <x v="32"/>
      <x v="33"/>
    </i>
    <i>
      <x v="1931"/>
      <x v="33"/>
      <x v="32"/>
      <x v="33"/>
    </i>
    <i>
      <x v="1932"/>
      <x v="6"/>
      <x v="35"/>
      <x v="6"/>
    </i>
    <i>
      <x v="1934"/>
      <x v="10"/>
      <x v="25"/>
      <x v="10"/>
    </i>
    <i>
      <x v="1940"/>
      <x v="10"/>
      <x v="25"/>
      <x v="10"/>
    </i>
    <i>
      <x v="1942"/>
      <x v="6"/>
      <x v="25"/>
      <x v="6"/>
    </i>
    <i>
      <x v="1943"/>
      <x v="10"/>
      <x v="25"/>
      <x v="10"/>
    </i>
    <i>
      <x v="1945"/>
      <x/>
      <x/>
      <x/>
    </i>
    <i>
      <x v="1951"/>
      <x v="10"/>
      <x v="25"/>
      <x v="10"/>
    </i>
    <i>
      <x v="1954"/>
      <x v="33"/>
      <x v="32"/>
      <x v="33"/>
    </i>
    <i>
      <x v="1963"/>
      <x v="10"/>
      <x v="8"/>
      <x v="10"/>
    </i>
    <i>
      <x v="1964"/>
      <x v="10"/>
      <x v="8"/>
      <x v="10"/>
    </i>
    <i>
      <x v="1965"/>
      <x v="10"/>
      <x v="8"/>
      <x v="10"/>
    </i>
    <i>
      <x v="1967"/>
      <x v="10"/>
      <x v="8"/>
      <x v="10"/>
    </i>
    <i>
      <x v="1968"/>
      <x v="10"/>
      <x v="8"/>
      <x v="10"/>
    </i>
    <i>
      <x v="1969"/>
      <x v="10"/>
      <x v="35"/>
      <x v="10"/>
    </i>
    <i>
      <x v="1974"/>
      <x v="10"/>
      <x v="8"/>
      <x v="10"/>
    </i>
    <i>
      <x v="1980"/>
      <x v="10"/>
      <x v="25"/>
      <x v="10"/>
    </i>
    <i>
      <x v="1981"/>
      <x v="10"/>
      <x v="8"/>
      <x v="10"/>
    </i>
    <i>
      <x v="1983"/>
      <x v="26"/>
      <x v="25"/>
      <x v="26"/>
    </i>
    <i>
      <x v="1986"/>
      <x v="10"/>
      <x v="8"/>
      <x v="10"/>
    </i>
    <i>
      <x v="1991"/>
      <x v="10"/>
      <x v="8"/>
      <x v="10"/>
    </i>
    <i>
      <x v="1992"/>
      <x v="9"/>
      <x v="25"/>
      <x v="9"/>
    </i>
    <i>
      <x v="1996"/>
      <x v="10"/>
      <x v="35"/>
      <x v="10"/>
    </i>
    <i>
      <x v="2001"/>
      <x v="26"/>
      <x v="25"/>
      <x v="26"/>
    </i>
    <i>
      <x v="2004"/>
      <x v="2"/>
      <x v="2"/>
      <x v="2"/>
    </i>
    <i>
      <x v="2007"/>
      <x v="4"/>
      <x v="4"/>
      <x v="4"/>
    </i>
    <i>
      <x v="2009"/>
      <x v="33"/>
      <x v="32"/>
      <x v="33"/>
    </i>
    <i>
      <x v="2011"/>
      <x v="6"/>
      <x v="25"/>
      <x v="6"/>
    </i>
    <i>
      <x v="2012"/>
      <x v="17"/>
      <x v="15"/>
      <x v="17"/>
    </i>
    <i>
      <x v="2013"/>
      <x v="10"/>
      <x v="25"/>
      <x v="10"/>
    </i>
    <i>
      <x v="2015"/>
      <x v="10"/>
      <x v="25"/>
      <x v="10"/>
    </i>
    <i>
      <x v="2021"/>
      <x v="10"/>
      <x v="25"/>
      <x v="10"/>
    </i>
    <i>
      <x v="2024"/>
      <x v="10"/>
      <x v="25"/>
      <x v="10"/>
    </i>
    <i>
      <x v="2026"/>
      <x v="26"/>
      <x v="25"/>
      <x v="26"/>
    </i>
    <i>
      <x v="2033"/>
      <x v="10"/>
      <x v="25"/>
      <x v="10"/>
    </i>
    <i>
      <x v="2039"/>
      <x v="10"/>
      <x v="25"/>
      <x v="10"/>
    </i>
    <i>
      <x v="2041"/>
      <x v="10"/>
      <x v="8"/>
      <x v="10"/>
    </i>
    <i>
      <x v="2043"/>
      <x v="10"/>
      <x v="35"/>
      <x v="10"/>
    </i>
    <i>
      <x v="2044"/>
      <x v="10"/>
      <x v="25"/>
      <x v="10"/>
    </i>
    <i>
      <x v="2045"/>
      <x v="10"/>
      <x v="35"/>
      <x v="10"/>
    </i>
    <i>
      <x v="2046"/>
      <x v="26"/>
      <x v="25"/>
      <x v="26"/>
    </i>
    <i>
      <x v="2055"/>
      <x v="6"/>
      <x v="25"/>
      <x v="6"/>
    </i>
    <i>
      <x v="2057"/>
      <x v="10"/>
      <x v="25"/>
      <x v="10"/>
    </i>
    <i>
      <x v="2058"/>
      <x v="10"/>
      <x v="25"/>
      <x v="10"/>
    </i>
    <i>
      <x v="2059"/>
      <x v="6"/>
      <x v="25"/>
      <x v="6"/>
    </i>
    <i>
      <x v="2061"/>
      <x v="33"/>
      <x v="32"/>
      <x v="33"/>
    </i>
    <i>
      <x v="2064"/>
      <x v="10"/>
      <x v="25"/>
      <x v="10"/>
    </i>
    <i>
      <x v="2067"/>
      <x v="26"/>
      <x v="25"/>
      <x v="26"/>
    </i>
    <i>
      <x v="2071"/>
      <x v="10"/>
      <x v="8"/>
      <x v="10"/>
    </i>
    <i>
      <x v="2072"/>
      <x v="2"/>
      <x v="2"/>
      <x v="2"/>
    </i>
    <i>
      <x v="2079"/>
      <x/>
      <x/>
      <x/>
    </i>
    <i>
      <x v="2083"/>
      <x v="10"/>
      <x v="35"/>
      <x v="10"/>
    </i>
    <i>
      <x v="2085"/>
      <x v="30"/>
      <x v="29"/>
      <x v="30"/>
    </i>
    <i>
      <x v="2087"/>
      <x v="10"/>
      <x v="35"/>
      <x v="10"/>
    </i>
    <i>
      <x v="2089"/>
      <x v="33"/>
      <x v="32"/>
      <x v="33"/>
    </i>
    <i>
      <x v="2094"/>
      <x v="10"/>
      <x v="35"/>
      <x v="10"/>
    </i>
    <i>
      <x v="2096"/>
      <x v="10"/>
      <x v="35"/>
      <x v="10"/>
    </i>
    <i>
      <x v="2101"/>
      <x v="3"/>
      <x v="3"/>
      <x v="3"/>
    </i>
    <i>
      <x v="2105"/>
      <x v="10"/>
      <x v="8"/>
      <x v="10"/>
    </i>
    <i>
      <x v="2107"/>
      <x v="10"/>
      <x v="35"/>
      <x v="10"/>
    </i>
    <i>
      <x v="2115"/>
      <x v="9"/>
      <x v="25"/>
      <x v="9"/>
    </i>
    <i>
      <x v="2120"/>
      <x v="2"/>
      <x v="2"/>
      <x v="2"/>
    </i>
    <i>
      <x v="2122"/>
      <x v="10"/>
      <x v="35"/>
      <x v="10"/>
    </i>
    <i>
      <x v="2123"/>
      <x v="10"/>
      <x v="25"/>
      <x v="10"/>
    </i>
    <i>
      <x v="2128"/>
      <x v="10"/>
      <x v="25"/>
      <x v="10"/>
    </i>
    <i>
      <x v="2133"/>
      <x v="29"/>
      <x v="28"/>
      <x v="29"/>
    </i>
    <i>
      <x v="2135"/>
      <x v="6"/>
      <x v="25"/>
      <x v="6"/>
    </i>
    <i>
      <x v="2138"/>
      <x v="26"/>
      <x v="25"/>
      <x v="26"/>
    </i>
    <i>
      <x v="2139"/>
      <x v="26"/>
      <x v="25"/>
      <x v="26"/>
    </i>
    <i>
      <x v="2140"/>
      <x/>
      <x/>
      <x/>
    </i>
    <i>
      <x v="2144"/>
      <x v="10"/>
      <x v="8"/>
      <x v="10"/>
    </i>
    <i>
      <x v="2146"/>
      <x v="10"/>
      <x v="25"/>
      <x v="10"/>
    </i>
    <i>
      <x v="2148"/>
      <x v="26"/>
      <x v="25"/>
      <x v="26"/>
    </i>
    <i>
      <x v="2153"/>
      <x v="10"/>
      <x v="25"/>
      <x v="10"/>
    </i>
    <i>
      <x v="2159"/>
      <x v="26"/>
      <x v="25"/>
      <x v="26"/>
    </i>
    <i>
      <x v="2162"/>
      <x v="10"/>
      <x v="8"/>
      <x v="10"/>
    </i>
    <i>
      <x v="2163"/>
      <x v="10"/>
      <x v="8"/>
      <x v="10"/>
    </i>
    <i>
      <x v="2167"/>
      <x v="9"/>
      <x v="25"/>
      <x v="9"/>
    </i>
    <i>
      <x v="2168"/>
      <x v="6"/>
      <x v="25"/>
      <x v="6"/>
    </i>
    <i>
      <x v="2170"/>
      <x v="10"/>
      <x v="35"/>
      <x v="10"/>
    </i>
    <i>
      <x v="2172"/>
      <x v="10"/>
      <x v="25"/>
      <x v="10"/>
    </i>
    <i>
      <x v="2177"/>
      <x v="6"/>
      <x v="25"/>
      <x v="6"/>
    </i>
    <i>
      <x v="2178"/>
      <x v="6"/>
      <x v="8"/>
      <x v="6"/>
    </i>
    <i>
      <x v="2180"/>
      <x v="26"/>
      <x v="25"/>
      <x v="26"/>
    </i>
    <i>
      <x v="2185"/>
      <x v="10"/>
      <x v="8"/>
      <x v="10"/>
    </i>
    <i>
      <x v="2186"/>
      <x v="26"/>
      <x v="25"/>
      <x v="26"/>
    </i>
    <i>
      <x v="2188"/>
      <x v="10"/>
      <x v="8"/>
      <x v="10"/>
    </i>
    <i>
      <x v="2193"/>
      <x v="9"/>
      <x v="25"/>
      <x v="9"/>
    </i>
    <i>
      <x v="2194"/>
      <x v="10"/>
      <x v="35"/>
      <x v="10"/>
    </i>
    <i>
      <x v="2195"/>
      <x v="6"/>
      <x v="8"/>
      <x v="6"/>
    </i>
    <i>
      <x v="2197"/>
      <x v="9"/>
      <x v="25"/>
      <x v="9"/>
    </i>
    <i>
      <x v="2200"/>
      <x v="10"/>
      <x v="25"/>
      <x v="10"/>
    </i>
    <i>
      <x v="2202"/>
      <x v="10"/>
      <x v="35"/>
      <x v="10"/>
    </i>
    <i>
      <x v="2206"/>
      <x v="10"/>
      <x v="35"/>
      <x v="10"/>
    </i>
    <i>
      <x v="2214"/>
      <x v="2"/>
      <x v="2"/>
      <x v="2"/>
    </i>
    <i>
      <x v="2215"/>
      <x v="26"/>
      <x v="25"/>
      <x v="26"/>
    </i>
    <i>
      <x v="2224"/>
      <x v="5"/>
      <x v="5"/>
      <x v="5"/>
    </i>
    <i>
      <x v="2225"/>
      <x v="26"/>
      <x v="25"/>
      <x v="26"/>
    </i>
    <i>
      <x v="2226"/>
      <x v="33"/>
      <x v="32"/>
      <x v="33"/>
    </i>
    <i>
      <x v="2231"/>
      <x v="6"/>
      <x v="25"/>
      <x v="6"/>
    </i>
    <i>
      <x v="2232"/>
      <x v="2"/>
      <x v="2"/>
      <x v="2"/>
    </i>
    <i>
      <x v="2233"/>
      <x v="10"/>
      <x v="25"/>
      <x v="10"/>
    </i>
    <i>
      <x v="2234"/>
      <x v="12"/>
      <x v="10"/>
      <x v="12"/>
    </i>
    <i>
      <x v="2237"/>
      <x v="2"/>
      <x v="2"/>
      <x v="2"/>
    </i>
    <i>
      <x v="2238"/>
      <x v="20"/>
      <x v="18"/>
      <x v="20"/>
    </i>
    <i>
      <x v="2240"/>
      <x v="29"/>
      <x v="28"/>
      <x v="29"/>
    </i>
    <i>
      <x v="2244"/>
      <x/>
      <x/>
      <x/>
    </i>
    <i>
      <x v="2246"/>
      <x v="26"/>
      <x v="25"/>
      <x v="26"/>
    </i>
    <i>
      <x v="2248"/>
      <x v="26"/>
      <x v="25"/>
      <x v="26"/>
    </i>
    <i>
      <x v="2250"/>
      <x v="10"/>
      <x v="25"/>
      <x v="10"/>
    </i>
    <i>
      <x v="2253"/>
      <x v="10"/>
      <x v="25"/>
      <x v="10"/>
    </i>
    <i>
      <x v="2254"/>
      <x v="9"/>
      <x v="25"/>
      <x v="9"/>
    </i>
    <i>
      <x v="2257"/>
      <x v="10"/>
      <x v="25"/>
      <x v="10"/>
    </i>
    <i>
      <x v="2258"/>
      <x v="10"/>
      <x v="25"/>
      <x v="10"/>
    </i>
    <i>
      <x v="2259"/>
      <x v="10"/>
      <x v="25"/>
      <x v="10"/>
    </i>
    <i>
      <x v="2265"/>
      <x v="2"/>
      <x v="2"/>
      <x v="2"/>
    </i>
    <i>
      <x v="2266"/>
      <x v="26"/>
      <x v="25"/>
      <x v="26"/>
    </i>
    <i>
      <x v="2268"/>
      <x/>
      <x/>
      <x/>
    </i>
    <i>
      <x v="2269"/>
      <x v="26"/>
      <x v="25"/>
      <x v="26"/>
    </i>
    <i>
      <x v="2271"/>
      <x v="10"/>
      <x v="8"/>
      <x v="10"/>
    </i>
    <i>
      <x v="2277"/>
      <x v="26"/>
      <x v="25"/>
      <x v="26"/>
    </i>
    <i>
      <x v="2278"/>
      <x v="26"/>
      <x v="25"/>
      <x v="26"/>
    </i>
    <i>
      <x v="2281"/>
      <x v="10"/>
      <x v="25"/>
      <x v="10"/>
    </i>
    <i>
      <x v="2283"/>
      <x v="10"/>
      <x v="8"/>
      <x v="10"/>
    </i>
    <i>
      <x v="2286"/>
      <x v="10"/>
      <x v="35"/>
      <x v="10"/>
    </i>
    <i>
      <x v="2294"/>
      <x v="10"/>
      <x v="25"/>
      <x v="10"/>
    </i>
    <i>
      <x v="2295"/>
      <x v="26"/>
      <x v="25"/>
      <x v="26"/>
    </i>
    <i>
      <x v="2300"/>
      <x v="10"/>
      <x v="25"/>
      <x v="10"/>
    </i>
    <i>
      <x v="2302"/>
      <x v="33"/>
      <x v="32"/>
      <x v="33"/>
    </i>
    <i>
      <x v="2303"/>
      <x v="10"/>
      <x v="35"/>
      <x v="10"/>
    </i>
    <i>
      <x v="2305"/>
      <x v="26"/>
      <x v="25"/>
      <x v="26"/>
    </i>
    <i>
      <x v="2306"/>
      <x v="2"/>
      <x v="2"/>
      <x v="2"/>
    </i>
    <i>
      <x v="2316"/>
      <x v="10"/>
      <x v="25"/>
      <x v="10"/>
    </i>
    <i>
      <x v="2317"/>
      <x v="6"/>
      <x v="25"/>
      <x v="6"/>
    </i>
    <i>
      <x v="2320"/>
      <x v="9"/>
      <x v="25"/>
      <x v="9"/>
    </i>
    <i>
      <x v="2321"/>
      <x v="10"/>
      <x v="25"/>
      <x v="10"/>
    </i>
    <i>
      <x v="2323"/>
      <x v="10"/>
      <x v="8"/>
      <x v="10"/>
    </i>
    <i>
      <x v="2324"/>
      <x v="10"/>
      <x v="35"/>
      <x v="10"/>
    </i>
    <i>
      <x v="2327"/>
      <x v="26"/>
      <x v="25"/>
      <x v="26"/>
    </i>
    <i>
      <x v="2331"/>
      <x v="10"/>
      <x v="35"/>
      <x v="10"/>
    </i>
    <i>
      <x v="2332"/>
      <x v="26"/>
      <x v="25"/>
      <x v="26"/>
    </i>
    <i>
      <x v="2334"/>
      <x v="9"/>
      <x v="25"/>
      <x v="9"/>
    </i>
    <i>
      <x v="2340"/>
      <x v="10"/>
      <x v="35"/>
      <x v="10"/>
    </i>
    <i>
      <x v="2341"/>
      <x v="9"/>
      <x v="25"/>
      <x v="9"/>
    </i>
    <i>
      <x v="2347"/>
      <x v="10"/>
      <x v="35"/>
      <x v="10"/>
    </i>
    <i>
      <x v="2352"/>
      <x v="2"/>
      <x v="2"/>
      <x v="2"/>
    </i>
    <i>
      <x v="2354"/>
      <x v="26"/>
      <x v="25"/>
      <x v="26"/>
    </i>
    <i>
      <x v="2355"/>
      <x v="10"/>
      <x v="8"/>
      <x v="10"/>
    </i>
    <i>
      <x v="2357"/>
      <x v="10"/>
      <x v="25"/>
      <x v="10"/>
    </i>
    <i>
      <x v="2358"/>
      <x v="26"/>
      <x v="25"/>
      <x v="26"/>
    </i>
    <i>
      <x v="2359"/>
      <x v="26"/>
      <x v="25"/>
      <x v="26"/>
    </i>
    <i>
      <x v="2361"/>
      <x/>
      <x/>
      <x/>
    </i>
    <i>
      <x v="2362"/>
      <x v="26"/>
      <x v="25"/>
      <x v="26"/>
    </i>
    <i>
      <x v="2365"/>
      <x v="10"/>
      <x v="35"/>
      <x v="10"/>
    </i>
    <i>
      <x v="2366"/>
      <x v="10"/>
      <x v="35"/>
      <x v="10"/>
    </i>
    <i>
      <x v="2367"/>
      <x v="26"/>
      <x v="25"/>
      <x v="26"/>
    </i>
    <i>
      <x v="2368"/>
      <x v="10"/>
      <x v="35"/>
      <x v="10"/>
    </i>
    <i>
      <x v="2375"/>
      <x v="10"/>
      <x v="25"/>
      <x v="10"/>
    </i>
    <i>
      <x v="2378"/>
      <x v="10"/>
      <x v="25"/>
      <x v="10"/>
    </i>
    <i>
      <x v="2379"/>
      <x/>
      <x/>
      <x/>
    </i>
    <i>
      <x v="2380"/>
      <x v="14"/>
      <x v="12"/>
      <x v="14"/>
    </i>
    <i>
      <x v="2388"/>
      <x v="26"/>
      <x v="25"/>
      <x v="26"/>
    </i>
    <i>
      <x v="2398"/>
      <x v="26"/>
      <x v="25"/>
      <x v="26"/>
    </i>
    <i>
      <x v="2399"/>
      <x v="10"/>
      <x v="8"/>
      <x v="10"/>
    </i>
    <i>
      <x v="2401"/>
      <x v="26"/>
      <x v="25"/>
      <x v="26"/>
    </i>
    <i>
      <x v="2402"/>
      <x v="26"/>
      <x v="25"/>
      <x v="26"/>
    </i>
    <i>
      <x v="2406"/>
      <x v="4"/>
      <x v="4"/>
      <x v="4"/>
    </i>
    <i>
      <x v="2408"/>
      <x v="33"/>
      <x v="32"/>
      <x v="33"/>
    </i>
    <i>
      <x v="2412"/>
      <x v="10"/>
      <x v="25"/>
      <x v="10"/>
    </i>
    <i>
      <x v="2417"/>
      <x v="10"/>
      <x v="25"/>
      <x v="10"/>
    </i>
    <i>
      <x v="2419"/>
      <x v="10"/>
      <x v="25"/>
      <x v="10"/>
    </i>
    <i>
      <x v="2420"/>
      <x v="10"/>
      <x v="35"/>
      <x v="10"/>
    </i>
    <i>
      <x v="2421"/>
      <x v="26"/>
      <x v="25"/>
      <x v="26"/>
    </i>
    <i>
      <x v="2422"/>
      <x v="9"/>
      <x v="25"/>
      <x v="9"/>
    </i>
    <i>
      <x v="2426"/>
      <x v="10"/>
      <x v="8"/>
      <x v="10"/>
    </i>
    <i>
      <x v="2432"/>
      <x v="26"/>
      <x v="25"/>
      <x v="26"/>
    </i>
    <i>
      <x v="2436"/>
      <x v="2"/>
      <x v="2"/>
      <x v="2"/>
    </i>
    <i>
      <x v="2444"/>
      <x v="10"/>
      <x v="25"/>
      <x v="10"/>
    </i>
    <i>
      <x v="2445"/>
      <x v="2"/>
      <x v="2"/>
      <x v="2"/>
    </i>
    <i>
      <x v="2446"/>
      <x v="33"/>
      <x v="32"/>
      <x v="33"/>
    </i>
    <i>
      <x v="2449"/>
      <x v="33"/>
      <x v="32"/>
      <x v="33"/>
    </i>
    <i>
      <x v="2451"/>
      <x v="10"/>
      <x v="25"/>
      <x v="10"/>
    </i>
    <i>
      <x v="2454"/>
      <x v="29"/>
      <x v="28"/>
      <x v="29"/>
    </i>
    <i>
      <x v="2456"/>
      <x v="9"/>
      <x v="25"/>
      <x v="9"/>
    </i>
    <i>
      <x v="2458"/>
      <x v="10"/>
      <x v="25"/>
      <x v="10"/>
    </i>
    <i>
      <x v="2465"/>
      <x v="2"/>
      <x v="2"/>
      <x v="2"/>
    </i>
    <i>
      <x v="2466"/>
      <x v="6"/>
      <x v="8"/>
      <x v="6"/>
    </i>
    <i>
      <x v="2468"/>
      <x v="10"/>
      <x v="25"/>
      <x v="10"/>
    </i>
    <i>
      <x v="2474"/>
      <x v="10"/>
      <x v="8"/>
      <x v="10"/>
    </i>
    <i>
      <x v="2475"/>
      <x v="10"/>
      <x v="8"/>
      <x v="10"/>
    </i>
    <i>
      <x v="2477"/>
      <x v="35"/>
      <x v="34"/>
      <x v="35"/>
    </i>
    <i>
      <x v="2479"/>
      <x v="9"/>
      <x v="25"/>
      <x v="9"/>
    </i>
    <i>
      <x v="2481"/>
      <x v="10"/>
      <x v="8"/>
      <x v="10"/>
    </i>
    <i>
      <x v="2483"/>
      <x v="10"/>
      <x v="35"/>
      <x v="10"/>
    </i>
    <i>
      <x v="2484"/>
      <x v="10"/>
      <x v="35"/>
      <x v="10"/>
    </i>
    <i t="grand">
      <x/>
    </i>
  </rowItems>
  <colItems count="1">
    <i/>
  </colItems>
  <pageFields count="1">
    <pageField fld="1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BDCOMPRAS1" displayName="BDCOMPRAS1" ref="A1:D1618" totalsRowShown="0" headerRowDxfId="0">
  <autoFilter ref="A1:D1618"/>
  <tableColumns count="4">
    <tableColumn id="1" name="Fornecedor" dataDxfId="4"/>
    <tableColumn id="2" name="Filial_a_entregar" dataDxfId="3"/>
    <tableColumn id="3" name="Filial_cobranca" dataDxfId="2"/>
    <tableColumn id="4" name="Filial_a_faturar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8"/>
  <sheetViews>
    <sheetView tabSelected="1" topLeftCell="A124" workbookViewId="0">
      <selection activeCell="A128" sqref="A128"/>
    </sheetView>
  </sheetViews>
  <sheetFormatPr defaultRowHeight="15" x14ac:dyDescent="0.25"/>
  <cols>
    <col min="1" max="1" width="31.5703125" bestFit="1" customWidth="1"/>
    <col min="2" max="4" width="23.42578125" bestFit="1" customWidth="1"/>
    <col min="5" max="5" width="12.7109375" bestFit="1" customWidth="1"/>
  </cols>
  <sheetData>
    <row r="1" spans="1:5" x14ac:dyDescent="0.25">
      <c r="A1" s="8" t="s">
        <v>2554</v>
      </c>
      <c r="B1" s="3" t="s">
        <v>2557</v>
      </c>
    </row>
    <row r="3" spans="1:5" x14ac:dyDescent="0.25">
      <c r="A3" s="8" t="s">
        <v>0</v>
      </c>
      <c r="B3" s="8" t="s">
        <v>2489</v>
      </c>
      <c r="C3" s="8" t="s">
        <v>2490</v>
      </c>
      <c r="D3" s="8" t="s">
        <v>2491</v>
      </c>
    </row>
    <row r="4" spans="1:5" x14ac:dyDescent="0.25">
      <c r="A4" s="3" t="s">
        <v>2</v>
      </c>
      <c r="E4" t="str">
        <f>"UPDATE FORNECEDORES SET FILIAL_A_ENTREGAR = '"&amp;B4&amp;"', FILIAL_COBRANCA = '"&amp;C4&amp;"', FILIAL_A_FATURAR = '"&amp;D4&amp;"' WHERE FORNECEDOR = '"&amp;A4&amp;"'"</f>
        <v>UPDATE FORNECEDORES SET FILIAL_A_ENTREGAR = '', FILIAL_COBRANCA = '', FILIAL_A_FATURAR = '' WHERE FORNECEDOR = ' CIMASA IND. COMER.BRNDES'</v>
      </c>
    </row>
    <row r="5" spans="1:5" x14ac:dyDescent="0.25">
      <c r="A5" s="3" t="s">
        <v>3</v>
      </c>
      <c r="B5" s="3" t="s">
        <v>2493</v>
      </c>
      <c r="C5" s="3" t="s">
        <v>2493</v>
      </c>
      <c r="D5" s="3" t="s">
        <v>2493</v>
      </c>
      <c r="E5" s="3" t="str">
        <f t="shared" ref="E5:E68" si="0">"UPDATE FORNECEDORES SET FILIAL_A_ENTREGAR = '"&amp;B5&amp;"', FILIAL_COBRANCA = '"&amp;C5&amp;"', FILIAL_A_FATURAR = '"&amp;D5&amp;"' WHERE FORNECEDOR = '"&amp;A5&amp;"'"</f>
        <v>UPDATE FORNECEDORES SET FILIAL_A_ENTREGAR = 'AVANTI- ADM C.CREDITO', FILIAL_COBRANCA = 'AVANTI- ADM C.CREDITO', FILIAL_A_FATURAR = 'AVANTI- ADM C.CREDITO' WHERE FORNECEDOR = ' INFINIT SOLUCOES'</v>
      </c>
    </row>
    <row r="6" spans="1:5" x14ac:dyDescent="0.25">
      <c r="A6" s="3" t="s">
        <v>4</v>
      </c>
      <c r="B6" s="3" t="s">
        <v>2494</v>
      </c>
      <c r="C6" s="3" t="s">
        <v>2494</v>
      </c>
      <c r="D6" s="3" t="s">
        <v>2494</v>
      </c>
      <c r="E6" s="3" t="str">
        <f t="shared" si="0"/>
        <v>UPDATE FORNECEDORES SET FILIAL_A_ENTREGAR = 'ANPPLA', FILIAL_COBRANCA = 'ANPPLA', FILIAL_A_FATURAR = 'ANPPLA' WHERE FORNECEDOR = ' M2 SERVICOS ELETRICOS'</v>
      </c>
    </row>
    <row r="7" spans="1:5" x14ac:dyDescent="0.25">
      <c r="A7" s="3" t="s">
        <v>8</v>
      </c>
      <c r="B7" s="3" t="s">
        <v>2492</v>
      </c>
      <c r="C7" s="3" t="s">
        <v>2497</v>
      </c>
      <c r="D7" s="3" t="s">
        <v>2492</v>
      </c>
      <c r="E7" s="3" t="str">
        <f t="shared" si="0"/>
        <v>UPDATE FORNECEDORES SET FILIAL_A_ENTREGAR = 'CD REGIS', FILIAL_COBRANCA = 'TATUAPE', FILIAL_A_FATURAR = 'CD REGIS' WHERE FORNECEDOR = '3 PONTO 1'</v>
      </c>
    </row>
    <row r="8" spans="1:5" x14ac:dyDescent="0.25">
      <c r="A8" s="3" t="s">
        <v>10</v>
      </c>
      <c r="B8" s="3" t="s">
        <v>2492</v>
      </c>
      <c r="C8" s="3" t="s">
        <v>2492</v>
      </c>
      <c r="D8" s="3" t="s">
        <v>2492</v>
      </c>
      <c r="E8" s="3" t="str">
        <f t="shared" si="0"/>
        <v>UPDATE FORNECEDORES SET FILIAL_A_ENTREGAR = 'CD REGIS', FILIAL_COBRANCA = 'CD REGIS', FILIAL_A_FATURAR = 'CD REGIS' WHERE FORNECEDOR = 'A J C TELE INFORMATICA'</v>
      </c>
    </row>
    <row r="9" spans="1:5" x14ac:dyDescent="0.25">
      <c r="A9" s="3" t="s">
        <v>13</v>
      </c>
      <c r="B9" s="3" t="s">
        <v>2492</v>
      </c>
      <c r="C9" s="3" t="s">
        <v>2492</v>
      </c>
      <c r="D9" s="3" t="s">
        <v>2492</v>
      </c>
      <c r="E9" s="3" t="str">
        <f t="shared" si="0"/>
        <v>UPDATE FORNECEDORES SET FILIAL_A_ENTREGAR = 'CD REGIS', FILIAL_COBRANCA = 'CD REGIS', FILIAL_A_FATURAR = 'CD REGIS' WHERE FORNECEDOR = 'A MICHELOTTI AK COM CONF'</v>
      </c>
    </row>
    <row r="10" spans="1:5" x14ac:dyDescent="0.25">
      <c r="A10" s="3" t="s">
        <v>20</v>
      </c>
      <c r="B10" s="3" t="s">
        <v>2492</v>
      </c>
      <c r="C10" s="3" t="s">
        <v>2492</v>
      </c>
      <c r="D10" s="3" t="s">
        <v>2492</v>
      </c>
      <c r="E10" s="3" t="str">
        <f t="shared" si="0"/>
        <v>UPDATE FORNECEDORES SET FILIAL_A_ENTREGAR = 'CD REGIS', FILIAL_COBRANCA = 'CD REGIS', FILIAL_A_FATURAR = 'CD REGIS' WHERE FORNECEDOR = 'A.R.S COMERCIO DE ROUPAS'</v>
      </c>
    </row>
    <row r="11" spans="1:5" x14ac:dyDescent="0.25">
      <c r="A11" s="3" t="s">
        <v>25</v>
      </c>
      <c r="B11" s="3" t="s">
        <v>1497</v>
      </c>
      <c r="C11" s="3" t="s">
        <v>1497</v>
      </c>
      <c r="D11" s="3" t="s">
        <v>1497</v>
      </c>
      <c r="E11" s="3" t="str">
        <f t="shared" si="0"/>
        <v>UPDATE FORNECEDORES SET FILIAL_A_ENTREGAR = 'MATRIZ', FILIAL_COBRANCA = 'MATRIZ', FILIAL_A_FATURAR = 'MATRIZ' WHERE FORNECEDOR = 'ABB INFORMATICA'</v>
      </c>
    </row>
    <row r="12" spans="1:5" x14ac:dyDescent="0.25">
      <c r="A12" s="3" t="s">
        <v>31</v>
      </c>
      <c r="B12" s="3" t="s">
        <v>2492</v>
      </c>
      <c r="C12" s="3" t="s">
        <v>2497</v>
      </c>
      <c r="D12" s="3" t="s">
        <v>2492</v>
      </c>
      <c r="E12" s="3" t="str">
        <f t="shared" si="0"/>
        <v>UPDATE FORNECEDORES SET FILIAL_A_ENTREGAR = 'CD REGIS', FILIAL_COBRANCA = 'TATUAPE', FILIAL_A_FATURAR = 'CD REGIS' WHERE FORNECEDOR = 'ACALANTO TRICOT'</v>
      </c>
    </row>
    <row r="13" spans="1:5" x14ac:dyDescent="0.25">
      <c r="A13" s="3" t="s">
        <v>32</v>
      </c>
      <c r="B13" s="3" t="s">
        <v>1497</v>
      </c>
      <c r="C13" s="3" t="s">
        <v>1497</v>
      </c>
      <c r="D13" s="3" t="s">
        <v>1497</v>
      </c>
      <c r="E13" s="3" t="str">
        <f t="shared" si="0"/>
        <v>UPDATE FORNECEDORES SET FILIAL_A_ENTREGAR = 'MATRIZ', FILIAL_COBRANCA = 'MATRIZ', FILIAL_A_FATURAR = 'MATRIZ' WHERE FORNECEDOR = 'ACAO INFORMATICA'</v>
      </c>
    </row>
    <row r="14" spans="1:5" x14ac:dyDescent="0.25">
      <c r="A14" s="3" t="s">
        <v>33</v>
      </c>
      <c r="B14" s="3" t="s">
        <v>1497</v>
      </c>
      <c r="C14" s="3" t="s">
        <v>1497</v>
      </c>
      <c r="D14" s="3" t="s">
        <v>1497</v>
      </c>
      <c r="E14" s="3" t="str">
        <f t="shared" si="0"/>
        <v>UPDATE FORNECEDORES SET FILIAL_A_ENTREGAR = 'MATRIZ', FILIAL_COBRANCA = 'MATRIZ', FILIAL_A_FATURAR = 'MATRIZ' WHERE FORNECEDOR = 'AÇÃO INFORMATICA BRASIL'</v>
      </c>
    </row>
    <row r="15" spans="1:5" x14ac:dyDescent="0.25">
      <c r="A15" s="3" t="s">
        <v>34</v>
      </c>
      <c r="B15" s="3" t="s">
        <v>2493</v>
      </c>
      <c r="C15" s="3" t="s">
        <v>2493</v>
      </c>
      <c r="D15" s="3" t="s">
        <v>2493</v>
      </c>
      <c r="E15" s="3" t="str">
        <f t="shared" si="0"/>
        <v>UPDATE FORNECEDORES SET FILIAL_A_ENTREGAR = 'AVANTI- ADM C.CREDITO', FILIAL_COBRANCA = 'AVANTI- ADM C.CREDITO', FILIAL_A_FATURAR = 'AVANTI- ADM C.CREDITO' WHERE FORNECEDOR = 'ACESSO DIGITAL TECN'</v>
      </c>
    </row>
    <row r="16" spans="1:5" x14ac:dyDescent="0.25">
      <c r="A16" s="3" t="s">
        <v>35</v>
      </c>
      <c r="B16" s="3" t="s">
        <v>443</v>
      </c>
      <c r="C16" s="3" t="s">
        <v>1497</v>
      </c>
      <c r="D16" s="3" t="s">
        <v>443</v>
      </c>
      <c r="E16" s="3" t="str">
        <f t="shared" si="0"/>
        <v>UPDATE FORNECEDORES SET FILIAL_A_ENTREGAR = 'CD ARAQUARI', FILIAL_COBRANCA = 'MATRIZ', FILIAL_A_FATURAR = 'CD ARAQUARI' WHERE FORNECEDOR = 'ACIL TEXTIL'</v>
      </c>
    </row>
    <row r="17" spans="1:5" x14ac:dyDescent="0.25">
      <c r="A17" s="3" t="s">
        <v>36</v>
      </c>
      <c r="B17" s="3" t="s">
        <v>1497</v>
      </c>
      <c r="C17" s="3" t="s">
        <v>1497</v>
      </c>
      <c r="D17" s="3" t="s">
        <v>1497</v>
      </c>
      <c r="E17" s="3" t="str">
        <f t="shared" si="0"/>
        <v>UPDATE FORNECEDORES SET FILIAL_A_ENTREGAR = 'MATRIZ', FILIAL_COBRANCA = 'MATRIZ', FILIAL_A_FATURAR = 'MATRIZ' WHERE FORNECEDOR = 'ACM COMUNICACAO'</v>
      </c>
    </row>
    <row r="18" spans="1:5" x14ac:dyDescent="0.25">
      <c r="A18" s="3" t="s">
        <v>37</v>
      </c>
      <c r="B18" s="3" t="s">
        <v>2498</v>
      </c>
      <c r="C18" s="3" t="s">
        <v>2498</v>
      </c>
      <c r="D18" s="3" t="s">
        <v>2498</v>
      </c>
      <c r="E18" s="3" t="str">
        <f t="shared" si="0"/>
        <v>UPDATE FORNECEDORES SET FILIAL_A_ENTREGAR = 'SP - PARI', FILIAL_COBRANCA = 'SP - PARI', FILIAL_A_FATURAR = 'SP - PARI' WHERE FORNECEDOR = 'ACOCORTE FERRO E ACO'</v>
      </c>
    </row>
    <row r="19" spans="1:5" x14ac:dyDescent="0.25">
      <c r="A19" s="3" t="s">
        <v>44</v>
      </c>
      <c r="B19" s="3" t="s">
        <v>443</v>
      </c>
      <c r="C19" s="3" t="s">
        <v>1497</v>
      </c>
      <c r="D19" s="3" t="s">
        <v>443</v>
      </c>
      <c r="E19" s="3" t="str">
        <f t="shared" si="0"/>
        <v>UPDATE FORNECEDORES SET FILIAL_A_ENTREGAR = 'CD ARAQUARI', FILIAL_COBRANCA = 'MATRIZ', FILIAL_A_FATURAR = 'CD ARAQUARI' WHERE FORNECEDOR = 'ACTIVA SUL'</v>
      </c>
    </row>
    <row r="20" spans="1:5" x14ac:dyDescent="0.25">
      <c r="A20" s="3" t="s">
        <v>45</v>
      </c>
      <c r="B20" s="3" t="s">
        <v>2492</v>
      </c>
      <c r="C20" s="3" t="s">
        <v>1497</v>
      </c>
      <c r="D20" s="3" t="s">
        <v>2492</v>
      </c>
      <c r="E20" s="3" t="str">
        <f t="shared" si="0"/>
        <v>UPDATE FORNECEDORES SET FILIAL_A_ENTREGAR = 'CD REGIS', FILIAL_COBRANCA = 'MATRIZ', FILIAL_A_FATURAR = 'CD REGIS' WHERE FORNECEDOR = 'AD CRIACOES LINGERIE'</v>
      </c>
    </row>
    <row r="21" spans="1:5" x14ac:dyDescent="0.25">
      <c r="A21" s="3" t="s">
        <v>48</v>
      </c>
      <c r="B21" s="3" t="s">
        <v>443</v>
      </c>
      <c r="C21" s="3" t="s">
        <v>1497</v>
      </c>
      <c r="D21" s="3" t="s">
        <v>443</v>
      </c>
      <c r="E21" s="3" t="str">
        <f t="shared" si="0"/>
        <v>UPDATE FORNECEDORES SET FILIAL_A_ENTREGAR = 'CD ARAQUARI', FILIAL_COBRANCA = 'MATRIZ', FILIAL_A_FATURAR = 'CD ARAQUARI' WHERE FORNECEDOR = 'ADE'</v>
      </c>
    </row>
    <row r="22" spans="1:5" x14ac:dyDescent="0.25">
      <c r="A22" s="3" t="s">
        <v>49</v>
      </c>
      <c r="B22" s="3" t="s">
        <v>2498</v>
      </c>
      <c r="C22" s="3" t="s">
        <v>2498</v>
      </c>
      <c r="D22" s="3" t="s">
        <v>2498</v>
      </c>
      <c r="E22" s="3" t="str">
        <f t="shared" si="0"/>
        <v>UPDATE FORNECEDORES SET FILIAL_A_ENTREGAR = 'SP - PARI', FILIAL_COBRANCA = 'SP - PARI', FILIAL_A_FATURAR = 'SP - PARI' WHERE FORNECEDOR = 'ADECIL COMERCIAL'</v>
      </c>
    </row>
    <row r="23" spans="1:5" x14ac:dyDescent="0.25">
      <c r="A23" s="3" t="s">
        <v>51</v>
      </c>
      <c r="B23" s="3" t="s">
        <v>444</v>
      </c>
      <c r="C23" s="3" t="s">
        <v>1497</v>
      </c>
      <c r="D23" s="3" t="s">
        <v>444</v>
      </c>
      <c r="E23" s="3" t="str">
        <f t="shared" si="0"/>
        <v>UPDATE FORNECEDORES SET FILIAL_A_ENTREGAR = 'CD NAVEGANTES', FILIAL_COBRANCA = 'MATRIZ', FILIAL_A_FATURAR = 'CD NAVEGANTES' WHERE FORNECEDOR = 'ADLER TEXTIL LTDA'</v>
      </c>
    </row>
    <row r="24" spans="1:5" x14ac:dyDescent="0.25">
      <c r="A24" s="3" t="s">
        <v>53</v>
      </c>
      <c r="B24" s="3" t="s">
        <v>2494</v>
      </c>
      <c r="C24" s="3" t="s">
        <v>2494</v>
      </c>
      <c r="D24" s="3" t="s">
        <v>2494</v>
      </c>
      <c r="E24" s="3" t="str">
        <f t="shared" si="0"/>
        <v>UPDATE FORNECEDORES SET FILIAL_A_ENTREGAR = 'ANPPLA', FILIAL_COBRANCA = 'ANPPLA', FILIAL_A_FATURAR = 'ANPPLA' WHERE FORNECEDOR = 'ADP BRASIL LTDA'</v>
      </c>
    </row>
    <row r="25" spans="1:5" x14ac:dyDescent="0.25">
      <c r="A25" s="3" t="s">
        <v>56</v>
      </c>
      <c r="B25" s="3" t="s">
        <v>2493</v>
      </c>
      <c r="C25" s="3" t="s">
        <v>2493</v>
      </c>
      <c r="D25" s="3" t="s">
        <v>2493</v>
      </c>
      <c r="E25" s="3" t="str">
        <f t="shared" si="0"/>
        <v>UPDATE FORNECEDORES SET FILIAL_A_ENTREGAR = 'AVANTI- ADM C.CREDITO', FILIAL_COBRANCA = 'AVANTI- ADM C.CREDITO', FILIAL_A_FATURAR = 'AVANTI- ADM C.CREDITO' WHERE FORNECEDOR = 'AES ELETROPAULO'</v>
      </c>
    </row>
    <row r="26" spans="1:5" x14ac:dyDescent="0.25">
      <c r="A26" s="3" t="s">
        <v>67</v>
      </c>
      <c r="B26" s="3" t="s">
        <v>2498</v>
      </c>
      <c r="C26" s="3" t="s">
        <v>2498</v>
      </c>
      <c r="D26" s="3" t="s">
        <v>2498</v>
      </c>
      <c r="E26" s="3" t="str">
        <f t="shared" si="0"/>
        <v>UPDATE FORNECEDORES SET FILIAL_A_ENTREGAR = 'SP - PARI', FILIAL_COBRANCA = 'SP - PARI', FILIAL_A_FATURAR = 'SP - PARI' WHERE FORNECEDOR = 'AGIS EQUIPAMENTO'</v>
      </c>
    </row>
    <row r="27" spans="1:5" x14ac:dyDescent="0.25">
      <c r="A27" s="3" t="s">
        <v>69</v>
      </c>
      <c r="B27" s="3" t="s">
        <v>2492</v>
      </c>
      <c r="C27" s="3" t="s">
        <v>2492</v>
      </c>
      <c r="D27" s="3" t="s">
        <v>2492</v>
      </c>
      <c r="E27" s="3" t="str">
        <f t="shared" si="0"/>
        <v>UPDATE FORNECEDORES SET FILIAL_A_ENTREGAR = 'CD REGIS', FILIAL_COBRANCA = 'CD REGIS', FILIAL_A_FATURAR = 'CD REGIS' WHERE FORNECEDOR = 'AGROTAMA'</v>
      </c>
    </row>
    <row r="28" spans="1:5" x14ac:dyDescent="0.25">
      <c r="A28" s="3" t="s">
        <v>70</v>
      </c>
      <c r="B28" s="3" t="s">
        <v>2492</v>
      </c>
      <c r="C28" s="3" t="s">
        <v>1497</v>
      </c>
      <c r="D28" s="3" t="s">
        <v>2492</v>
      </c>
      <c r="E28" s="3" t="str">
        <f t="shared" si="0"/>
        <v>UPDATE FORNECEDORES SET FILIAL_A_ENTREGAR = 'CD REGIS', FILIAL_COBRANCA = 'MATRIZ', FILIAL_A_FATURAR = 'CD REGIS' WHERE FORNECEDOR = 'AGUA E OPIO'</v>
      </c>
    </row>
    <row r="29" spans="1:5" x14ac:dyDescent="0.25">
      <c r="A29" s="3" t="s">
        <v>71</v>
      </c>
      <c r="B29" s="3" t="s">
        <v>2492</v>
      </c>
      <c r="C29" s="3" t="s">
        <v>2497</v>
      </c>
      <c r="D29" s="3" t="s">
        <v>2492</v>
      </c>
      <c r="E29" s="3" t="str">
        <f t="shared" si="0"/>
        <v>UPDATE FORNECEDORES SET FILIAL_A_ENTREGAR = 'CD REGIS', FILIAL_COBRANCA = 'TATUAPE', FILIAL_A_FATURAR = 'CD REGIS' WHERE FORNECEDOR = 'AGUA VERDE'</v>
      </c>
    </row>
    <row r="30" spans="1:5" x14ac:dyDescent="0.25">
      <c r="A30" s="3" t="s">
        <v>73</v>
      </c>
      <c r="B30" s="3" t="s">
        <v>2492</v>
      </c>
      <c r="C30" s="3" t="s">
        <v>1497</v>
      </c>
      <c r="D30" s="3" t="s">
        <v>2492</v>
      </c>
      <c r="E30" s="3" t="str">
        <f t="shared" si="0"/>
        <v>UPDATE FORNECEDORES SET FILIAL_A_ENTREGAR = 'CD REGIS', FILIAL_COBRANCA = 'MATRIZ', FILIAL_A_FATURAR = 'CD REGIS' WHERE FORNECEDOR = 'AGUA VIVA (2)'</v>
      </c>
    </row>
    <row r="31" spans="1:5" x14ac:dyDescent="0.25">
      <c r="A31" s="3" t="s">
        <v>74</v>
      </c>
      <c r="B31" s="3" t="s">
        <v>443</v>
      </c>
      <c r="C31" s="3" t="s">
        <v>1497</v>
      </c>
      <c r="D31" s="3" t="s">
        <v>443</v>
      </c>
      <c r="E31" s="3" t="str">
        <f t="shared" si="0"/>
        <v>UPDATE FORNECEDORES SET FILIAL_A_ENTREGAR = 'CD ARAQUARI', FILIAL_COBRANCA = 'MATRIZ', FILIAL_A_FATURAR = 'CD ARAQUARI' WHERE FORNECEDOR = 'AGUIA TEX'</v>
      </c>
    </row>
    <row r="32" spans="1:5" x14ac:dyDescent="0.25">
      <c r="A32" s="3" t="s">
        <v>75</v>
      </c>
      <c r="B32" s="3" t="s">
        <v>2498</v>
      </c>
      <c r="C32" s="3" t="s">
        <v>2498</v>
      </c>
      <c r="D32" s="3" t="s">
        <v>2498</v>
      </c>
      <c r="E32" s="3" t="str">
        <f t="shared" si="0"/>
        <v>UPDATE FORNECEDORES SET FILIAL_A_ENTREGAR = 'SP - PARI', FILIAL_COBRANCA = 'SP - PARI', FILIAL_A_FATURAR = 'SP - PARI' WHERE FORNECEDOR = 'AGUIAR PROJETOS'</v>
      </c>
    </row>
    <row r="33" spans="1:5" x14ac:dyDescent="0.25">
      <c r="A33" s="3" t="s">
        <v>82</v>
      </c>
      <c r="B33" s="3" t="s">
        <v>2492</v>
      </c>
      <c r="C33" s="3" t="s">
        <v>2497</v>
      </c>
      <c r="D33" s="3" t="s">
        <v>2492</v>
      </c>
      <c r="E33" s="3" t="str">
        <f t="shared" si="0"/>
        <v>UPDATE FORNECEDORES SET FILIAL_A_ENTREGAR = 'CD REGIS', FILIAL_COBRANCA = 'TATUAPE', FILIAL_A_FATURAR = 'CD REGIS' WHERE FORNECEDOR = 'AK MALHAS'</v>
      </c>
    </row>
    <row r="34" spans="1:5" x14ac:dyDescent="0.25">
      <c r="A34" s="3" t="s">
        <v>83</v>
      </c>
      <c r="B34" s="3" t="s">
        <v>2492</v>
      </c>
      <c r="C34" s="3" t="s">
        <v>2492</v>
      </c>
      <c r="D34" s="3" t="s">
        <v>2492</v>
      </c>
      <c r="E34" s="3" t="str">
        <f t="shared" si="0"/>
        <v>UPDATE FORNECEDORES SET FILIAL_A_ENTREGAR = 'CD REGIS', FILIAL_COBRANCA = 'CD REGIS', FILIAL_A_FATURAR = 'CD REGIS' WHERE FORNECEDOR = 'AKIYOSHI'</v>
      </c>
    </row>
    <row r="35" spans="1:5" x14ac:dyDescent="0.25">
      <c r="A35" s="3" t="s">
        <v>87</v>
      </c>
      <c r="B35" s="3" t="s">
        <v>2506</v>
      </c>
      <c r="C35" s="3" t="s">
        <v>2506</v>
      </c>
      <c r="D35" s="3" t="s">
        <v>2506</v>
      </c>
      <c r="E35" s="3" t="str">
        <f t="shared" si="0"/>
        <v>UPDATE FORNECEDORES SET FILIAL_A_ENTREGAR = 'POA', FILIAL_COBRANCA = 'POA', FILIAL_A_FATURAR = 'POA' WHERE FORNECEDOR = 'ALBANESE'</v>
      </c>
    </row>
    <row r="36" spans="1:5" x14ac:dyDescent="0.25">
      <c r="A36" s="3" t="s">
        <v>90</v>
      </c>
      <c r="B36" s="3" t="s">
        <v>1497</v>
      </c>
      <c r="C36" s="3" t="s">
        <v>1497</v>
      </c>
      <c r="D36" s="3" t="s">
        <v>1497</v>
      </c>
      <c r="E36" s="3" t="str">
        <f t="shared" si="0"/>
        <v>UPDATE FORNECEDORES SET FILIAL_A_ENTREGAR = 'MATRIZ', FILIAL_COBRANCA = 'MATRIZ', FILIAL_A_FATURAR = 'MATRIZ' WHERE FORNECEDOR = 'ALBERTO JARDIM DE GOUVEIA'</v>
      </c>
    </row>
    <row r="37" spans="1:5" x14ac:dyDescent="0.25">
      <c r="A37" s="3" t="s">
        <v>91</v>
      </c>
      <c r="B37" s="3" t="s">
        <v>2498</v>
      </c>
      <c r="C37" s="3" t="s">
        <v>2498</v>
      </c>
      <c r="D37" s="3" t="s">
        <v>2498</v>
      </c>
      <c r="E37" s="3" t="str">
        <f t="shared" si="0"/>
        <v>UPDATE FORNECEDORES SET FILIAL_A_ENTREGAR = 'SP - PARI', FILIAL_COBRANCA = 'SP - PARI', FILIAL_A_FATURAR = 'SP - PARI' WHERE FORNECEDOR = 'ALCATEIA ENGENHARIA'</v>
      </c>
    </row>
    <row r="38" spans="1:5" x14ac:dyDescent="0.25">
      <c r="A38" s="3" t="s">
        <v>92</v>
      </c>
      <c r="B38" s="3" t="s">
        <v>2492</v>
      </c>
      <c r="C38" s="3" t="s">
        <v>1497</v>
      </c>
      <c r="D38" s="3" t="s">
        <v>2492</v>
      </c>
      <c r="E38" s="3" t="str">
        <f t="shared" si="0"/>
        <v>UPDATE FORNECEDORES SET FILIAL_A_ENTREGAR = 'CD REGIS', FILIAL_COBRANCA = 'MATRIZ', FILIAL_A_FATURAR = 'CD REGIS' WHERE FORNECEDOR = 'ALEGANS'</v>
      </c>
    </row>
    <row r="39" spans="1:5" x14ac:dyDescent="0.25">
      <c r="A39" s="3" t="s">
        <v>116</v>
      </c>
      <c r="B39" s="3" t="s">
        <v>444</v>
      </c>
      <c r="C39" s="3" t="s">
        <v>1497</v>
      </c>
      <c r="D39" s="3" t="s">
        <v>444</v>
      </c>
      <c r="E39" s="3" t="str">
        <f t="shared" si="0"/>
        <v>UPDATE FORNECEDORES SET FILIAL_A_ENTREGAR = 'CD NAVEGANTES', FILIAL_COBRANCA = 'MATRIZ', FILIAL_A_FATURAR = 'CD NAVEGANTES' WHERE FORNECEDOR = 'AMABILI'</v>
      </c>
    </row>
    <row r="40" spans="1:5" x14ac:dyDescent="0.25">
      <c r="A40" s="3" t="s">
        <v>117</v>
      </c>
      <c r="B40" s="3" t="s">
        <v>1497</v>
      </c>
      <c r="C40" s="3" t="s">
        <v>1497</v>
      </c>
      <c r="D40" s="3" t="s">
        <v>1497</v>
      </c>
      <c r="E40" s="3" t="str">
        <f t="shared" si="0"/>
        <v>UPDATE FORNECEDORES SET FILIAL_A_ENTREGAR = 'MATRIZ', FILIAL_COBRANCA = 'MATRIZ', FILIAL_A_FATURAR = 'MATRIZ' WHERE FORNECEDOR = 'AMAZON VEICULOS'</v>
      </c>
    </row>
    <row r="41" spans="1:5" x14ac:dyDescent="0.25">
      <c r="A41" s="3" t="s">
        <v>119</v>
      </c>
      <c r="B41" s="3" t="s">
        <v>2492</v>
      </c>
      <c r="C41" s="3" t="s">
        <v>2492</v>
      </c>
      <c r="D41" s="3" t="s">
        <v>2492</v>
      </c>
      <c r="E41" s="3" t="str">
        <f t="shared" si="0"/>
        <v>UPDATE FORNECEDORES SET FILIAL_A_ENTREGAR = 'CD REGIS', FILIAL_COBRANCA = 'CD REGIS', FILIAL_A_FATURAR = 'CD REGIS' WHERE FORNECEDOR = 'AME ELETRONICA LTDA'</v>
      </c>
    </row>
    <row r="42" spans="1:5" x14ac:dyDescent="0.25">
      <c r="A42" s="3" t="s">
        <v>124</v>
      </c>
      <c r="B42" s="3" t="s">
        <v>2492</v>
      </c>
      <c r="C42" s="3" t="s">
        <v>2497</v>
      </c>
      <c r="D42" s="3" t="s">
        <v>2492</v>
      </c>
      <c r="E42" s="3" t="str">
        <f t="shared" si="0"/>
        <v>UPDATE FORNECEDORES SET FILIAL_A_ENTREGAR = 'CD REGIS', FILIAL_COBRANCA = 'TATUAPE', FILIAL_A_FATURAR = 'CD REGIS' WHERE FORNECEDOR = 'AMUAGE'</v>
      </c>
    </row>
    <row r="43" spans="1:5" x14ac:dyDescent="0.25">
      <c r="A43" s="3" t="s">
        <v>126</v>
      </c>
      <c r="B43" s="3" t="s">
        <v>1497</v>
      </c>
      <c r="C43" s="3" t="s">
        <v>1497</v>
      </c>
      <c r="D43" s="3" t="s">
        <v>1497</v>
      </c>
      <c r="E43" s="3" t="str">
        <f t="shared" si="0"/>
        <v>UPDATE FORNECEDORES SET FILIAL_A_ENTREGAR = 'MATRIZ', FILIAL_COBRANCA = 'MATRIZ', FILIAL_A_FATURAR = 'MATRIZ' WHERE FORNECEDOR = 'AMZ AMAZING MODEL'</v>
      </c>
    </row>
    <row r="44" spans="1:5" x14ac:dyDescent="0.25">
      <c r="A44" s="3" t="s">
        <v>129</v>
      </c>
      <c r="B44" s="3" t="s">
        <v>2492</v>
      </c>
      <c r="C44" s="3" t="s">
        <v>1497</v>
      </c>
      <c r="D44" s="3" t="s">
        <v>2492</v>
      </c>
      <c r="E44" s="3" t="str">
        <f t="shared" si="0"/>
        <v>UPDATE FORNECEDORES SET FILIAL_A_ENTREGAR = 'CD REGIS', FILIAL_COBRANCA = 'MATRIZ', FILIAL_A_FATURAR = 'CD REGIS' WHERE FORNECEDOR = 'ANA LUISA'</v>
      </c>
    </row>
    <row r="45" spans="1:5" x14ac:dyDescent="0.25">
      <c r="A45" s="3" t="s">
        <v>130</v>
      </c>
      <c r="B45" s="3" t="s">
        <v>444</v>
      </c>
      <c r="C45" s="3" t="s">
        <v>1497</v>
      </c>
      <c r="D45" s="3" t="s">
        <v>444</v>
      </c>
      <c r="E45" s="3" t="str">
        <f t="shared" si="0"/>
        <v>UPDATE FORNECEDORES SET FILIAL_A_ENTREGAR = 'CD NAVEGANTES', FILIAL_COBRANCA = 'MATRIZ', FILIAL_A_FATURAR = 'CD NAVEGANTES' WHERE FORNECEDOR = 'ANA MALHAS EIRELI'</v>
      </c>
    </row>
    <row r="46" spans="1:5" x14ac:dyDescent="0.25">
      <c r="A46" s="3" t="s">
        <v>142</v>
      </c>
      <c r="B46" s="3" t="s">
        <v>2492</v>
      </c>
      <c r="C46" s="3" t="s">
        <v>2492</v>
      </c>
      <c r="D46" s="3" t="s">
        <v>2492</v>
      </c>
      <c r="E46" s="3" t="str">
        <f t="shared" si="0"/>
        <v>UPDATE FORNECEDORES SET FILIAL_A_ENTREGAR = 'CD REGIS', FILIAL_COBRANCA = 'CD REGIS', FILIAL_A_FATURAR = 'CD REGIS' WHERE FORNECEDOR = 'ANDRE CALIL JORGE - EPP'</v>
      </c>
    </row>
    <row r="47" spans="1:5" x14ac:dyDescent="0.25">
      <c r="A47" s="3" t="s">
        <v>145</v>
      </c>
      <c r="B47" s="3" t="s">
        <v>443</v>
      </c>
      <c r="C47" s="3" t="s">
        <v>1497</v>
      </c>
      <c r="D47" s="3" t="s">
        <v>443</v>
      </c>
      <c r="E47" s="3" t="str">
        <f t="shared" si="0"/>
        <v>UPDATE FORNECEDORES SET FILIAL_A_ENTREGAR = 'CD ARAQUARI', FILIAL_COBRANCA = 'MATRIZ', FILIAL_A_FATURAR = 'CD ARAQUARI' WHERE FORNECEDOR = 'ANDRIMALHAS'</v>
      </c>
    </row>
    <row r="48" spans="1:5" x14ac:dyDescent="0.25">
      <c r="A48" s="3" t="s">
        <v>146</v>
      </c>
      <c r="B48" s="3" t="s">
        <v>443</v>
      </c>
      <c r="C48" s="3" t="s">
        <v>1497</v>
      </c>
      <c r="D48" s="3" t="s">
        <v>443</v>
      </c>
      <c r="E48" s="3" t="str">
        <f t="shared" si="0"/>
        <v>UPDATE FORNECEDORES SET FILIAL_A_ENTREGAR = 'CD ARAQUARI', FILIAL_COBRANCA = 'MATRIZ', FILIAL_A_FATURAR = 'CD ARAQUARI' WHERE FORNECEDOR = 'ANDRITEX'</v>
      </c>
    </row>
    <row r="49" spans="1:5" x14ac:dyDescent="0.25">
      <c r="A49" s="3" t="s">
        <v>147</v>
      </c>
      <c r="B49" s="3" t="s">
        <v>1497</v>
      </c>
      <c r="C49" s="3" t="s">
        <v>1497</v>
      </c>
      <c r="D49" s="3" t="s">
        <v>1497</v>
      </c>
      <c r="E49" s="3" t="str">
        <f t="shared" si="0"/>
        <v>UPDATE FORNECEDORES SET FILIAL_A_ENTREGAR = 'MATRIZ', FILIAL_COBRANCA = 'MATRIZ', FILIAL_A_FATURAR = 'MATRIZ' WHERE FORNECEDOR = 'ANGELO C CAMBRAIA'</v>
      </c>
    </row>
    <row r="50" spans="1:5" x14ac:dyDescent="0.25">
      <c r="A50" s="3" t="s">
        <v>150</v>
      </c>
      <c r="B50" s="3" t="s">
        <v>2493</v>
      </c>
      <c r="C50" s="3" t="s">
        <v>2493</v>
      </c>
      <c r="D50" s="3" t="s">
        <v>2493</v>
      </c>
      <c r="E50" s="3" t="str">
        <f t="shared" si="0"/>
        <v>UPDATE FORNECEDORES SET FILIAL_A_ENTREGAR = 'AVANTI- ADM C.CREDITO', FILIAL_COBRANCA = 'AVANTI- ADM C.CREDITO', FILIAL_A_FATURAR = 'AVANTI- ADM C.CREDITO' WHERE FORNECEDOR = 'ANS- WORK SYSTEMS'</v>
      </c>
    </row>
    <row r="51" spans="1:5" x14ac:dyDescent="0.25">
      <c r="A51" s="3" t="s">
        <v>155</v>
      </c>
      <c r="B51" s="3" t="s">
        <v>1497</v>
      </c>
      <c r="C51" s="3" t="s">
        <v>1497</v>
      </c>
      <c r="D51" s="3" t="s">
        <v>1497</v>
      </c>
      <c r="E51" s="3" t="str">
        <f t="shared" si="0"/>
        <v>UPDATE FORNECEDORES SET FILIAL_A_ENTREGAR = 'MATRIZ', FILIAL_COBRANCA = 'MATRIZ', FILIAL_A_FATURAR = 'MATRIZ' WHERE FORNECEDOR = 'ANUNTIS BRASIL'</v>
      </c>
    </row>
    <row r="52" spans="1:5" x14ac:dyDescent="0.25">
      <c r="A52" s="3" t="s">
        <v>161</v>
      </c>
      <c r="B52" s="3" t="s">
        <v>2492</v>
      </c>
      <c r="C52" s="3" t="s">
        <v>2497</v>
      </c>
      <c r="D52" s="3" t="s">
        <v>2492</v>
      </c>
      <c r="E52" s="3" t="str">
        <f t="shared" si="0"/>
        <v>UPDATE FORNECEDORES SET FILIAL_A_ENTREGAR = 'CD REGIS', FILIAL_COBRANCA = 'TATUAPE', FILIAL_A_FATURAR = 'CD REGIS' WHERE FORNECEDOR = 'AQUARELLA TRICOT'</v>
      </c>
    </row>
    <row r="53" spans="1:5" x14ac:dyDescent="0.25">
      <c r="A53" s="3" t="s">
        <v>164</v>
      </c>
      <c r="B53" s="3" t="s">
        <v>2492</v>
      </c>
      <c r="C53" s="3" t="s">
        <v>1497</v>
      </c>
      <c r="D53" s="3" t="s">
        <v>2492</v>
      </c>
      <c r="E53" s="3" t="str">
        <f t="shared" si="0"/>
        <v>UPDATE FORNECEDORES SET FILIAL_A_ENTREGAR = 'CD REGIS', FILIAL_COBRANCA = 'MATRIZ', FILIAL_A_FATURAR = 'CD REGIS' WHERE FORNECEDOR = 'ARAGUAIA'</v>
      </c>
    </row>
    <row r="54" spans="1:5" x14ac:dyDescent="0.25">
      <c r="A54" s="3" t="s">
        <v>167</v>
      </c>
      <c r="B54" s="3" t="s">
        <v>2492</v>
      </c>
      <c r="C54" s="3" t="s">
        <v>2492</v>
      </c>
      <c r="D54" s="3" t="s">
        <v>2492</v>
      </c>
      <c r="E54" s="3" t="str">
        <f t="shared" si="0"/>
        <v>UPDATE FORNECEDORES SET FILIAL_A_ENTREGAR = 'CD REGIS', FILIAL_COBRANCA = 'CD REGIS', FILIAL_A_FATURAR = 'CD REGIS' WHERE FORNECEDOR = 'ARC DISPLAY EQUIPAMENTOS'</v>
      </c>
    </row>
    <row r="55" spans="1:5" x14ac:dyDescent="0.25">
      <c r="A55" s="3" t="s">
        <v>176</v>
      </c>
      <c r="B55" s="3" t="s">
        <v>2492</v>
      </c>
      <c r="C55" s="3" t="s">
        <v>2492</v>
      </c>
      <c r="D55" s="3" t="s">
        <v>2492</v>
      </c>
      <c r="E55" s="3" t="str">
        <f t="shared" si="0"/>
        <v>UPDATE FORNECEDORES SET FILIAL_A_ENTREGAR = 'CD REGIS', FILIAL_COBRANCA = 'CD REGIS', FILIAL_A_FATURAR = 'CD REGIS' WHERE FORNECEDOR = 'ARMAZEM DOS BRINDES LTDA.'</v>
      </c>
    </row>
    <row r="56" spans="1:5" x14ac:dyDescent="0.25">
      <c r="A56" s="3" t="s">
        <v>177</v>
      </c>
      <c r="B56" s="3" t="s">
        <v>2494</v>
      </c>
      <c r="C56" s="3" t="s">
        <v>2494</v>
      </c>
      <c r="D56" s="3" t="s">
        <v>2494</v>
      </c>
      <c r="E56" s="3" t="str">
        <f t="shared" si="0"/>
        <v>UPDATE FORNECEDORES SET FILIAL_A_ENTREGAR = 'ANPPLA', FILIAL_COBRANCA = 'ANPPLA', FILIAL_A_FATURAR = 'ANPPLA' WHERE FORNECEDOR = 'ARQUIMOVEL C/V DE IMOVEIS'</v>
      </c>
    </row>
    <row r="57" spans="1:5" x14ac:dyDescent="0.25">
      <c r="A57" s="3" t="s">
        <v>178</v>
      </c>
      <c r="B57" s="3" t="s">
        <v>2492</v>
      </c>
      <c r="C57" s="3" t="s">
        <v>1497</v>
      </c>
      <c r="D57" s="3" t="s">
        <v>2492</v>
      </c>
      <c r="E57" s="3" t="str">
        <f t="shared" si="0"/>
        <v>UPDATE FORNECEDORES SET FILIAL_A_ENTREGAR = 'CD REGIS', FILIAL_COBRANCA = 'MATRIZ', FILIAL_A_FATURAR = 'CD REGIS' WHERE FORNECEDOR = 'ARQUITETURA DO TRICO'</v>
      </c>
    </row>
    <row r="58" spans="1:5" x14ac:dyDescent="0.25">
      <c r="A58" s="3" t="s">
        <v>179</v>
      </c>
      <c r="B58" s="3" t="s">
        <v>444</v>
      </c>
      <c r="C58" s="3" t="s">
        <v>1497</v>
      </c>
      <c r="D58" s="3" t="s">
        <v>444</v>
      </c>
      <c r="E58" s="3" t="str">
        <f t="shared" si="0"/>
        <v>UPDATE FORNECEDORES SET FILIAL_A_ENTREGAR = 'CD NAVEGANTES', FILIAL_COBRANCA = 'MATRIZ', FILIAL_A_FATURAR = 'CD NAVEGANTES' WHERE FORNECEDOR = 'ARRAZANTTY FITNESS'</v>
      </c>
    </row>
    <row r="59" spans="1:5" x14ac:dyDescent="0.25">
      <c r="A59" s="3" t="s">
        <v>183</v>
      </c>
      <c r="B59" s="3" t="s">
        <v>1497</v>
      </c>
      <c r="C59" s="3" t="s">
        <v>1497</v>
      </c>
      <c r="D59" s="3" t="s">
        <v>1497</v>
      </c>
      <c r="E59" s="3" t="str">
        <f t="shared" si="0"/>
        <v>UPDATE FORNECEDORES SET FILIAL_A_ENTREGAR = 'MATRIZ', FILIAL_COBRANCA = 'MATRIZ', FILIAL_A_FATURAR = 'MATRIZ' WHERE FORNECEDOR = 'ART AR CONDICIONADO LTDA'</v>
      </c>
    </row>
    <row r="60" spans="1:5" x14ac:dyDescent="0.25">
      <c r="A60" s="3" t="s">
        <v>187</v>
      </c>
      <c r="B60" s="3" t="s">
        <v>2492</v>
      </c>
      <c r="C60" s="3" t="s">
        <v>1497</v>
      </c>
      <c r="D60" s="3" t="s">
        <v>2492</v>
      </c>
      <c r="E60" s="3" t="str">
        <f t="shared" si="0"/>
        <v>UPDATE FORNECEDORES SET FILIAL_A_ENTREGAR = 'CD REGIS', FILIAL_COBRANCA = 'MATRIZ', FILIAL_A_FATURAR = 'CD REGIS' WHERE FORNECEDOR = 'ART LIVRE'</v>
      </c>
    </row>
    <row r="61" spans="1:5" x14ac:dyDescent="0.25">
      <c r="A61" s="3" t="s">
        <v>189</v>
      </c>
      <c r="B61" s="3" t="s">
        <v>2492</v>
      </c>
      <c r="C61" s="3" t="s">
        <v>1497</v>
      </c>
      <c r="D61" s="3" t="s">
        <v>2492</v>
      </c>
      <c r="E61" s="3" t="str">
        <f t="shared" si="0"/>
        <v>UPDATE FORNECEDORES SET FILIAL_A_ENTREGAR = 'CD REGIS', FILIAL_COBRANCA = 'MATRIZ', FILIAL_A_FATURAR = 'CD REGIS' WHERE FORNECEDOR = 'ART STILLUS'</v>
      </c>
    </row>
    <row r="62" spans="1:5" x14ac:dyDescent="0.25">
      <c r="A62" s="3" t="s">
        <v>190</v>
      </c>
      <c r="B62" s="3" t="s">
        <v>2493</v>
      </c>
      <c r="C62" s="3" t="s">
        <v>2493</v>
      </c>
      <c r="D62" s="3" t="s">
        <v>2493</v>
      </c>
      <c r="E62" s="3" t="str">
        <f t="shared" si="0"/>
        <v>UPDATE FORNECEDORES SET FILIAL_A_ENTREGAR = 'AVANTI- ADM C.CREDITO', FILIAL_COBRANCA = 'AVANTI- ADM C.CREDITO', FILIAL_A_FATURAR = 'AVANTI- ADM C.CREDITO' WHERE FORNECEDOR = 'ARTAR SERVIÇOS E MANUT'</v>
      </c>
    </row>
    <row r="63" spans="1:5" x14ac:dyDescent="0.25">
      <c r="A63" s="3" t="s">
        <v>194</v>
      </c>
      <c r="B63" s="3" t="s">
        <v>1497</v>
      </c>
      <c r="C63" s="3" t="s">
        <v>1497</v>
      </c>
      <c r="D63" s="3" t="s">
        <v>1497</v>
      </c>
      <c r="E63" s="3" t="str">
        <f t="shared" si="0"/>
        <v>UPDATE FORNECEDORES SET FILIAL_A_ENTREGAR = 'MATRIZ', FILIAL_COBRANCA = 'MATRIZ', FILIAL_A_FATURAR = 'MATRIZ' WHERE FORNECEDOR = 'ARTEFATOS DE CIMENTO'</v>
      </c>
    </row>
    <row r="64" spans="1:5" x14ac:dyDescent="0.25">
      <c r="A64" s="3" t="s">
        <v>196</v>
      </c>
      <c r="B64" s="3" t="s">
        <v>2498</v>
      </c>
      <c r="C64" s="3" t="s">
        <v>2498</v>
      </c>
      <c r="D64" s="3" t="s">
        <v>2498</v>
      </c>
      <c r="E64" s="3" t="str">
        <f t="shared" si="0"/>
        <v>UPDATE FORNECEDORES SET FILIAL_A_ENTREGAR = 'SP - PARI', FILIAL_COBRANCA = 'SP - PARI', FILIAL_A_FATURAR = 'SP - PARI' WHERE FORNECEDOR = 'ARTHUS PROMOÇÕES'</v>
      </c>
    </row>
    <row r="65" spans="1:5" x14ac:dyDescent="0.25">
      <c r="A65" s="3" t="s">
        <v>199</v>
      </c>
      <c r="B65" s="3" t="s">
        <v>2492</v>
      </c>
      <c r="C65" s="3" t="s">
        <v>1497</v>
      </c>
      <c r="D65" s="3" t="s">
        <v>2492</v>
      </c>
      <c r="E65" s="3" t="str">
        <f t="shared" si="0"/>
        <v>UPDATE FORNECEDORES SET FILIAL_A_ENTREGAR = 'CD REGIS', FILIAL_COBRANCA = 'MATRIZ', FILIAL_A_FATURAR = 'CD REGIS' WHERE FORNECEDOR = 'ARVORES E SEUS FRUTOS 2'</v>
      </c>
    </row>
    <row r="66" spans="1:5" x14ac:dyDescent="0.25">
      <c r="A66" s="3" t="s">
        <v>202</v>
      </c>
      <c r="B66" s="3" t="s">
        <v>1497</v>
      </c>
      <c r="C66" s="3" t="s">
        <v>1497</v>
      </c>
      <c r="D66" s="3" t="s">
        <v>1497</v>
      </c>
      <c r="E66" s="3" t="str">
        <f t="shared" si="0"/>
        <v>UPDATE FORNECEDORES SET FILIAL_A_ENTREGAR = 'MATRIZ', FILIAL_COBRANCA = 'MATRIZ', FILIAL_A_FATURAR = 'MATRIZ' WHERE FORNECEDOR = 'ASIA SISTEMAS DE INFORM.'</v>
      </c>
    </row>
    <row r="67" spans="1:5" x14ac:dyDescent="0.25">
      <c r="A67" s="3" t="s">
        <v>203</v>
      </c>
      <c r="B67" s="3" t="s">
        <v>1497</v>
      </c>
      <c r="C67" s="3" t="s">
        <v>1497</v>
      </c>
      <c r="D67" s="3" t="s">
        <v>1497</v>
      </c>
      <c r="E67" s="3" t="str">
        <f t="shared" si="0"/>
        <v>UPDATE FORNECEDORES SET FILIAL_A_ENTREGAR = 'MATRIZ', FILIAL_COBRANCA = 'MATRIZ', FILIAL_A_FATURAR = 'MATRIZ' WHERE FORNECEDOR = 'ASPEC SERVIÇOS COMERCIAIS'</v>
      </c>
    </row>
    <row r="68" spans="1:5" x14ac:dyDescent="0.25">
      <c r="A68" s="3" t="s">
        <v>207</v>
      </c>
      <c r="B68" s="3" t="s">
        <v>2492</v>
      </c>
      <c r="C68" s="3" t="s">
        <v>1497</v>
      </c>
      <c r="D68" s="3" t="s">
        <v>2492</v>
      </c>
      <c r="E68" s="3" t="str">
        <f t="shared" si="0"/>
        <v>UPDATE FORNECEDORES SET FILIAL_A_ENTREGAR = 'CD REGIS', FILIAL_COBRANCA = 'MATRIZ', FILIAL_A_FATURAR = 'CD REGIS' WHERE FORNECEDOR = 'ATELIE'</v>
      </c>
    </row>
    <row r="69" spans="1:5" x14ac:dyDescent="0.25">
      <c r="A69" s="3" t="s">
        <v>208</v>
      </c>
      <c r="B69" s="3" t="s">
        <v>2492</v>
      </c>
      <c r="C69" s="3" t="s">
        <v>1497</v>
      </c>
      <c r="D69" s="3" t="s">
        <v>2492</v>
      </c>
      <c r="E69" s="3" t="str">
        <f t="shared" ref="E69:E132" si="1">"UPDATE FORNECEDORES SET FILIAL_A_ENTREGAR = '"&amp;B69&amp;"', FILIAL_COBRANCA = '"&amp;C69&amp;"', FILIAL_A_FATURAR = '"&amp;D69&amp;"' WHERE FORNECEDOR = '"&amp;A69&amp;"'"</f>
        <v>UPDATE FORNECEDORES SET FILIAL_A_ENTREGAR = 'CD REGIS', FILIAL_COBRANCA = 'MATRIZ', FILIAL_A_FATURAR = 'CD REGIS' WHERE FORNECEDOR = 'ATELIE CINTOS'</v>
      </c>
    </row>
    <row r="70" spans="1:5" x14ac:dyDescent="0.25">
      <c r="A70" s="3" t="s">
        <v>212</v>
      </c>
      <c r="B70" s="3" t="s">
        <v>2492</v>
      </c>
      <c r="C70" s="3" t="s">
        <v>2497</v>
      </c>
      <c r="D70" s="3" t="s">
        <v>2492</v>
      </c>
      <c r="E70" s="3" t="str">
        <f t="shared" si="1"/>
        <v>UPDATE FORNECEDORES SET FILIAL_A_ENTREGAR = 'CD REGIS', FILIAL_COBRANCA = 'TATUAPE', FILIAL_A_FATURAR = 'CD REGIS' WHERE FORNECEDOR = 'ATUAL MODAS'</v>
      </c>
    </row>
    <row r="71" spans="1:5" x14ac:dyDescent="0.25">
      <c r="A71" s="3" t="s">
        <v>216</v>
      </c>
      <c r="B71" s="3" t="s">
        <v>1497</v>
      </c>
      <c r="C71" s="3" t="s">
        <v>1497</v>
      </c>
      <c r="D71" s="3" t="s">
        <v>1497</v>
      </c>
      <c r="E71" s="3" t="str">
        <f t="shared" si="1"/>
        <v>UPDATE FORNECEDORES SET FILIAL_A_ENTREGAR = 'MATRIZ', FILIAL_COBRANCA = 'MATRIZ', FILIAL_A_FATURAR = 'MATRIZ' WHERE FORNECEDOR = 'AUTO POSTO CANINDE'</v>
      </c>
    </row>
    <row r="72" spans="1:5" x14ac:dyDescent="0.25">
      <c r="A72" s="3" t="s">
        <v>217</v>
      </c>
      <c r="B72" s="3" t="s">
        <v>1497</v>
      </c>
      <c r="C72" s="3" t="s">
        <v>1497</v>
      </c>
      <c r="D72" s="3" t="s">
        <v>1497</v>
      </c>
      <c r="E72" s="3" t="str">
        <f t="shared" si="1"/>
        <v>UPDATE FORNECEDORES SET FILIAL_A_ENTREGAR = 'MATRIZ', FILIAL_COBRANCA = 'MATRIZ', FILIAL_A_FATURAR = 'MATRIZ' WHERE FORNECEDOR = 'AUTO POSTO HAVAI LTDA'</v>
      </c>
    </row>
    <row r="73" spans="1:5" x14ac:dyDescent="0.25">
      <c r="A73" s="3" t="s">
        <v>218</v>
      </c>
      <c r="B73" s="3" t="s">
        <v>2518</v>
      </c>
      <c r="C73" s="3" t="s">
        <v>2518</v>
      </c>
      <c r="D73" s="3" t="s">
        <v>2518</v>
      </c>
      <c r="E73" s="3" t="str">
        <f t="shared" si="1"/>
        <v>UPDATE FORNECEDORES SET FILIAL_A_ENTREGAR = 'CD EMBU', FILIAL_COBRANCA = 'CD EMBU', FILIAL_A_FATURAR = 'CD EMBU' WHERE FORNECEDOR = 'AUTO POSTO SOLUÇÃO'</v>
      </c>
    </row>
    <row r="74" spans="1:5" x14ac:dyDescent="0.25">
      <c r="A74" s="3" t="s">
        <v>222</v>
      </c>
      <c r="B74" s="3" t="s">
        <v>2492</v>
      </c>
      <c r="C74" s="3" t="s">
        <v>1497</v>
      </c>
      <c r="D74" s="3" t="s">
        <v>2492</v>
      </c>
      <c r="E74" s="3" t="str">
        <f t="shared" si="1"/>
        <v>UPDATE FORNECEDORES SET FILIAL_A_ENTREGAR = 'CD REGIS', FILIAL_COBRANCA = 'MATRIZ', FILIAL_A_FATURAR = 'CD REGIS' WHERE FORNECEDOR = 'AYLANA'</v>
      </c>
    </row>
    <row r="75" spans="1:5" x14ac:dyDescent="0.25">
      <c r="A75" s="3" t="s">
        <v>232</v>
      </c>
      <c r="B75" s="3" t="s">
        <v>2492</v>
      </c>
      <c r="C75" s="3" t="s">
        <v>1497</v>
      </c>
      <c r="D75" s="3" t="s">
        <v>2492</v>
      </c>
      <c r="E75" s="3" t="str">
        <f t="shared" si="1"/>
        <v>UPDATE FORNECEDORES SET FILIAL_A_ENTREGAR = 'CD REGIS', FILIAL_COBRANCA = 'MATRIZ', FILIAL_A_FATURAR = 'CD REGIS' WHERE FORNECEDOR = 'B76 (2)'</v>
      </c>
    </row>
    <row r="76" spans="1:5" x14ac:dyDescent="0.25">
      <c r="A76" s="3" t="s">
        <v>234</v>
      </c>
      <c r="B76" s="3" t="s">
        <v>2492</v>
      </c>
      <c r="C76" s="3" t="s">
        <v>1497</v>
      </c>
      <c r="D76" s="3" t="s">
        <v>2492</v>
      </c>
      <c r="E76" s="3" t="str">
        <f t="shared" si="1"/>
        <v>UPDATE FORNECEDORES SET FILIAL_A_ENTREGAR = 'CD REGIS', FILIAL_COBRANCA = 'MATRIZ', FILIAL_A_FATURAR = 'CD REGIS' WHERE FORNECEDOR = 'BABILÔNIA'</v>
      </c>
    </row>
    <row r="77" spans="1:5" x14ac:dyDescent="0.25">
      <c r="A77" s="3" t="s">
        <v>237</v>
      </c>
      <c r="B77" s="3" t="s">
        <v>2492</v>
      </c>
      <c r="C77" s="3" t="s">
        <v>2497</v>
      </c>
      <c r="D77" s="3" t="s">
        <v>2492</v>
      </c>
      <c r="E77" s="3" t="str">
        <f t="shared" si="1"/>
        <v>UPDATE FORNECEDORES SET FILIAL_A_ENTREGAR = 'CD REGIS', FILIAL_COBRANCA = 'TATUAPE', FILIAL_A_FATURAR = 'CD REGIS' WHERE FORNECEDOR = 'BAG STYLE'</v>
      </c>
    </row>
    <row r="78" spans="1:5" x14ac:dyDescent="0.25">
      <c r="A78" s="3" t="s">
        <v>238</v>
      </c>
      <c r="B78" s="3" t="s">
        <v>2492</v>
      </c>
      <c r="C78" s="3" t="s">
        <v>2492</v>
      </c>
      <c r="D78" s="3" t="s">
        <v>2492</v>
      </c>
      <c r="E78" s="3" t="str">
        <f t="shared" si="1"/>
        <v>UPDATE FORNECEDORES SET FILIAL_A_ENTREGAR = 'CD REGIS', FILIAL_COBRANCA = 'CD REGIS', FILIAL_A_FATURAR = 'CD REGIS' WHERE FORNECEDOR = 'BAGDAD COM DE BALÕES'</v>
      </c>
    </row>
    <row r="79" spans="1:5" x14ac:dyDescent="0.25">
      <c r="A79" s="3" t="s">
        <v>239</v>
      </c>
      <c r="B79" s="3" t="s">
        <v>2492</v>
      </c>
      <c r="C79" s="3" t="s">
        <v>1497</v>
      </c>
      <c r="D79" s="3" t="s">
        <v>2492</v>
      </c>
      <c r="E79" s="3" t="str">
        <f t="shared" si="1"/>
        <v>UPDATE FORNECEDORES SET FILIAL_A_ENTREGAR = 'CD REGIS', FILIAL_COBRANCA = 'MATRIZ', FILIAL_A_FATURAR = 'CD REGIS' WHERE FORNECEDOR = 'BAGSTILL COMERCIO'</v>
      </c>
    </row>
    <row r="80" spans="1:5" x14ac:dyDescent="0.25">
      <c r="A80" s="3" t="s">
        <v>233</v>
      </c>
      <c r="B80" s="3" t="s">
        <v>2492</v>
      </c>
      <c r="C80" s="3" t="s">
        <v>2497</v>
      </c>
      <c r="D80" s="3" t="s">
        <v>2492</v>
      </c>
      <c r="E80" s="3" t="str">
        <f t="shared" si="1"/>
        <v>UPDATE FORNECEDORES SET FILIAL_A_ENTREGAR = 'CD REGIS', FILIAL_COBRANCA = 'TATUAPE', FILIAL_A_FATURAR = 'CD REGIS' WHERE FORNECEDOR = 'BA-KOS'</v>
      </c>
    </row>
    <row r="81" spans="1:5" x14ac:dyDescent="0.25">
      <c r="A81" s="3" t="s">
        <v>240</v>
      </c>
      <c r="B81" s="3" t="s">
        <v>2492</v>
      </c>
      <c r="C81" s="3" t="s">
        <v>1497</v>
      </c>
      <c r="D81" s="3" t="s">
        <v>2492</v>
      </c>
      <c r="E81" s="3" t="str">
        <f t="shared" si="1"/>
        <v>UPDATE FORNECEDORES SET FILIAL_A_ENTREGAR = 'CD REGIS', FILIAL_COBRANCA = 'MATRIZ', FILIAL_A_FATURAR = 'CD REGIS' WHERE FORNECEDOR = 'BALBOA'</v>
      </c>
    </row>
    <row r="82" spans="1:5" x14ac:dyDescent="0.25">
      <c r="A82" s="3" t="s">
        <v>241</v>
      </c>
      <c r="B82" s="3" t="s">
        <v>2498</v>
      </c>
      <c r="C82" s="3" t="s">
        <v>2498</v>
      </c>
      <c r="D82" s="3" t="s">
        <v>2498</v>
      </c>
      <c r="E82" s="3" t="str">
        <f t="shared" si="1"/>
        <v>UPDATE FORNECEDORES SET FILIAL_A_ENTREGAR = 'SP - PARI', FILIAL_COBRANCA = 'SP - PARI', FILIAL_A_FATURAR = 'SP - PARI' WHERE FORNECEDOR = 'BAM COM DE SERV LTDA'</v>
      </c>
    </row>
    <row r="83" spans="1:5" x14ac:dyDescent="0.25">
      <c r="A83" s="3" t="s">
        <v>248</v>
      </c>
      <c r="B83" s="3" t="s">
        <v>2498</v>
      </c>
      <c r="C83" s="3" t="s">
        <v>2498</v>
      </c>
      <c r="D83" s="3" t="s">
        <v>2498</v>
      </c>
      <c r="E83" s="3" t="str">
        <f t="shared" si="1"/>
        <v>UPDATE FORNECEDORES SET FILIAL_A_ENTREGAR = 'SP - PARI', FILIAL_COBRANCA = 'SP - PARI', FILIAL_A_FATURAR = 'SP - PARI' WHERE FORNECEDOR = 'BASE E RECURSOS HUMANOS'</v>
      </c>
    </row>
    <row r="84" spans="1:5" x14ac:dyDescent="0.25">
      <c r="A84" s="3" t="s">
        <v>249</v>
      </c>
      <c r="B84" s="3" t="s">
        <v>2492</v>
      </c>
      <c r="C84" s="3" t="s">
        <v>2497</v>
      </c>
      <c r="D84" s="3" t="s">
        <v>2492</v>
      </c>
      <c r="E84" s="3" t="str">
        <f t="shared" si="1"/>
        <v>UPDATE FORNECEDORES SET FILIAL_A_ENTREGAR = 'CD REGIS', FILIAL_COBRANCA = 'TATUAPE', FILIAL_A_FATURAR = 'CD REGIS' WHERE FORNECEDOR = 'BASE URBANA'</v>
      </c>
    </row>
    <row r="85" spans="1:5" x14ac:dyDescent="0.25">
      <c r="A85" s="3" t="s">
        <v>252</v>
      </c>
      <c r="B85" s="3" t="s">
        <v>2492</v>
      </c>
      <c r="C85" s="3" t="s">
        <v>2497</v>
      </c>
      <c r="D85" s="3" t="s">
        <v>2492</v>
      </c>
      <c r="E85" s="3" t="str">
        <f t="shared" si="1"/>
        <v>UPDATE FORNECEDORES SET FILIAL_A_ENTREGAR = 'CD REGIS', FILIAL_COBRANCA = 'TATUAPE', FILIAL_A_FATURAR = 'CD REGIS' WHERE FORNECEDOR = 'BASICA LINDA 1'</v>
      </c>
    </row>
    <row r="86" spans="1:5" x14ac:dyDescent="0.25">
      <c r="A86" s="3" t="s">
        <v>256</v>
      </c>
      <c r="B86" s="3" t="s">
        <v>2498</v>
      </c>
      <c r="C86" s="3" t="s">
        <v>2498</v>
      </c>
      <c r="D86" s="3" t="s">
        <v>2498</v>
      </c>
      <c r="E86" s="3" t="str">
        <f t="shared" si="1"/>
        <v>UPDATE FORNECEDORES SET FILIAL_A_ENTREGAR = 'SP - PARI', FILIAL_COBRANCA = 'SP - PARI', FILIAL_A_FATURAR = 'SP - PARI' WHERE FORNECEDOR = 'BBC ENGENHARIA'</v>
      </c>
    </row>
    <row r="87" spans="1:5" x14ac:dyDescent="0.25">
      <c r="A87" s="3" t="s">
        <v>257</v>
      </c>
      <c r="B87" s="3" t="s">
        <v>2492</v>
      </c>
      <c r="C87" s="3" t="s">
        <v>1497</v>
      </c>
      <c r="D87" s="3" t="s">
        <v>2492</v>
      </c>
      <c r="E87" s="3" t="str">
        <f t="shared" si="1"/>
        <v>UPDATE FORNECEDORES SET FILIAL_A_ENTREGAR = 'CD REGIS', FILIAL_COBRANCA = 'MATRIZ', FILIAL_A_FATURAR = 'CD REGIS' WHERE FORNECEDOR = 'BBC MALHAS'</v>
      </c>
    </row>
    <row r="88" spans="1:5" x14ac:dyDescent="0.25">
      <c r="A88" s="3" t="s">
        <v>260</v>
      </c>
      <c r="B88" s="3" t="s">
        <v>444</v>
      </c>
      <c r="C88" s="3" t="s">
        <v>1497</v>
      </c>
      <c r="D88" s="3" t="s">
        <v>444</v>
      </c>
      <c r="E88" s="3" t="str">
        <f t="shared" si="1"/>
        <v>UPDATE FORNECEDORES SET FILIAL_A_ENTREGAR = 'CD NAVEGANTES', FILIAL_COBRANCA = 'MATRIZ', FILIAL_A_FATURAR = 'CD NAVEGANTES' WHERE FORNECEDOR = 'BEACH &amp; COUNTRY'</v>
      </c>
    </row>
    <row r="89" spans="1:5" x14ac:dyDescent="0.25">
      <c r="A89" s="3" t="s">
        <v>265</v>
      </c>
      <c r="B89" s="3" t="s">
        <v>444</v>
      </c>
      <c r="C89" s="3" t="s">
        <v>1497</v>
      </c>
      <c r="D89" s="3" t="s">
        <v>444</v>
      </c>
      <c r="E89" s="3" t="str">
        <f t="shared" si="1"/>
        <v>UPDATE FORNECEDORES SET FILIAL_A_ENTREGAR = 'CD NAVEGANTES', FILIAL_COBRANCA = 'MATRIZ', FILIAL_A_FATURAR = 'CD NAVEGANTES' WHERE FORNECEDOR = 'BEAUTY(ONEIDE CONFECCOES)'</v>
      </c>
    </row>
    <row r="90" spans="1:5" x14ac:dyDescent="0.25">
      <c r="A90" s="3" t="s">
        <v>271</v>
      </c>
      <c r="B90" s="3" t="s">
        <v>2492</v>
      </c>
      <c r="C90" s="3" t="s">
        <v>1497</v>
      </c>
      <c r="D90" s="3" t="s">
        <v>2492</v>
      </c>
      <c r="E90" s="3" t="str">
        <f t="shared" si="1"/>
        <v>UPDATE FORNECEDORES SET FILIAL_A_ENTREGAR = 'CD REGIS', FILIAL_COBRANCA = 'MATRIZ', FILIAL_A_FATURAR = 'CD REGIS' WHERE FORNECEDOR = 'BELA BILU'</v>
      </c>
    </row>
    <row r="91" spans="1:5" x14ac:dyDescent="0.25">
      <c r="A91" s="3" t="s">
        <v>274</v>
      </c>
      <c r="B91" s="3" t="s">
        <v>2492</v>
      </c>
      <c r="C91" s="3" t="s">
        <v>2492</v>
      </c>
      <c r="D91" s="3" t="s">
        <v>2492</v>
      </c>
      <c r="E91" s="3" t="str">
        <f t="shared" si="1"/>
        <v>UPDATE FORNECEDORES SET FILIAL_A_ENTREGAR = 'CD REGIS', FILIAL_COBRANCA = 'CD REGIS', FILIAL_A_FATURAR = 'CD REGIS' WHERE FORNECEDOR = 'BELA VISUAL'</v>
      </c>
    </row>
    <row r="92" spans="1:5" x14ac:dyDescent="0.25">
      <c r="A92" s="3" t="s">
        <v>276</v>
      </c>
      <c r="B92" s="3" t="s">
        <v>2492</v>
      </c>
      <c r="C92" s="3" t="s">
        <v>2497</v>
      </c>
      <c r="D92" s="3" t="s">
        <v>2492</v>
      </c>
      <c r="E92" s="3" t="str">
        <f t="shared" si="1"/>
        <v>UPDATE FORNECEDORES SET FILIAL_A_ENTREGAR = 'CD REGIS', FILIAL_COBRANCA = 'TATUAPE', FILIAL_A_FATURAR = 'CD REGIS' WHERE FORNECEDOR = 'BELCORPO LINGERIE'</v>
      </c>
    </row>
    <row r="93" spans="1:5" x14ac:dyDescent="0.25">
      <c r="A93" s="3" t="s">
        <v>277</v>
      </c>
      <c r="B93" s="3" t="s">
        <v>2492</v>
      </c>
      <c r="C93" s="3" t="s">
        <v>1497</v>
      </c>
      <c r="D93" s="3" t="s">
        <v>2492</v>
      </c>
      <c r="E93" s="3" t="str">
        <f t="shared" si="1"/>
        <v>UPDATE FORNECEDORES SET FILIAL_A_ENTREGAR = 'CD REGIS', FILIAL_COBRANCA = 'MATRIZ', FILIAL_A_FATURAR = 'CD REGIS' WHERE FORNECEDOR = 'BELLA SEDA'</v>
      </c>
    </row>
    <row r="94" spans="1:5" x14ac:dyDescent="0.25">
      <c r="A94" s="3" t="s">
        <v>278</v>
      </c>
      <c r="B94" s="3" t="s">
        <v>2501</v>
      </c>
      <c r="C94" s="3" t="s">
        <v>2501</v>
      </c>
      <c r="D94" s="3" t="s">
        <v>2501</v>
      </c>
      <c r="E94" s="3" t="str">
        <f t="shared" si="1"/>
        <v>UPDATE FORNECEDORES SET FILIAL_A_ENTREGAR = 'IPIRANGA', FILIAL_COBRANCA = 'IPIRANGA', FILIAL_A_FATURAR = 'IPIRANGA' WHERE FORNECEDOR = 'BELLO PARKING'</v>
      </c>
    </row>
    <row r="95" spans="1:5" x14ac:dyDescent="0.25">
      <c r="A95" s="3" t="s">
        <v>279</v>
      </c>
      <c r="B95" s="3" t="s">
        <v>2503</v>
      </c>
      <c r="C95" s="3" t="s">
        <v>2503</v>
      </c>
      <c r="D95" s="3" t="s">
        <v>2503</v>
      </c>
      <c r="E95" s="3" t="str">
        <f t="shared" si="1"/>
        <v>UPDATE FORNECEDORES SET FILIAL_A_ENTREGAR = 'SAO BERNARDO', FILIAL_COBRANCA = 'SAO BERNARDO', FILIAL_A_FATURAR = 'SAO BERNARDO' WHERE FORNECEDOR = 'BEMATECH'</v>
      </c>
    </row>
    <row r="96" spans="1:5" x14ac:dyDescent="0.25">
      <c r="A96" s="3" t="s">
        <v>293</v>
      </c>
      <c r="B96" s="3" t="s">
        <v>2519</v>
      </c>
      <c r="C96" s="3" t="s">
        <v>2519</v>
      </c>
      <c r="D96" s="3" t="s">
        <v>2519</v>
      </c>
      <c r="E96" s="3" t="str">
        <f t="shared" si="1"/>
        <v>UPDATE FORNECEDORES SET FILIAL_A_ENTREGAR = 'CIDADE TIRADENTES', FILIAL_COBRANCA = 'CIDADE TIRADENTES', FILIAL_A_FATURAR = 'CIDADE TIRADENTES' WHERE FORNECEDOR = 'BETON GEOTECH'</v>
      </c>
    </row>
    <row r="97" spans="1:5" x14ac:dyDescent="0.25">
      <c r="A97" s="3" t="s">
        <v>294</v>
      </c>
      <c r="B97" s="3" t="s">
        <v>2492</v>
      </c>
      <c r="C97" s="3" t="s">
        <v>1497</v>
      </c>
      <c r="D97" s="3" t="s">
        <v>2492</v>
      </c>
      <c r="E97" s="3" t="str">
        <f t="shared" si="1"/>
        <v>UPDATE FORNECEDORES SET FILIAL_A_ENTREGAR = 'CD REGIS', FILIAL_COBRANCA = 'MATRIZ', FILIAL_A_FATURAR = 'CD REGIS' WHERE FORNECEDOR = 'BEWAY'</v>
      </c>
    </row>
    <row r="98" spans="1:5" x14ac:dyDescent="0.25">
      <c r="A98" s="3" t="s">
        <v>300</v>
      </c>
      <c r="B98" s="3" t="s">
        <v>2492</v>
      </c>
      <c r="C98" s="3" t="s">
        <v>1497</v>
      </c>
      <c r="D98" s="3" t="s">
        <v>2492</v>
      </c>
      <c r="E98" s="3" t="str">
        <f t="shared" si="1"/>
        <v>UPDATE FORNECEDORES SET FILIAL_A_ENTREGAR = 'CD REGIS', FILIAL_COBRANCA = 'MATRIZ', FILIAL_A_FATURAR = 'CD REGIS' WHERE FORNECEDOR = 'BIELZINHO'</v>
      </c>
    </row>
    <row r="99" spans="1:5" x14ac:dyDescent="0.25">
      <c r="A99" s="3" t="s">
        <v>306</v>
      </c>
      <c r="B99" s="3" t="s">
        <v>443</v>
      </c>
      <c r="C99" s="3" t="s">
        <v>1497</v>
      </c>
      <c r="D99" s="3" t="s">
        <v>443</v>
      </c>
      <c r="E99" s="3" t="str">
        <f t="shared" si="1"/>
        <v>UPDATE FORNECEDORES SET FILIAL_A_ENTREGAR = 'CD ARAQUARI', FILIAL_COBRANCA = 'MATRIZ', FILIAL_A_FATURAR = 'CD ARAQUARI' WHERE FORNECEDOR = 'BIG STAR'</v>
      </c>
    </row>
    <row r="100" spans="1:5" x14ac:dyDescent="0.25">
      <c r="A100" s="3" t="s">
        <v>309</v>
      </c>
      <c r="B100" s="3" t="s">
        <v>2492</v>
      </c>
      <c r="C100" s="3" t="s">
        <v>1497</v>
      </c>
      <c r="D100" s="3" t="s">
        <v>2492</v>
      </c>
      <c r="E100" s="3" t="str">
        <f t="shared" si="1"/>
        <v>UPDATE FORNECEDORES SET FILIAL_A_ENTREGAR = 'CD REGIS', FILIAL_COBRANCA = 'MATRIZ', FILIAL_A_FATURAR = 'CD REGIS' WHERE FORNECEDOR = 'BILU NEW'</v>
      </c>
    </row>
    <row r="101" spans="1:5" x14ac:dyDescent="0.25">
      <c r="A101" s="3" t="s">
        <v>310</v>
      </c>
      <c r="B101" s="3" t="s">
        <v>444</v>
      </c>
      <c r="C101" s="3" t="s">
        <v>1497</v>
      </c>
      <c r="D101" s="3" t="s">
        <v>444</v>
      </c>
      <c r="E101" s="3" t="str">
        <f t="shared" si="1"/>
        <v>UPDATE FORNECEDORES SET FILIAL_A_ENTREGAR = 'CD NAVEGANTES', FILIAL_COBRANCA = 'MATRIZ', FILIAL_A_FATURAR = 'CD NAVEGANTES' WHERE FORNECEDOR = 'BIMBUS'</v>
      </c>
    </row>
    <row r="102" spans="1:5" x14ac:dyDescent="0.25">
      <c r="A102" s="3" t="s">
        <v>312</v>
      </c>
      <c r="B102" s="3" t="s">
        <v>2492</v>
      </c>
      <c r="C102" s="3" t="s">
        <v>1497</v>
      </c>
      <c r="D102" s="3" t="s">
        <v>2492</v>
      </c>
      <c r="E102" s="3" t="str">
        <f t="shared" si="1"/>
        <v>UPDATE FORNECEDORES SET FILIAL_A_ENTREGAR = 'CD REGIS', FILIAL_COBRANCA = 'MATRIZ', FILIAL_A_FATURAR = 'CD REGIS' WHERE FORNECEDOR = 'BIOBA'</v>
      </c>
    </row>
    <row r="103" spans="1:5" x14ac:dyDescent="0.25">
      <c r="A103" s="3" t="s">
        <v>315</v>
      </c>
      <c r="B103" s="3" t="s">
        <v>2492</v>
      </c>
      <c r="C103" s="3" t="s">
        <v>1497</v>
      </c>
      <c r="D103" s="3" t="s">
        <v>2492</v>
      </c>
      <c r="E103" s="3" t="str">
        <f t="shared" si="1"/>
        <v>UPDATE FORNECEDORES SET FILIAL_A_ENTREGAR = 'CD REGIS', FILIAL_COBRANCA = 'MATRIZ', FILIAL_A_FATURAR = 'CD REGIS' WHERE FORNECEDOR = 'BIOTIPO'</v>
      </c>
    </row>
    <row r="104" spans="1:5" x14ac:dyDescent="0.25">
      <c r="A104" s="3" t="s">
        <v>323</v>
      </c>
      <c r="B104" s="3" t="s">
        <v>2492</v>
      </c>
      <c r="C104" s="3" t="s">
        <v>2497</v>
      </c>
      <c r="D104" s="3" t="s">
        <v>2492</v>
      </c>
      <c r="E104" s="3" t="str">
        <f t="shared" si="1"/>
        <v>UPDATE FORNECEDORES SET FILIAL_A_ENTREGAR = 'CD REGIS', FILIAL_COBRANCA = 'TATUAPE', FILIAL_A_FATURAR = 'CD REGIS' WHERE FORNECEDOR = 'BLUE BAY'</v>
      </c>
    </row>
    <row r="105" spans="1:5" x14ac:dyDescent="0.25">
      <c r="A105" s="3" t="s">
        <v>327</v>
      </c>
      <c r="B105" s="3" t="s">
        <v>2493</v>
      </c>
      <c r="C105" s="3" t="s">
        <v>2493</v>
      </c>
      <c r="D105" s="3" t="s">
        <v>2493</v>
      </c>
      <c r="E105" s="3" t="str">
        <f t="shared" si="1"/>
        <v>UPDATE FORNECEDORES SET FILIAL_A_ENTREGAR = 'AVANTI- ADM C.CREDITO', FILIAL_COBRANCA = 'AVANTI- ADM C.CREDITO', FILIAL_A_FATURAR = 'AVANTI- ADM C.CREDITO' WHERE FORNECEDOR = 'BOA VISTA SERVIÇOS S/A'</v>
      </c>
    </row>
    <row r="106" spans="1:5" x14ac:dyDescent="0.25">
      <c r="A106" s="3" t="s">
        <v>336</v>
      </c>
      <c r="B106" s="3" t="s">
        <v>2492</v>
      </c>
      <c r="C106" s="3" t="s">
        <v>2497</v>
      </c>
      <c r="D106" s="3" t="s">
        <v>2492</v>
      </c>
      <c r="E106" s="3" t="str">
        <f t="shared" si="1"/>
        <v>UPDATE FORNECEDORES SET FILIAL_A_ENTREGAR = 'CD REGIS', FILIAL_COBRANCA = 'TATUAPE', FILIAL_A_FATURAR = 'CD REGIS' WHERE FORNECEDOR = 'BOKKER'</v>
      </c>
    </row>
    <row r="107" spans="1:5" x14ac:dyDescent="0.25">
      <c r="A107" s="3" t="s">
        <v>339</v>
      </c>
      <c r="B107" s="3" t="s">
        <v>2492</v>
      </c>
      <c r="C107" s="3" t="s">
        <v>2497</v>
      </c>
      <c r="D107" s="3" t="s">
        <v>2492</v>
      </c>
      <c r="E107" s="3" t="str">
        <f t="shared" si="1"/>
        <v>UPDATE FORNECEDORES SET FILIAL_A_ENTREGAR = 'CD REGIS', FILIAL_COBRANCA = 'TATUAPE', FILIAL_A_FATURAR = 'CD REGIS' WHERE FORNECEDOR = 'BONELESKA'</v>
      </c>
    </row>
    <row r="108" spans="1:5" x14ac:dyDescent="0.25">
      <c r="A108" s="3" t="s">
        <v>340</v>
      </c>
      <c r="B108" s="3" t="s">
        <v>2492</v>
      </c>
      <c r="C108" s="3" t="s">
        <v>1497</v>
      </c>
      <c r="D108" s="3" t="s">
        <v>2492</v>
      </c>
      <c r="E108" s="3" t="str">
        <f t="shared" si="1"/>
        <v>UPDATE FORNECEDORES SET FILIAL_A_ENTREGAR = 'CD REGIS', FILIAL_COBRANCA = 'MATRIZ', FILIAL_A_FATURAR = 'CD REGIS' WHERE FORNECEDOR = 'BONELESKA BONES'</v>
      </c>
    </row>
    <row r="109" spans="1:5" x14ac:dyDescent="0.25">
      <c r="A109" s="3" t="s">
        <v>341</v>
      </c>
      <c r="B109" s="3" t="s">
        <v>2492</v>
      </c>
      <c r="C109" s="3" t="s">
        <v>1497</v>
      </c>
      <c r="D109" s="3" t="s">
        <v>2492</v>
      </c>
      <c r="E109" s="3" t="str">
        <f t="shared" si="1"/>
        <v>UPDATE FORNECEDORES SET FILIAL_A_ENTREGAR = 'CD REGIS', FILIAL_COBRANCA = 'MATRIZ', FILIAL_A_FATURAR = 'CD REGIS' WHERE FORNECEDOR = 'BONETTI TRICOT'</v>
      </c>
    </row>
    <row r="110" spans="1:5" x14ac:dyDescent="0.25">
      <c r="A110" s="3" t="s">
        <v>351</v>
      </c>
      <c r="B110" s="3" t="s">
        <v>443</v>
      </c>
      <c r="C110" s="3" t="s">
        <v>1497</v>
      </c>
      <c r="D110" s="3" t="s">
        <v>443</v>
      </c>
      <c r="E110" s="3" t="str">
        <f t="shared" si="1"/>
        <v>UPDATE FORNECEDORES SET FILIAL_A_ENTREGAR = 'CD ARAQUARI', FILIAL_COBRANCA = 'MATRIZ', FILIAL_A_FATURAR = 'CD ARAQUARI' WHERE FORNECEDOR = 'BRANDILI'</v>
      </c>
    </row>
    <row r="111" spans="1:5" x14ac:dyDescent="0.25">
      <c r="A111" s="3" t="s">
        <v>352</v>
      </c>
      <c r="B111" s="3" t="s">
        <v>443</v>
      </c>
      <c r="C111" s="3" t="s">
        <v>1497</v>
      </c>
      <c r="D111" s="3" t="s">
        <v>443</v>
      </c>
      <c r="E111" s="3" t="str">
        <f t="shared" si="1"/>
        <v>UPDATE FORNECEDORES SET FILIAL_A_ENTREGAR = 'CD ARAQUARI', FILIAL_COBRANCA = 'MATRIZ', FILIAL_A_FATURAR = 'CD ARAQUARI' WHERE FORNECEDOR = 'BRASIL ATIVO IND E COM'</v>
      </c>
    </row>
    <row r="112" spans="1:5" x14ac:dyDescent="0.25">
      <c r="A112" s="3" t="s">
        <v>361</v>
      </c>
      <c r="B112" s="3" t="s">
        <v>1497</v>
      </c>
      <c r="C112" s="3" t="s">
        <v>1497</v>
      </c>
      <c r="D112" s="3" t="s">
        <v>1497</v>
      </c>
      <c r="E112" s="3" t="str">
        <f t="shared" si="1"/>
        <v>UPDATE FORNECEDORES SET FILIAL_A_ENTREGAR = 'MATRIZ', FILIAL_COBRANCA = 'MATRIZ', FILIAL_A_FATURAR = 'MATRIZ' WHERE FORNECEDOR = 'BRINDEPEL'</v>
      </c>
    </row>
    <row r="113" spans="1:5" x14ac:dyDescent="0.25">
      <c r="A113" s="3" t="s">
        <v>363</v>
      </c>
      <c r="B113" s="3" t="s">
        <v>2520</v>
      </c>
      <c r="C113" s="3" t="s">
        <v>2520</v>
      </c>
      <c r="D113" s="3" t="s">
        <v>2520</v>
      </c>
      <c r="E113" s="3" t="str">
        <f t="shared" si="1"/>
        <v>UPDATE FORNECEDORES SET FILIAL_A_ENTREGAR = 'CARAGUATATUBA', FILIAL_COBRANCA = 'CARAGUATATUBA', FILIAL_A_FATURAR = 'CARAGUATATUBA' WHERE FORNECEDOR = 'BRINKS SAO JOSE DOS CAMP'</v>
      </c>
    </row>
    <row r="114" spans="1:5" x14ac:dyDescent="0.25">
      <c r="A114" s="3" t="s">
        <v>364</v>
      </c>
      <c r="B114" s="3" t="s">
        <v>2521</v>
      </c>
      <c r="C114" s="3" t="s">
        <v>2521</v>
      </c>
      <c r="D114" s="3" t="s">
        <v>2521</v>
      </c>
      <c r="E114" s="3" t="str">
        <f t="shared" si="1"/>
        <v>UPDATE FORNECEDORES SET FILIAL_A_ENTREGAR = 'HORTOLANDIA', FILIAL_COBRANCA = 'HORTOLANDIA', FILIAL_A_FATURAR = 'HORTOLANDIA' WHERE FORNECEDOR = 'BRINKS SEG.FILIAL CAMPI'</v>
      </c>
    </row>
    <row r="115" spans="1:5" x14ac:dyDescent="0.25">
      <c r="A115" s="3" t="s">
        <v>365</v>
      </c>
      <c r="B115" s="3" t="s">
        <v>2499</v>
      </c>
      <c r="C115" s="3" t="s">
        <v>2499</v>
      </c>
      <c r="D115" s="3" t="s">
        <v>2499</v>
      </c>
      <c r="E115" s="3" t="str">
        <f t="shared" si="1"/>
        <v>UPDATE FORNECEDORES SET FILIAL_A_ENTREGAR = 'BARUERI', FILIAL_COBRANCA = 'BARUERI', FILIAL_A_FATURAR = 'BARUERI' WHERE FORNECEDOR = 'BRINKS SEGURANCA E TRANSP'</v>
      </c>
    </row>
    <row r="116" spans="1:5" x14ac:dyDescent="0.25">
      <c r="A116" s="3" t="s">
        <v>366</v>
      </c>
      <c r="B116" s="3" t="s">
        <v>2540</v>
      </c>
      <c r="C116" s="3" t="s">
        <v>2540</v>
      </c>
      <c r="D116" s="3" t="s">
        <v>2540</v>
      </c>
      <c r="E116" s="3" t="str">
        <f t="shared" si="1"/>
        <v>UPDATE FORNECEDORES SET FILIAL_A_ENTREGAR = 'CIDADE OCIAN', FILIAL_COBRANCA = 'CIDADE OCIAN', FILIAL_A_FATURAR = 'CIDADE OCIAN' WHERE FORNECEDOR = 'BRINKS SEGURANCA SANTOS'</v>
      </c>
    </row>
    <row r="117" spans="1:5" x14ac:dyDescent="0.25">
      <c r="A117" s="3" t="s">
        <v>370</v>
      </c>
      <c r="B117" s="3" t="s">
        <v>1497</v>
      </c>
      <c r="C117" s="3" t="s">
        <v>1497</v>
      </c>
      <c r="D117" s="3" t="s">
        <v>1497</v>
      </c>
      <c r="E117" s="3" t="str">
        <f t="shared" si="1"/>
        <v>UPDATE FORNECEDORES SET FILIAL_A_ENTREGAR = 'MATRIZ', FILIAL_COBRANCA = 'MATRIZ', FILIAL_A_FATURAR = 'MATRIZ' WHERE FORNECEDOR = 'BRUNI SERVICE'</v>
      </c>
    </row>
    <row r="118" spans="1:5" x14ac:dyDescent="0.25">
      <c r="A118" s="3" t="s">
        <v>375</v>
      </c>
      <c r="B118" s="3" t="s">
        <v>2493</v>
      </c>
      <c r="C118" s="3" t="s">
        <v>2493</v>
      </c>
      <c r="D118" s="3" t="s">
        <v>2493</v>
      </c>
      <c r="E118" s="3" t="str">
        <f t="shared" si="1"/>
        <v>UPDATE FORNECEDORES SET FILIAL_A_ENTREGAR = 'AVANTI- ADM C.CREDITO', FILIAL_COBRANCA = 'AVANTI- ADM C.CREDITO', FILIAL_A_FATURAR = 'AVANTI- ADM C.CREDITO' WHERE FORNECEDOR = 'BSS CARD CARTOES E IMPRES'</v>
      </c>
    </row>
    <row r="119" spans="1:5" x14ac:dyDescent="0.25">
      <c r="A119" s="3" t="s">
        <v>379</v>
      </c>
      <c r="B119" s="3" t="s">
        <v>2492</v>
      </c>
      <c r="C119" s="3" t="s">
        <v>1497</v>
      </c>
      <c r="D119" s="3" t="s">
        <v>2492</v>
      </c>
      <c r="E119" s="3" t="str">
        <f t="shared" si="1"/>
        <v>UPDATE FORNECEDORES SET FILIAL_A_ENTREGAR = 'CD REGIS', FILIAL_COBRANCA = 'MATRIZ', FILIAL_A_FATURAR = 'CD REGIS' WHERE FORNECEDOR = 'BUNDYS LINGERIE'</v>
      </c>
    </row>
    <row r="120" spans="1:5" x14ac:dyDescent="0.25">
      <c r="A120" s="3" t="s">
        <v>382</v>
      </c>
      <c r="B120" s="3" t="s">
        <v>2493</v>
      </c>
      <c r="C120" s="3" t="s">
        <v>2493</v>
      </c>
      <c r="D120" s="3" t="s">
        <v>2493</v>
      </c>
      <c r="E120" s="3" t="str">
        <f t="shared" si="1"/>
        <v>UPDATE FORNECEDORES SET FILIAL_A_ENTREGAR = 'AVANTI- ADM C.CREDITO', FILIAL_COBRANCA = 'AVANTI- ADM C.CREDITO', FILIAL_A_FATURAR = 'AVANTI- ADM C.CREDITO' WHERE FORNECEDOR = 'BWMS LTDA'</v>
      </c>
    </row>
    <row r="121" spans="1:5" x14ac:dyDescent="0.25">
      <c r="A121" s="3" t="s">
        <v>383</v>
      </c>
      <c r="B121" s="3" t="s">
        <v>443</v>
      </c>
      <c r="C121" s="3" t="s">
        <v>1497</v>
      </c>
      <c r="D121" s="3" t="s">
        <v>443</v>
      </c>
      <c r="E121" s="3" t="str">
        <f t="shared" si="1"/>
        <v>UPDATE FORNECEDORES SET FILIAL_A_ENTREGAR = 'CD ARAQUARI', FILIAL_COBRANCA = 'MATRIZ', FILIAL_A_FATURAR = 'CD ARAQUARI' WHERE FORNECEDOR = 'BYGUS'</v>
      </c>
    </row>
    <row r="122" spans="1:5" x14ac:dyDescent="0.25">
      <c r="A122" s="3" t="s">
        <v>384</v>
      </c>
      <c r="B122" s="3" t="s">
        <v>2492</v>
      </c>
      <c r="C122" s="3" t="s">
        <v>1497</v>
      </c>
      <c r="D122" s="3" t="s">
        <v>2492</v>
      </c>
      <c r="E122" s="3" t="str">
        <f t="shared" si="1"/>
        <v>UPDATE FORNECEDORES SET FILIAL_A_ENTREGAR = 'CD REGIS', FILIAL_COBRANCA = 'MATRIZ', FILIAL_A_FATURAR = 'CD REGIS' WHERE FORNECEDOR = 'BYLA &amp; BOBY'</v>
      </c>
    </row>
    <row r="123" spans="1:5" x14ac:dyDescent="0.25">
      <c r="A123" s="3" t="s">
        <v>386</v>
      </c>
      <c r="B123" s="3" t="s">
        <v>444</v>
      </c>
      <c r="C123" s="3" t="s">
        <v>1497</v>
      </c>
      <c r="D123" s="3" t="s">
        <v>444</v>
      </c>
      <c r="E123" s="3" t="str">
        <f t="shared" si="1"/>
        <v>UPDATE FORNECEDORES SET FILIAL_A_ENTREGAR = 'CD NAVEGANTES', FILIAL_COBRANCA = 'MATRIZ', FILIAL_A_FATURAR = 'CD NAVEGANTES' WHERE FORNECEDOR = 'C.C.C.A COMERCIAL'</v>
      </c>
    </row>
    <row r="124" spans="1:5" x14ac:dyDescent="0.25">
      <c r="A124" s="3" t="s">
        <v>388</v>
      </c>
      <c r="B124" s="3" t="s">
        <v>2492</v>
      </c>
      <c r="C124" s="3" t="s">
        <v>2492</v>
      </c>
      <c r="D124" s="3" t="s">
        <v>2492</v>
      </c>
      <c r="E124" s="3" t="str">
        <f t="shared" si="1"/>
        <v>UPDATE FORNECEDORES SET FILIAL_A_ENTREGAR = 'CD REGIS', FILIAL_COBRANCA = 'CD REGIS', FILIAL_A_FATURAR = 'CD REGIS' WHERE FORNECEDOR = 'CABILOG COMERCIO'</v>
      </c>
    </row>
    <row r="125" spans="1:5" x14ac:dyDescent="0.25">
      <c r="A125" s="3" t="s">
        <v>389</v>
      </c>
      <c r="B125" s="3" t="s">
        <v>2543</v>
      </c>
      <c r="C125" s="3" t="s">
        <v>1497</v>
      </c>
      <c r="D125" s="3" t="s">
        <v>2492</v>
      </c>
      <c r="E125" s="3" t="str">
        <f t="shared" si="1"/>
        <v>UPDATE FORNECEDORES SET FILIAL_A_ENTREGAR = 'CD IMPORTACAO', FILIAL_COBRANCA = 'MATRIZ', FILIAL_A_FATURAR = 'CD REGIS' WHERE FORNECEDOR = 'CAEDU IMPORTACAO VAREJO'</v>
      </c>
    </row>
    <row r="126" spans="1:5" x14ac:dyDescent="0.25">
      <c r="A126" s="3" t="s">
        <v>390</v>
      </c>
      <c r="B126" s="3" t="s">
        <v>2492</v>
      </c>
      <c r="C126" s="3" t="s">
        <v>1497</v>
      </c>
      <c r="D126" s="3" t="s">
        <v>2492</v>
      </c>
      <c r="E126" s="3" t="str">
        <f t="shared" si="1"/>
        <v>UPDATE FORNECEDORES SET FILIAL_A_ENTREGAR = 'CD REGIS', FILIAL_COBRANCA = 'MATRIZ', FILIAL_A_FATURAR = 'CD REGIS' WHERE FORNECEDOR = 'CAEDU IMPORTADORA'</v>
      </c>
    </row>
    <row r="127" spans="1:5" x14ac:dyDescent="0.25">
      <c r="A127" s="3" t="s">
        <v>391</v>
      </c>
      <c r="B127" s="3" t="s">
        <v>2543</v>
      </c>
      <c r="C127" s="3" t="s">
        <v>1497</v>
      </c>
      <c r="D127" s="3" t="s">
        <v>2492</v>
      </c>
      <c r="E127" s="3" t="str">
        <f t="shared" si="1"/>
        <v>UPDATE FORNECEDORES SET FILIAL_A_ENTREGAR = 'CD IMPORTACAO', FILIAL_COBRANCA = 'MATRIZ', FILIAL_A_FATURAR = 'CD REGIS' WHERE FORNECEDOR = 'CAEDU IMPORTADORA 2'</v>
      </c>
    </row>
    <row r="128" spans="1:5" x14ac:dyDescent="0.25">
      <c r="A128" s="3" t="s">
        <v>392</v>
      </c>
      <c r="B128" s="3" t="s">
        <v>443</v>
      </c>
      <c r="C128" s="3" t="s">
        <v>2492</v>
      </c>
      <c r="D128" s="3" t="s">
        <v>443</v>
      </c>
      <c r="E128" s="3" t="str">
        <f t="shared" si="1"/>
        <v>UPDATE FORNECEDORES SET FILIAL_A_ENTREGAR = 'CD ARAQUARI', FILIAL_COBRANCA = 'CD REGIS', FILIAL_A_FATURAR = 'CD ARAQUARI' WHERE FORNECEDOR = 'CAEDU IMPORTADORA SC'</v>
      </c>
    </row>
    <row r="129" spans="1:5" x14ac:dyDescent="0.25">
      <c r="A129" s="3" t="s">
        <v>395</v>
      </c>
      <c r="B129" s="3" t="s">
        <v>2492</v>
      </c>
      <c r="C129" s="3" t="s">
        <v>1497</v>
      </c>
      <c r="D129" s="3" t="s">
        <v>2492</v>
      </c>
      <c r="E129" s="3" t="str">
        <f t="shared" si="1"/>
        <v>UPDATE FORNECEDORES SET FILIAL_A_ENTREGAR = 'CD REGIS', FILIAL_COBRANCA = 'MATRIZ', FILIAL_A_FATURAR = 'CD REGIS' WHERE FORNECEDOR = 'CALCINHAS FOLLY'</v>
      </c>
    </row>
    <row r="130" spans="1:5" x14ac:dyDescent="0.25">
      <c r="A130" s="3" t="s">
        <v>400</v>
      </c>
      <c r="B130" s="3" t="s">
        <v>2498</v>
      </c>
      <c r="C130" s="3" t="s">
        <v>2498</v>
      </c>
      <c r="D130" s="3" t="s">
        <v>2498</v>
      </c>
      <c r="E130" s="3" t="str">
        <f t="shared" si="1"/>
        <v>UPDATE FORNECEDORES SET FILIAL_A_ENTREGAR = 'SP - PARI', FILIAL_COBRANCA = 'SP - PARI', FILIAL_A_FATURAR = 'SP - PARI' WHERE FORNECEDOR = 'CAMERA PRESS LET EDITORA'</v>
      </c>
    </row>
    <row r="131" spans="1:5" x14ac:dyDescent="0.25">
      <c r="A131" s="3" t="s">
        <v>411</v>
      </c>
      <c r="B131" s="3" t="s">
        <v>444</v>
      </c>
      <c r="C131" s="3" t="s">
        <v>1497</v>
      </c>
      <c r="D131" s="3" t="s">
        <v>444</v>
      </c>
      <c r="E131" s="3" t="str">
        <f t="shared" si="1"/>
        <v>UPDATE FORNECEDORES SET FILIAL_A_ENTREGAR = 'CD NAVEGANTES', FILIAL_COBRANCA = 'MATRIZ', FILIAL_A_FATURAR = 'CD NAVEGANTES' WHERE FORNECEDOR = 'CARAMMELO CONFECCAO'</v>
      </c>
    </row>
    <row r="132" spans="1:5" x14ac:dyDescent="0.25">
      <c r="A132" s="3" t="s">
        <v>414</v>
      </c>
      <c r="B132" s="3" t="s">
        <v>444</v>
      </c>
      <c r="C132" s="3" t="s">
        <v>1497</v>
      </c>
      <c r="D132" s="3" t="s">
        <v>444</v>
      </c>
      <c r="E132" s="3" t="str">
        <f t="shared" si="1"/>
        <v>UPDATE FORNECEDORES SET FILIAL_A_ENTREGAR = 'CD NAVEGANTES', FILIAL_COBRANCA = 'MATRIZ', FILIAL_A_FATURAR = 'CD NAVEGANTES' WHERE FORNECEDOR = 'CARLYLE DA MATTA ME'</v>
      </c>
    </row>
    <row r="133" spans="1:5" x14ac:dyDescent="0.25">
      <c r="A133" s="3" t="s">
        <v>415</v>
      </c>
      <c r="B133" s="3" t="s">
        <v>2492</v>
      </c>
      <c r="C133" s="3" t="s">
        <v>2497</v>
      </c>
      <c r="D133" s="3" t="s">
        <v>2492</v>
      </c>
      <c r="E133" s="3" t="str">
        <f t="shared" ref="E133:E196" si="2">"UPDATE FORNECEDORES SET FILIAL_A_ENTREGAR = '"&amp;B133&amp;"', FILIAL_COBRANCA = '"&amp;C133&amp;"', FILIAL_A_FATURAR = '"&amp;D133&amp;"' WHERE FORNECEDOR = '"&amp;A133&amp;"'"</f>
        <v>UPDATE FORNECEDORES SET FILIAL_A_ENTREGAR = 'CD REGIS', FILIAL_COBRANCA = 'TATUAPE', FILIAL_A_FATURAR = 'CD REGIS' WHERE FORNECEDOR = 'CARMESIN MALHAS LG'</v>
      </c>
    </row>
    <row r="134" spans="1:5" x14ac:dyDescent="0.25">
      <c r="A134" s="3" t="s">
        <v>420</v>
      </c>
      <c r="B134" s="3" t="s">
        <v>2492</v>
      </c>
      <c r="C134" s="3" t="s">
        <v>1497</v>
      </c>
      <c r="D134" s="3" t="s">
        <v>2492</v>
      </c>
      <c r="E134" s="3" t="str">
        <f t="shared" si="2"/>
        <v>UPDATE FORNECEDORES SET FILIAL_A_ENTREGAR = 'CD REGIS', FILIAL_COBRANCA = 'MATRIZ', FILIAL_A_FATURAR = 'CD REGIS' WHERE FORNECEDOR = 'CARTEL CINTOS'</v>
      </c>
    </row>
    <row r="135" spans="1:5" x14ac:dyDescent="0.25">
      <c r="A135" s="3" t="s">
        <v>424</v>
      </c>
      <c r="B135" s="3" t="s">
        <v>2492</v>
      </c>
      <c r="C135" s="3" t="s">
        <v>2492</v>
      </c>
      <c r="D135" s="3" t="s">
        <v>2492</v>
      </c>
      <c r="E135" s="3" t="str">
        <f t="shared" si="2"/>
        <v>UPDATE FORNECEDORES SET FILIAL_A_ENTREGAR = 'CD REGIS', FILIAL_COBRANCA = 'CD REGIS', FILIAL_A_FATURAR = 'CD REGIS' WHERE FORNECEDOR = 'CASA DOS BEBEDOUROS'</v>
      </c>
    </row>
    <row r="136" spans="1:5" x14ac:dyDescent="0.25">
      <c r="A136" s="3" t="s">
        <v>431</v>
      </c>
      <c r="B136" s="3" t="s">
        <v>2492</v>
      </c>
      <c r="C136" s="3" t="s">
        <v>1497</v>
      </c>
      <c r="D136" s="3" t="s">
        <v>2492</v>
      </c>
      <c r="E136" s="3" t="str">
        <f t="shared" si="2"/>
        <v>UPDATE FORNECEDORES SET FILIAL_A_ENTREGAR = 'CD REGIS', FILIAL_COBRANCA = 'MATRIZ', FILIAL_A_FATURAR = 'CD REGIS' WHERE FORNECEDOR = 'CASUALLE IND E COM'</v>
      </c>
    </row>
    <row r="137" spans="1:5" x14ac:dyDescent="0.25">
      <c r="A137" s="3" t="s">
        <v>434</v>
      </c>
      <c r="B137" s="3" t="s">
        <v>2492</v>
      </c>
      <c r="C137" s="3" t="s">
        <v>1497</v>
      </c>
      <c r="D137" s="3" t="s">
        <v>2492</v>
      </c>
      <c r="E137" s="3" t="str">
        <f t="shared" si="2"/>
        <v>UPDATE FORNECEDORES SET FILIAL_A_ENTREGAR = 'CD REGIS', FILIAL_COBRANCA = 'MATRIZ', FILIAL_A_FATURAR = 'CD REGIS' WHERE FORNECEDOR = 'CATAY'</v>
      </c>
    </row>
    <row r="138" spans="1:5" x14ac:dyDescent="0.25">
      <c r="A138" s="3" t="s">
        <v>436</v>
      </c>
      <c r="B138" s="3" t="s">
        <v>2492</v>
      </c>
      <c r="C138" s="3" t="s">
        <v>1497</v>
      </c>
      <c r="D138" s="3" t="s">
        <v>2492</v>
      </c>
      <c r="E138" s="3" t="str">
        <f t="shared" si="2"/>
        <v>UPDATE FORNECEDORES SET FILIAL_A_ENTREGAR = 'CD REGIS', FILIAL_COBRANCA = 'MATRIZ', FILIAL_A_FATURAR = 'CD REGIS' WHERE FORNECEDOR = 'CATIVA MALHAS'</v>
      </c>
    </row>
    <row r="139" spans="1:5" x14ac:dyDescent="0.25">
      <c r="A139" s="3" t="s">
        <v>437</v>
      </c>
      <c r="B139" s="3" t="s">
        <v>444</v>
      </c>
      <c r="C139" s="3" t="s">
        <v>1497</v>
      </c>
      <c r="D139" s="3" t="s">
        <v>444</v>
      </c>
      <c r="E139" s="3" t="str">
        <f t="shared" si="2"/>
        <v>UPDATE FORNECEDORES SET FILIAL_A_ENTREGAR = 'CD NAVEGANTES', FILIAL_COBRANCA = 'MATRIZ', FILIAL_A_FATURAR = 'CD NAVEGANTES' WHERE FORNECEDOR = 'CATIVA TEXTIL'</v>
      </c>
    </row>
    <row r="140" spans="1:5" x14ac:dyDescent="0.25">
      <c r="A140" s="3" t="s">
        <v>438</v>
      </c>
      <c r="B140" s="3" t="s">
        <v>2492</v>
      </c>
      <c r="C140" s="3" t="s">
        <v>1497</v>
      </c>
      <c r="D140" s="3" t="s">
        <v>2492</v>
      </c>
      <c r="E140" s="3" t="str">
        <f t="shared" si="2"/>
        <v>UPDATE FORNECEDORES SET FILIAL_A_ENTREGAR = 'CD REGIS', FILIAL_COBRANCA = 'MATRIZ', FILIAL_A_FATURAR = 'CD REGIS' WHERE FORNECEDOR = 'CATLEIA LINGERIE'</v>
      </c>
    </row>
    <row r="141" spans="1:5" x14ac:dyDescent="0.25">
      <c r="A141" s="3" t="s">
        <v>440</v>
      </c>
      <c r="B141" s="3" t="s">
        <v>2492</v>
      </c>
      <c r="C141" s="3" t="s">
        <v>2497</v>
      </c>
      <c r="D141" s="3" t="s">
        <v>2492</v>
      </c>
      <c r="E141" s="3" t="str">
        <f t="shared" si="2"/>
        <v>UPDATE FORNECEDORES SET FILIAL_A_ENTREGAR = 'CD REGIS', FILIAL_COBRANCA = 'TATUAPE', FILIAL_A_FATURAR = 'CD REGIS' WHERE FORNECEDOR = 'CBJ CONFECCOES'</v>
      </c>
    </row>
    <row r="142" spans="1:5" x14ac:dyDescent="0.25">
      <c r="A142" s="3" t="s">
        <v>443</v>
      </c>
      <c r="B142" s="3" t="s">
        <v>2543</v>
      </c>
      <c r="C142" s="3" t="s">
        <v>2492</v>
      </c>
      <c r="D142" s="3" t="s">
        <v>2543</v>
      </c>
      <c r="E142" s="3" t="str">
        <f t="shared" si="2"/>
        <v>UPDATE FORNECEDORES SET FILIAL_A_ENTREGAR = 'CD IMPORTACAO', FILIAL_COBRANCA = 'CD REGIS', FILIAL_A_FATURAR = 'CD IMPORTACAO' WHERE FORNECEDOR = 'CD ARAQUARI'</v>
      </c>
    </row>
    <row r="143" spans="1:5" x14ac:dyDescent="0.25">
      <c r="A143" s="3" t="s">
        <v>444</v>
      </c>
      <c r="B143" s="3" t="s">
        <v>444</v>
      </c>
      <c r="C143" s="3" t="s">
        <v>2492</v>
      </c>
      <c r="D143" s="3" t="s">
        <v>2492</v>
      </c>
      <c r="E143" s="3" t="str">
        <f t="shared" si="2"/>
        <v>UPDATE FORNECEDORES SET FILIAL_A_ENTREGAR = 'CD NAVEGANTES', FILIAL_COBRANCA = 'CD REGIS', FILIAL_A_FATURAR = 'CD REGIS' WHERE FORNECEDOR = 'CD NAVEGANTES'</v>
      </c>
    </row>
    <row r="144" spans="1:5" x14ac:dyDescent="0.25">
      <c r="A144" s="3" t="s">
        <v>445</v>
      </c>
      <c r="B144" s="3" t="s">
        <v>1497</v>
      </c>
      <c r="C144" s="3" t="s">
        <v>1497</v>
      </c>
      <c r="D144" s="3" t="s">
        <v>1497</v>
      </c>
      <c r="E144" s="3" t="str">
        <f t="shared" si="2"/>
        <v>UPDATE FORNECEDORES SET FILIAL_A_ENTREGAR = 'MATRIZ', FILIAL_COBRANCA = 'MATRIZ', FILIAL_A_FATURAR = 'MATRIZ' WHERE FORNECEDOR = 'CDC BRASIL DISTRIBUIDORA'</v>
      </c>
    </row>
    <row r="145" spans="1:5" x14ac:dyDescent="0.25">
      <c r="A145" s="3" t="s">
        <v>447</v>
      </c>
      <c r="B145" s="3" t="s">
        <v>443</v>
      </c>
      <c r="C145" s="3" t="s">
        <v>1497</v>
      </c>
      <c r="D145" s="3" t="s">
        <v>443</v>
      </c>
      <c r="E145" s="3" t="str">
        <f t="shared" si="2"/>
        <v>UPDATE FORNECEDORES SET FILIAL_A_ENTREGAR = 'CD ARAQUARI', FILIAL_COBRANCA = 'MATRIZ', FILIAL_A_FATURAR = 'CD ARAQUARI' WHERE FORNECEDOR = 'CDTEX'</v>
      </c>
    </row>
    <row r="146" spans="1:5" x14ac:dyDescent="0.25">
      <c r="A146" s="3" t="s">
        <v>449</v>
      </c>
      <c r="B146" s="3" t="s">
        <v>2494</v>
      </c>
      <c r="C146" s="3" t="s">
        <v>2494</v>
      </c>
      <c r="D146" s="3" t="s">
        <v>2494</v>
      </c>
      <c r="E146" s="3" t="str">
        <f t="shared" si="2"/>
        <v>UPDATE FORNECEDORES SET FILIAL_A_ENTREGAR = 'ANPPLA', FILIAL_COBRANCA = 'ANPPLA', FILIAL_A_FATURAR = 'ANPPLA' WHERE FORNECEDOR = 'CENAV ENGENHARIA S/S LTDA'</v>
      </c>
    </row>
    <row r="147" spans="1:5" x14ac:dyDescent="0.25">
      <c r="A147" s="3" t="s">
        <v>452</v>
      </c>
      <c r="B147" s="3" t="s">
        <v>1497</v>
      </c>
      <c r="C147" s="3" t="s">
        <v>1497</v>
      </c>
      <c r="D147" s="3" t="s">
        <v>1497</v>
      </c>
      <c r="E147" s="3" t="str">
        <f t="shared" si="2"/>
        <v>UPDATE FORNECEDORES SET FILIAL_A_ENTREGAR = 'MATRIZ', FILIAL_COBRANCA = 'MATRIZ', FILIAL_A_FATURAR = 'MATRIZ' WHERE FORNECEDOR = 'CENOFISCO'</v>
      </c>
    </row>
    <row r="148" spans="1:5" x14ac:dyDescent="0.25">
      <c r="A148" s="3" t="s">
        <v>453</v>
      </c>
      <c r="B148" s="3" t="s">
        <v>2492</v>
      </c>
      <c r="C148" s="3" t="s">
        <v>2497</v>
      </c>
      <c r="D148" s="3" t="s">
        <v>2492</v>
      </c>
      <c r="E148" s="3" t="str">
        <f t="shared" si="2"/>
        <v>UPDATE FORNECEDORES SET FILIAL_A_ENTREGAR = 'CD REGIS', FILIAL_COBRANCA = 'TATUAPE', FILIAL_A_FATURAR = 'CD REGIS' WHERE FORNECEDOR = 'CENSATO - NTC'</v>
      </c>
    </row>
    <row r="149" spans="1:5" x14ac:dyDescent="0.25">
      <c r="A149" s="3" t="s">
        <v>454</v>
      </c>
      <c r="B149" s="3" t="s">
        <v>2531</v>
      </c>
      <c r="C149" s="3" t="s">
        <v>2531</v>
      </c>
      <c r="D149" s="3" t="s">
        <v>2531</v>
      </c>
      <c r="E149" s="3" t="str">
        <f t="shared" si="2"/>
        <v>UPDATE FORNECEDORES SET FILIAL_A_ENTREGAR = 'ITAQUERA', FILIAL_COBRANCA = 'ITAQUERA', FILIAL_A_FATURAR = 'ITAQUERA' WHERE FORNECEDOR = 'CENTRO DE INTEGRACAO'</v>
      </c>
    </row>
    <row r="150" spans="1:5" x14ac:dyDescent="0.25">
      <c r="A150" s="3" t="s">
        <v>455</v>
      </c>
      <c r="B150" s="3" t="s">
        <v>2495</v>
      </c>
      <c r="C150" s="3" t="s">
        <v>2495</v>
      </c>
      <c r="D150" s="3" t="s">
        <v>2495</v>
      </c>
      <c r="E150" s="3" t="str">
        <f t="shared" si="2"/>
        <v>UPDATE FORNECEDORES SET FILIAL_A_ENTREGAR = 'JUNDIAI', FILIAL_COBRANCA = 'JUNDIAI', FILIAL_A_FATURAR = 'JUNDIAI' WHERE FORNECEDOR = 'CENTRO DE INTEGRACAO CIEE'</v>
      </c>
    </row>
    <row r="151" spans="1:5" x14ac:dyDescent="0.25">
      <c r="A151" s="3" t="s">
        <v>460</v>
      </c>
      <c r="B151" s="3" t="s">
        <v>2493</v>
      </c>
      <c r="C151" s="3" t="s">
        <v>2493</v>
      </c>
      <c r="D151" s="3" t="s">
        <v>2493</v>
      </c>
      <c r="E151" s="3" t="str">
        <f t="shared" si="2"/>
        <v>UPDATE FORNECEDORES SET FILIAL_A_ENTREGAR = 'AVANTI- ADM C.CREDITO', FILIAL_COBRANCA = 'AVANTI- ADM C.CREDITO', FILIAL_A_FATURAR = 'AVANTI- ADM C.CREDITO' WHERE FORNECEDOR = 'CETEST MINAS ENG E SERV'</v>
      </c>
    </row>
    <row r="152" spans="1:5" x14ac:dyDescent="0.25">
      <c r="A152" s="3" t="s">
        <v>461</v>
      </c>
      <c r="B152" s="3" t="s">
        <v>2492</v>
      </c>
      <c r="C152" s="3" t="s">
        <v>2497</v>
      </c>
      <c r="D152" s="3" t="s">
        <v>2492</v>
      </c>
      <c r="E152" s="3" t="str">
        <f t="shared" si="2"/>
        <v>UPDATE FORNECEDORES SET FILIAL_A_ENTREGAR = 'CD REGIS', FILIAL_COBRANCA = 'TATUAPE', FILIAL_A_FATURAR = 'CD REGIS' WHERE FORNECEDOR = 'CF ROCHA'</v>
      </c>
    </row>
    <row r="153" spans="1:5" x14ac:dyDescent="0.25">
      <c r="A153" s="3" t="s">
        <v>462</v>
      </c>
      <c r="B153" s="3" t="s">
        <v>443</v>
      </c>
      <c r="C153" s="3" t="s">
        <v>1497</v>
      </c>
      <c r="D153" s="3" t="s">
        <v>443</v>
      </c>
      <c r="E153" s="3" t="str">
        <f t="shared" si="2"/>
        <v>UPDATE FORNECEDORES SET FILIAL_A_ENTREGAR = 'CD ARAQUARI', FILIAL_COBRANCA = 'MATRIZ', FILIAL_A_FATURAR = 'CD ARAQUARI' WHERE FORNECEDOR = 'CHADY CONFECÇÕES'</v>
      </c>
    </row>
    <row r="154" spans="1:5" x14ac:dyDescent="0.25">
      <c r="A154" s="3" t="s">
        <v>467</v>
      </c>
      <c r="B154" s="3" t="s">
        <v>2492</v>
      </c>
      <c r="C154" s="3" t="s">
        <v>1497</v>
      </c>
      <c r="D154" s="3" t="s">
        <v>2492</v>
      </c>
      <c r="E154" s="3" t="str">
        <f t="shared" si="2"/>
        <v>UPDATE FORNECEDORES SET FILIAL_A_ENTREGAR = 'CD REGIS', FILIAL_COBRANCA = 'MATRIZ', FILIAL_A_FATURAR = 'CD REGIS' WHERE FORNECEDOR = 'CHENSON'</v>
      </c>
    </row>
    <row r="155" spans="1:5" x14ac:dyDescent="0.25">
      <c r="A155" s="3" t="s">
        <v>468</v>
      </c>
      <c r="B155" s="3" t="s">
        <v>2492</v>
      </c>
      <c r="C155" s="3" t="s">
        <v>1497</v>
      </c>
      <c r="D155" s="3" t="s">
        <v>2492</v>
      </c>
      <c r="E155" s="3" t="str">
        <f t="shared" si="2"/>
        <v>UPDATE FORNECEDORES SET FILIAL_A_ENTREGAR = 'CD REGIS', FILIAL_COBRANCA = 'MATRIZ', FILIAL_A_FATURAR = 'CD REGIS' WHERE FORNECEDOR = 'CHERRY TRICOT'</v>
      </c>
    </row>
    <row r="156" spans="1:5" x14ac:dyDescent="0.25">
      <c r="A156" s="3" t="s">
        <v>469</v>
      </c>
      <c r="B156" s="3" t="s">
        <v>2492</v>
      </c>
      <c r="C156" s="3" t="s">
        <v>2492</v>
      </c>
      <c r="D156" s="3" t="s">
        <v>2492</v>
      </c>
      <c r="E156" s="3" t="str">
        <f t="shared" si="2"/>
        <v>UPDATE FORNECEDORES SET FILIAL_A_ENTREGAR = 'CD REGIS', FILIAL_COBRANCA = 'CD REGIS', FILIAL_A_FATURAR = 'CD REGIS' WHERE FORNECEDOR = 'CHICOTE IND. COM. DE ROUP'</v>
      </c>
    </row>
    <row r="157" spans="1:5" x14ac:dyDescent="0.25">
      <c r="A157" s="3" t="s">
        <v>472</v>
      </c>
      <c r="B157" s="3" t="s">
        <v>2492</v>
      </c>
      <c r="C157" s="3" t="s">
        <v>2497</v>
      </c>
      <c r="D157" s="3" t="s">
        <v>2492</v>
      </c>
      <c r="E157" s="3" t="str">
        <f t="shared" si="2"/>
        <v>UPDATE FORNECEDORES SET FILIAL_A_ENTREGAR = 'CD REGIS', FILIAL_COBRANCA = 'TATUAPE', FILIAL_A_FATURAR = 'CD REGIS' WHERE FORNECEDOR = 'CHOCO BIJOUX 2'</v>
      </c>
    </row>
    <row r="158" spans="1:5" x14ac:dyDescent="0.25">
      <c r="A158" s="3" t="s">
        <v>473</v>
      </c>
      <c r="B158" s="3" t="s">
        <v>2492</v>
      </c>
      <c r="C158" s="3" t="s">
        <v>2497</v>
      </c>
      <c r="D158" s="3" t="s">
        <v>2492</v>
      </c>
      <c r="E158" s="3" t="str">
        <f t="shared" si="2"/>
        <v>UPDATE FORNECEDORES SET FILIAL_A_ENTREGAR = 'CD REGIS', FILIAL_COBRANCA = 'TATUAPE', FILIAL_A_FATURAR = 'CD REGIS' WHERE FORNECEDOR = 'CHOCO BIJOUX MODAS LTDA'</v>
      </c>
    </row>
    <row r="159" spans="1:5" x14ac:dyDescent="0.25">
      <c r="A159" s="3" t="s">
        <v>475</v>
      </c>
      <c r="B159" s="3" t="s">
        <v>2492</v>
      </c>
      <c r="C159" s="3" t="s">
        <v>1497</v>
      </c>
      <c r="D159" s="3" t="s">
        <v>2492</v>
      </c>
      <c r="E159" s="3" t="str">
        <f t="shared" si="2"/>
        <v>UPDATE FORNECEDORES SET FILIAL_A_ENTREGAR = 'CD REGIS', FILIAL_COBRANCA = 'MATRIZ', FILIAL_A_FATURAR = 'CD REGIS' WHERE FORNECEDOR = 'CHOPP'</v>
      </c>
    </row>
    <row r="160" spans="1:5" x14ac:dyDescent="0.25">
      <c r="A160" s="3" t="s">
        <v>479</v>
      </c>
      <c r="B160" s="3" t="s">
        <v>2492</v>
      </c>
      <c r="C160" s="3" t="s">
        <v>2497</v>
      </c>
      <c r="D160" s="3" t="s">
        <v>2492</v>
      </c>
      <c r="E160" s="3" t="str">
        <f t="shared" si="2"/>
        <v>UPDATE FORNECEDORES SET FILIAL_A_ENTREGAR = 'CD REGIS', FILIAL_COBRANCA = 'TATUAPE', FILIAL_A_FATURAR = 'CD REGIS' WHERE FORNECEDOR = 'CIA DO JEANS'</v>
      </c>
    </row>
    <row r="161" spans="1:5" x14ac:dyDescent="0.25">
      <c r="A161" s="3" t="s">
        <v>483</v>
      </c>
      <c r="B161" s="3" t="s">
        <v>2529</v>
      </c>
      <c r="C161" s="3" t="s">
        <v>2529</v>
      </c>
      <c r="D161" s="3" t="s">
        <v>2529</v>
      </c>
      <c r="E161" s="3" t="str">
        <f t="shared" si="2"/>
        <v>UPDATE FORNECEDORES SET FILIAL_A_ENTREGAR = 'ITAPEVI', FILIAL_COBRANCA = 'ITAPEVI', FILIAL_A_FATURAR = 'ITAPEVI' WHERE FORNECEDOR = 'CIEE'</v>
      </c>
    </row>
    <row r="162" spans="1:5" x14ac:dyDescent="0.25">
      <c r="A162" s="3" t="s">
        <v>484</v>
      </c>
      <c r="B162" s="3" t="s">
        <v>1497</v>
      </c>
      <c r="C162" s="3" t="s">
        <v>1497</v>
      </c>
      <c r="D162" s="3" t="s">
        <v>1497</v>
      </c>
      <c r="E162" s="3" t="str">
        <f t="shared" si="2"/>
        <v>UPDATE FORNECEDORES SET FILIAL_A_ENTREGAR = 'MATRIZ', FILIAL_COBRANCA = 'MATRIZ', FILIAL_A_FATURAR = 'MATRIZ' WHERE FORNECEDOR = 'CINTYA NAOMI MISOBUSHI'</v>
      </c>
    </row>
    <row r="163" spans="1:5" x14ac:dyDescent="0.25">
      <c r="A163" s="3" t="s">
        <v>488</v>
      </c>
      <c r="B163" s="3" t="s">
        <v>2493</v>
      </c>
      <c r="C163" s="3" t="s">
        <v>2493</v>
      </c>
      <c r="D163" s="3" t="s">
        <v>2493</v>
      </c>
      <c r="E163" s="3" t="str">
        <f t="shared" si="2"/>
        <v>UPDATE FORNECEDORES SET FILIAL_A_ENTREGAR = 'AVANTI- ADM C.CREDITO', FILIAL_COBRANCA = 'AVANTI- ADM C.CREDITO', FILIAL_A_FATURAR = 'AVANTI- ADM C.CREDITO' WHERE FORNECEDOR = 'CLARO'</v>
      </c>
    </row>
    <row r="164" spans="1:5" x14ac:dyDescent="0.25">
      <c r="A164" s="3" t="s">
        <v>490</v>
      </c>
      <c r="B164" s="3" t="s">
        <v>2492</v>
      </c>
      <c r="C164" s="3" t="s">
        <v>1497</v>
      </c>
      <c r="D164" s="3" t="s">
        <v>2492</v>
      </c>
      <c r="E164" s="3" t="str">
        <f t="shared" si="2"/>
        <v>UPDATE FORNECEDORES SET FILIAL_A_ENTREGAR = 'CD REGIS', FILIAL_COBRANCA = 'MATRIZ', FILIAL_A_FATURAR = 'CD REGIS' WHERE FORNECEDOR = 'CLASS LINGERIE'</v>
      </c>
    </row>
    <row r="165" spans="1:5" x14ac:dyDescent="0.25">
      <c r="A165" s="3" t="s">
        <v>491</v>
      </c>
      <c r="B165" s="3" t="s">
        <v>2526</v>
      </c>
      <c r="C165" s="3" t="s">
        <v>2526</v>
      </c>
      <c r="D165" s="3" t="s">
        <v>2526</v>
      </c>
      <c r="E165" s="3" t="str">
        <f t="shared" si="2"/>
        <v>UPDATE FORNECEDORES SET FILIAL_A_ENTREGAR = 'FRANCISCO MORATO', FILIAL_COBRANCA = 'FRANCISCO MORATO', FILIAL_A_FATURAR = 'FRANCISCO MORATO' WHERE FORNECEDOR = 'CLAUDINEI CARLOS'</v>
      </c>
    </row>
    <row r="166" spans="1:5" x14ac:dyDescent="0.25">
      <c r="A166" s="3" t="s">
        <v>492</v>
      </c>
      <c r="B166" s="3" t="s">
        <v>444</v>
      </c>
      <c r="C166" s="3" t="s">
        <v>1497</v>
      </c>
      <c r="D166" s="3" t="s">
        <v>444</v>
      </c>
      <c r="E166" s="3" t="str">
        <f t="shared" si="2"/>
        <v>UPDATE FORNECEDORES SET FILIAL_A_ENTREGAR = 'CD NAVEGANTES', FILIAL_COBRANCA = 'MATRIZ', FILIAL_A_FATURAR = 'CD NAVEGANTES' WHERE FORNECEDOR = 'CLEOMARA'</v>
      </c>
    </row>
    <row r="167" spans="1:5" x14ac:dyDescent="0.25">
      <c r="A167" s="3" t="s">
        <v>493</v>
      </c>
      <c r="B167" s="3" t="s">
        <v>2492</v>
      </c>
      <c r="C167" s="3" t="s">
        <v>1497</v>
      </c>
      <c r="D167" s="3" t="s">
        <v>2492</v>
      </c>
      <c r="E167" s="3" t="str">
        <f t="shared" si="2"/>
        <v>UPDATE FORNECEDORES SET FILIAL_A_ENTREGAR = 'CD REGIS', FILIAL_COBRANCA = 'MATRIZ', FILIAL_A_FATURAR = 'CD REGIS' WHERE FORNECEDOR = 'CLIO'</v>
      </c>
    </row>
    <row r="168" spans="1:5" x14ac:dyDescent="0.25">
      <c r="A168" s="3" t="s">
        <v>494</v>
      </c>
      <c r="B168" s="3" t="s">
        <v>1497</v>
      </c>
      <c r="C168" s="3" t="s">
        <v>1497</v>
      </c>
      <c r="D168" s="3" t="s">
        <v>1497</v>
      </c>
      <c r="E168" s="3" t="str">
        <f t="shared" si="2"/>
        <v>UPDATE FORNECEDORES SET FILIAL_A_ENTREGAR = 'MATRIZ', FILIAL_COBRANCA = 'MATRIZ', FILIAL_A_FATURAR = 'MATRIZ' WHERE FORNECEDOR = 'CLIPPING SERVICE'</v>
      </c>
    </row>
    <row r="169" spans="1:5" x14ac:dyDescent="0.25">
      <c r="A169" s="3" t="s">
        <v>500</v>
      </c>
      <c r="B169" s="3" t="s">
        <v>443</v>
      </c>
      <c r="C169" s="3" t="s">
        <v>1497</v>
      </c>
      <c r="D169" s="3" t="s">
        <v>443</v>
      </c>
      <c r="E169" s="3" t="str">
        <f t="shared" si="2"/>
        <v>UPDATE FORNECEDORES SET FILIAL_A_ENTREGAR = 'CD ARAQUARI', FILIAL_COBRANCA = 'MATRIZ', FILIAL_A_FATURAR = 'CD ARAQUARI' WHERE FORNECEDOR = 'COERENCIA'</v>
      </c>
    </row>
    <row r="170" spans="1:5" x14ac:dyDescent="0.25">
      <c r="A170" s="3" t="s">
        <v>501</v>
      </c>
      <c r="B170" s="3" t="s">
        <v>2492</v>
      </c>
      <c r="C170" s="3" t="s">
        <v>2497</v>
      </c>
      <c r="D170" s="3" t="s">
        <v>2492</v>
      </c>
      <c r="E170" s="3" t="str">
        <f t="shared" si="2"/>
        <v>UPDATE FORNECEDORES SET FILIAL_A_ENTREGAR = 'CD REGIS', FILIAL_COBRANCA = 'TATUAPE', FILIAL_A_FATURAR = 'CD REGIS' WHERE FORNECEDOR = 'COFFEE INDUSTRIA E COM.'</v>
      </c>
    </row>
    <row r="171" spans="1:5" x14ac:dyDescent="0.25">
      <c r="A171" s="3" t="s">
        <v>509</v>
      </c>
      <c r="B171" s="3" t="s">
        <v>2500</v>
      </c>
      <c r="C171" s="3" t="s">
        <v>2500</v>
      </c>
      <c r="D171" s="3" t="s">
        <v>2500</v>
      </c>
      <c r="E171" s="3" t="str">
        <f t="shared" si="2"/>
        <v>UPDATE FORNECEDORES SET FILIAL_A_ENTREGAR = 'CARAPICUIBA', FILIAL_COBRANCA = 'CARAPICUIBA', FILIAL_A_FATURAR = 'CARAPICUIBA' WHERE FORNECEDOR = 'COML CONSTRUCOES PRANDIX'</v>
      </c>
    </row>
    <row r="172" spans="1:5" x14ac:dyDescent="0.25">
      <c r="A172" s="3" t="s">
        <v>510</v>
      </c>
      <c r="B172" s="3" t="s">
        <v>2494</v>
      </c>
      <c r="C172" s="3" t="s">
        <v>2494</v>
      </c>
      <c r="D172" s="3" t="s">
        <v>2494</v>
      </c>
      <c r="E172" s="3" t="str">
        <f t="shared" si="2"/>
        <v>UPDATE FORNECEDORES SET FILIAL_A_ENTREGAR = 'ANPPLA', FILIAL_COBRANCA = 'ANPPLA', FILIAL_A_FATURAR = 'ANPPLA' WHERE FORNECEDOR = 'COMPANHIA PIRATININGA DE'</v>
      </c>
    </row>
    <row r="173" spans="1:5" x14ac:dyDescent="0.25">
      <c r="A173" s="3" t="s">
        <v>512</v>
      </c>
      <c r="B173" s="3" t="s">
        <v>1497</v>
      </c>
      <c r="C173" s="3" t="s">
        <v>1497</v>
      </c>
      <c r="D173" s="3" t="s">
        <v>1497</v>
      </c>
      <c r="E173" s="3" t="str">
        <f t="shared" si="2"/>
        <v>UPDATE FORNECEDORES SET FILIAL_A_ENTREGAR = 'MATRIZ', FILIAL_COBRANCA = 'MATRIZ', FILIAL_A_FATURAR = 'MATRIZ' WHERE FORNECEDOR = 'COMUTACAO TELECOMUNICA'</v>
      </c>
    </row>
    <row r="174" spans="1:5" x14ac:dyDescent="0.25">
      <c r="A174" s="3" t="s">
        <v>514</v>
      </c>
      <c r="B174" s="3" t="s">
        <v>1497</v>
      </c>
      <c r="C174" s="3" t="s">
        <v>1497</v>
      </c>
      <c r="D174" s="3" t="s">
        <v>1497</v>
      </c>
      <c r="E174" s="3" t="str">
        <f t="shared" si="2"/>
        <v>UPDATE FORNECEDORES SET FILIAL_A_ENTREGAR = 'MATRIZ', FILIAL_COBRANCA = 'MATRIZ', FILIAL_A_FATURAR = 'MATRIZ' WHERE FORNECEDOR = 'CONDRINA SERVICOS LTDA'</v>
      </c>
    </row>
    <row r="175" spans="1:5" x14ac:dyDescent="0.25">
      <c r="A175" s="3" t="s">
        <v>515</v>
      </c>
      <c r="B175" s="3" t="s">
        <v>2493</v>
      </c>
      <c r="C175" s="3" t="s">
        <v>2493</v>
      </c>
      <c r="D175" s="3" t="s">
        <v>2493</v>
      </c>
      <c r="E175" s="3" t="str">
        <f t="shared" si="2"/>
        <v>UPDATE FORNECEDORES SET FILIAL_A_ENTREGAR = 'AVANTI- ADM C.CREDITO', FILIAL_COBRANCA = 'AVANTI- ADM C.CREDITO', FILIAL_A_FATURAR = 'AVANTI- ADM C.CREDITO' WHERE FORNECEDOR = 'CONDUCTOR TECNOLOGIA S/A'</v>
      </c>
    </row>
    <row r="176" spans="1:5" x14ac:dyDescent="0.25">
      <c r="A176" s="3" t="s">
        <v>517</v>
      </c>
      <c r="B176" s="3" t="s">
        <v>2540</v>
      </c>
      <c r="C176" s="3" t="s">
        <v>2540</v>
      </c>
      <c r="D176" s="3" t="s">
        <v>2540</v>
      </c>
      <c r="E176" s="3" t="str">
        <f t="shared" si="2"/>
        <v>UPDATE FORNECEDORES SET FILIAL_A_ENTREGAR = 'CIDADE OCIAN', FILIAL_COBRANCA = 'CIDADE OCIAN', FILIAL_A_FATURAR = 'CIDADE OCIAN' WHERE FORNECEDOR = 'CONECTA ENG E CONST. LTDA'</v>
      </c>
    </row>
    <row r="177" spans="1:5" x14ac:dyDescent="0.25">
      <c r="A177" s="3" t="s">
        <v>518</v>
      </c>
      <c r="B177" s="3" t="s">
        <v>2493</v>
      </c>
      <c r="C177" s="3" t="s">
        <v>2493</v>
      </c>
      <c r="D177" s="3" t="s">
        <v>2493</v>
      </c>
      <c r="E177" s="3" t="str">
        <f t="shared" si="2"/>
        <v>UPDATE FORNECEDORES SET FILIAL_A_ENTREGAR = 'AVANTI- ADM C.CREDITO', FILIAL_COBRANCA = 'AVANTI- ADM C.CREDITO', FILIAL_A_FATURAR = 'AVANTI- ADM C.CREDITO' WHERE FORNECEDOR = 'CONEXAO AIX LTDA'</v>
      </c>
    </row>
    <row r="178" spans="1:5" x14ac:dyDescent="0.25">
      <c r="A178" s="3" t="s">
        <v>522</v>
      </c>
      <c r="B178" s="3" t="s">
        <v>443</v>
      </c>
      <c r="C178" s="3" t="s">
        <v>1497</v>
      </c>
      <c r="D178" s="3" t="s">
        <v>443</v>
      </c>
      <c r="E178" s="3" t="str">
        <f t="shared" si="2"/>
        <v>UPDATE FORNECEDORES SET FILIAL_A_ENTREGAR = 'CD ARAQUARI', FILIAL_COBRANCA = 'MATRIZ', FILIAL_A_FATURAR = 'CD ARAQUARI' WHERE FORNECEDOR = 'CONFECCOES DE IBIRAMA'</v>
      </c>
    </row>
    <row r="179" spans="1:5" x14ac:dyDescent="0.25">
      <c r="A179" s="3" t="s">
        <v>523</v>
      </c>
      <c r="B179" s="3" t="s">
        <v>2492</v>
      </c>
      <c r="C179" s="3" t="s">
        <v>1497</v>
      </c>
      <c r="D179" s="3" t="s">
        <v>2492</v>
      </c>
      <c r="E179" s="3" t="str">
        <f t="shared" si="2"/>
        <v>UPDATE FORNECEDORES SET FILIAL_A_ENTREGAR = 'CD REGIS', FILIAL_COBRANCA = 'MATRIZ', FILIAL_A_FATURAR = 'CD REGIS' WHERE FORNECEDOR = 'CONFECÇÕES EDNA'</v>
      </c>
    </row>
    <row r="180" spans="1:5" x14ac:dyDescent="0.25">
      <c r="A180" s="3" t="s">
        <v>526</v>
      </c>
      <c r="B180" s="3" t="s">
        <v>443</v>
      </c>
      <c r="C180" s="3" t="s">
        <v>1497</v>
      </c>
      <c r="D180" s="3" t="s">
        <v>443</v>
      </c>
      <c r="E180" s="3" t="str">
        <f t="shared" si="2"/>
        <v>UPDATE FORNECEDORES SET FILIAL_A_ENTREGAR = 'CD ARAQUARI', FILIAL_COBRANCA = 'MATRIZ', FILIAL_A_FATURAR = 'CD ARAQUARI' WHERE FORNECEDOR = 'CONFECÇOES MENINA BELA'</v>
      </c>
    </row>
    <row r="181" spans="1:5" x14ac:dyDescent="0.25">
      <c r="A181" s="3" t="s">
        <v>529</v>
      </c>
      <c r="B181" s="3" t="s">
        <v>2492</v>
      </c>
      <c r="C181" s="3" t="s">
        <v>2497</v>
      </c>
      <c r="D181" s="3" t="s">
        <v>2492</v>
      </c>
      <c r="E181" s="3" t="str">
        <f t="shared" si="2"/>
        <v>UPDATE FORNECEDORES SET FILIAL_A_ENTREGAR = 'CD REGIS', FILIAL_COBRANCA = 'TATUAPE', FILIAL_A_FATURAR = 'CD REGIS' WHERE FORNECEDOR = 'CONFECCOES SINDER LTDA'</v>
      </c>
    </row>
    <row r="182" spans="1:5" x14ac:dyDescent="0.25">
      <c r="A182" s="3" t="s">
        <v>531</v>
      </c>
      <c r="B182" s="3" t="s">
        <v>2498</v>
      </c>
      <c r="C182" s="3" t="s">
        <v>2498</v>
      </c>
      <c r="D182" s="3" t="s">
        <v>2498</v>
      </c>
      <c r="E182" s="3" t="str">
        <f t="shared" si="2"/>
        <v>UPDATE FORNECEDORES SET FILIAL_A_ENTREGAR = 'SP - PARI', FILIAL_COBRANCA = 'SP - PARI', FILIAL_A_FATURAR = 'SP - PARI' WHERE FORNECEDOR = 'CONFLUENCE SOLUCOES'</v>
      </c>
    </row>
    <row r="183" spans="1:5" x14ac:dyDescent="0.25">
      <c r="A183" s="3" t="s">
        <v>535</v>
      </c>
      <c r="B183" s="3" t="s">
        <v>2498</v>
      </c>
      <c r="C183" s="3" t="s">
        <v>2498</v>
      </c>
      <c r="D183" s="3" t="s">
        <v>2498</v>
      </c>
      <c r="E183" s="3" t="str">
        <f t="shared" si="2"/>
        <v>UPDATE FORNECEDORES SET FILIAL_A_ENTREGAR = 'SP - PARI', FILIAL_COBRANCA = 'SP - PARI', FILIAL_A_FATURAR = 'SP - PARI' WHERE FORNECEDOR = 'CONSTRUCAO RJC 18'</v>
      </c>
    </row>
    <row r="184" spans="1:5" x14ac:dyDescent="0.25">
      <c r="A184" s="3" t="s">
        <v>536</v>
      </c>
      <c r="B184" s="3" t="s">
        <v>2516</v>
      </c>
      <c r="C184" s="3" t="s">
        <v>2516</v>
      </c>
      <c r="D184" s="3" t="s">
        <v>2516</v>
      </c>
      <c r="E184" s="3" t="str">
        <f t="shared" si="2"/>
        <v>UPDATE FORNECEDORES SET FILIAL_A_ENTREGAR = 'SP - PIRAPORINHA', FILIAL_COBRANCA = 'SP - PIRAPORINHA', FILIAL_A_FATURAR = 'SP - PIRAPORINHA' WHERE FORNECEDOR = 'CONSTRUTORA BRAS EIRELI'</v>
      </c>
    </row>
    <row r="185" spans="1:5" x14ac:dyDescent="0.25">
      <c r="A185" s="3" t="s">
        <v>540</v>
      </c>
      <c r="B185" s="3" t="s">
        <v>1497</v>
      </c>
      <c r="C185" s="3" t="s">
        <v>1497</v>
      </c>
      <c r="D185" s="3" t="s">
        <v>1497</v>
      </c>
      <c r="E185" s="3" t="str">
        <f t="shared" si="2"/>
        <v>UPDATE FORNECEDORES SET FILIAL_A_ENTREGAR = 'MATRIZ', FILIAL_COBRANCA = 'MATRIZ', FILIAL_A_FATURAR = 'MATRIZ' WHERE FORNECEDOR = 'CONTAZUL CONTABILIDADE LT'</v>
      </c>
    </row>
    <row r="186" spans="1:5" x14ac:dyDescent="0.25">
      <c r="A186" s="3" t="s">
        <v>543</v>
      </c>
      <c r="B186" s="3" t="s">
        <v>2494</v>
      </c>
      <c r="C186" s="3" t="s">
        <v>2494</v>
      </c>
      <c r="D186" s="3" t="s">
        <v>2494</v>
      </c>
      <c r="E186" s="3" t="str">
        <f t="shared" si="2"/>
        <v>UPDATE FORNECEDORES SET FILIAL_A_ENTREGAR = 'ANPPLA', FILIAL_COBRANCA = 'ANPPLA', FILIAL_A_FATURAR = 'ANPPLA' WHERE FORNECEDOR = 'CONTROLE AGRIMENSURA'</v>
      </c>
    </row>
    <row r="187" spans="1:5" x14ac:dyDescent="0.25">
      <c r="A187" s="3" t="s">
        <v>546</v>
      </c>
      <c r="B187" s="3" t="s">
        <v>1497</v>
      </c>
      <c r="C187" s="3" t="s">
        <v>1497</v>
      </c>
      <c r="D187" s="3" t="s">
        <v>1497</v>
      </c>
      <c r="E187" s="3" t="str">
        <f t="shared" si="2"/>
        <v>UPDATE FORNECEDORES SET FILIAL_A_ENTREGAR = 'MATRIZ', FILIAL_COBRANCA = 'MATRIZ', FILIAL_A_FATURAR = 'MATRIZ' WHERE FORNECEDOR = 'COOPERTAX'</v>
      </c>
    </row>
    <row r="188" spans="1:5" x14ac:dyDescent="0.25">
      <c r="A188" s="3" t="s">
        <v>550</v>
      </c>
      <c r="B188" s="3" t="s">
        <v>444</v>
      </c>
      <c r="C188" s="3" t="s">
        <v>1497</v>
      </c>
      <c r="D188" s="3" t="s">
        <v>444</v>
      </c>
      <c r="E188" s="3" t="str">
        <f t="shared" si="2"/>
        <v>UPDATE FORNECEDORES SET FILIAL_A_ENTREGAR = 'CD NAVEGANTES', FILIAL_COBRANCA = 'MATRIZ', FILIAL_A_FATURAR = 'CD NAVEGANTES' WHERE FORNECEDOR = 'CORINGA'</v>
      </c>
    </row>
    <row r="189" spans="1:5" x14ac:dyDescent="0.25">
      <c r="A189" s="3" t="s">
        <v>552</v>
      </c>
      <c r="B189" s="3" t="s">
        <v>2492</v>
      </c>
      <c r="C189" s="3" t="s">
        <v>2492</v>
      </c>
      <c r="D189" s="3" t="s">
        <v>2492</v>
      </c>
      <c r="E189" s="3" t="str">
        <f t="shared" si="2"/>
        <v>UPDATE FORNECEDORES SET FILIAL_A_ENTREGAR = 'CD REGIS', FILIAL_COBRANCA = 'CD REGIS', FILIAL_A_FATURAR = 'CD REGIS' WHERE FORNECEDOR = 'COSTA RICA'</v>
      </c>
    </row>
    <row r="190" spans="1:5" x14ac:dyDescent="0.25">
      <c r="A190" s="3" t="s">
        <v>557</v>
      </c>
      <c r="B190" s="3" t="s">
        <v>2495</v>
      </c>
      <c r="C190" s="3" t="s">
        <v>2495</v>
      </c>
      <c r="D190" s="3" t="s">
        <v>2495</v>
      </c>
      <c r="E190" s="3" t="str">
        <f t="shared" si="2"/>
        <v>UPDATE FORNECEDORES SET FILIAL_A_ENTREGAR = 'JUNDIAI', FILIAL_COBRANCA = 'JUNDIAI', FILIAL_A_FATURAR = 'JUNDIAI' WHERE FORNECEDOR = 'CPFL'</v>
      </c>
    </row>
    <row r="191" spans="1:5" x14ac:dyDescent="0.25">
      <c r="A191" s="3" t="s">
        <v>558</v>
      </c>
      <c r="B191" s="3" t="s">
        <v>2514</v>
      </c>
      <c r="C191" s="3" t="s">
        <v>2514</v>
      </c>
      <c r="D191" s="3" t="s">
        <v>2514</v>
      </c>
      <c r="E191" s="3" t="str">
        <f t="shared" si="2"/>
        <v>UPDATE FORNECEDORES SET FILIAL_A_ENTREGAR = 'PIRASSUNUNGA', FILIAL_COBRANCA = 'PIRASSUNUNGA', FILIAL_A_FATURAR = 'PIRASSUNUNGA' WHERE FORNECEDOR = 'CRB EQUIP ESCRITORIO LTDA'</v>
      </c>
    </row>
    <row r="192" spans="1:5" x14ac:dyDescent="0.25">
      <c r="A192" s="3" t="s">
        <v>563</v>
      </c>
      <c r="B192" s="3" t="s">
        <v>2492</v>
      </c>
      <c r="C192" s="3" t="s">
        <v>1497</v>
      </c>
      <c r="D192" s="3" t="s">
        <v>2492</v>
      </c>
      <c r="E192" s="3" t="str">
        <f t="shared" si="2"/>
        <v>UPDATE FORNECEDORES SET FILIAL_A_ENTREGAR = 'CD REGIS', FILIAL_COBRANCA = 'MATRIZ', FILIAL_A_FATURAR = 'CD REGIS' WHERE FORNECEDOR = 'CRIS VAN'</v>
      </c>
    </row>
    <row r="193" spans="1:5" x14ac:dyDescent="0.25">
      <c r="A193" s="3" t="s">
        <v>564</v>
      </c>
      <c r="B193" s="3" t="s">
        <v>2492</v>
      </c>
      <c r="C193" s="3" t="s">
        <v>1497</v>
      </c>
      <c r="D193" s="3" t="s">
        <v>2492</v>
      </c>
      <c r="E193" s="3" t="str">
        <f t="shared" si="2"/>
        <v>UPDATE FORNECEDORES SET FILIAL_A_ENTREGAR = 'CD REGIS', FILIAL_COBRANCA = 'MATRIZ', FILIAL_A_FATURAR = 'CD REGIS' WHERE FORNECEDOR = 'CRISMA CONFECCOES'</v>
      </c>
    </row>
    <row r="194" spans="1:5" x14ac:dyDescent="0.25">
      <c r="A194" s="3" t="s">
        <v>566</v>
      </c>
      <c r="B194" s="3" t="s">
        <v>2492</v>
      </c>
      <c r="C194" s="3" t="s">
        <v>1497</v>
      </c>
      <c r="D194" s="3" t="s">
        <v>2492</v>
      </c>
      <c r="E194" s="3" t="str">
        <f t="shared" si="2"/>
        <v>UPDATE FORNECEDORES SET FILIAL_A_ENTREGAR = 'CD REGIS', FILIAL_COBRANCA = 'MATRIZ', FILIAL_A_FATURAR = 'CD REGIS' WHERE FORNECEDOR = 'CRITTON'</v>
      </c>
    </row>
    <row r="195" spans="1:5" x14ac:dyDescent="0.25">
      <c r="A195" s="3" t="s">
        <v>573</v>
      </c>
      <c r="B195" s="3" t="s">
        <v>2492</v>
      </c>
      <c r="C195" s="3" t="s">
        <v>1497</v>
      </c>
      <c r="D195" s="3" t="s">
        <v>2492</v>
      </c>
      <c r="E195" s="3" t="str">
        <f t="shared" si="2"/>
        <v>UPDATE FORNECEDORES SET FILIAL_A_ENTREGAR = 'CD REGIS', FILIAL_COBRANCA = 'MATRIZ', FILIAL_A_FATURAR = 'CD REGIS' WHERE FORNECEDOR = 'CURVA PERFEITA'</v>
      </c>
    </row>
    <row r="196" spans="1:5" x14ac:dyDescent="0.25">
      <c r="A196" s="3" t="s">
        <v>576</v>
      </c>
      <c r="B196" s="3" t="s">
        <v>2492</v>
      </c>
      <c r="C196" s="3" t="s">
        <v>2492</v>
      </c>
      <c r="D196" s="3" t="s">
        <v>2492</v>
      </c>
      <c r="E196" s="3" t="str">
        <f t="shared" si="2"/>
        <v>UPDATE FORNECEDORES SET FILIAL_A_ENTREGAR = 'CD REGIS', FILIAL_COBRANCA = 'CD REGIS', FILIAL_A_FATURAR = 'CD REGIS' WHERE FORNECEDOR = 'CYKLOP DO BRASIL'</v>
      </c>
    </row>
    <row r="197" spans="1:5" x14ac:dyDescent="0.25">
      <c r="A197" s="3" t="s">
        <v>581</v>
      </c>
      <c r="B197" s="3" t="s">
        <v>2492</v>
      </c>
      <c r="C197" s="3" t="s">
        <v>1497</v>
      </c>
      <c r="D197" s="3" t="s">
        <v>2492</v>
      </c>
      <c r="E197" s="3" t="str">
        <f t="shared" ref="E197:E260" si="3">"UPDATE FORNECEDORES SET FILIAL_A_ENTREGAR = '"&amp;B197&amp;"', FILIAL_COBRANCA = '"&amp;C197&amp;"', FILIAL_A_FATURAR = '"&amp;D197&amp;"' WHERE FORNECEDOR = '"&amp;A197&amp;"'"</f>
        <v>UPDATE FORNECEDORES SET FILIAL_A_ENTREGAR = 'CD REGIS', FILIAL_COBRANCA = 'MATRIZ', FILIAL_A_FATURAR = 'CD REGIS' WHERE FORNECEDOR = 'D KARY LINGERIE'</v>
      </c>
    </row>
    <row r="198" spans="1:5" x14ac:dyDescent="0.25">
      <c r="A198" s="3" t="s">
        <v>582</v>
      </c>
      <c r="B198" s="3" t="s">
        <v>2494</v>
      </c>
      <c r="C198" s="3" t="s">
        <v>2494</v>
      </c>
      <c r="D198" s="3" t="s">
        <v>2494</v>
      </c>
      <c r="E198" s="3" t="str">
        <f t="shared" si="3"/>
        <v>UPDATE FORNECEDORES SET FILIAL_A_ENTREGAR = 'ANPPLA', FILIAL_COBRANCA = 'ANPPLA', FILIAL_A_FATURAR = 'ANPPLA' WHERE FORNECEDOR = 'D L R ENGENHEIROS'</v>
      </c>
    </row>
    <row r="199" spans="1:5" x14ac:dyDescent="0.25">
      <c r="A199" s="3" t="s">
        <v>583</v>
      </c>
      <c r="B199" s="3" t="s">
        <v>2492</v>
      </c>
      <c r="C199" s="3" t="s">
        <v>1497</v>
      </c>
      <c r="D199" s="3" t="s">
        <v>2492</v>
      </c>
      <c r="E199" s="3" t="str">
        <f t="shared" si="3"/>
        <v>UPDATE FORNECEDORES SET FILIAL_A_ENTREGAR = 'CD REGIS', FILIAL_COBRANCA = 'MATRIZ', FILIAL_A_FATURAR = 'CD REGIS' WHERE FORNECEDOR = 'D LUNE LANGERI'</v>
      </c>
    </row>
    <row r="200" spans="1:5" x14ac:dyDescent="0.25">
      <c r="A200" s="3" t="s">
        <v>584</v>
      </c>
      <c r="B200" s="3" t="s">
        <v>2492</v>
      </c>
      <c r="C200" s="3" t="s">
        <v>1497</v>
      </c>
      <c r="D200" s="3" t="s">
        <v>2492</v>
      </c>
      <c r="E200" s="3" t="str">
        <f t="shared" si="3"/>
        <v>UPDATE FORNECEDORES SET FILIAL_A_ENTREGAR = 'CD REGIS', FILIAL_COBRANCA = 'MATRIZ', FILIAL_A_FATURAR = 'CD REGIS' WHERE FORNECEDOR = 'D LUNE MODA INTIMA'</v>
      </c>
    </row>
    <row r="201" spans="1:5" x14ac:dyDescent="0.25">
      <c r="A201" s="3" t="s">
        <v>585</v>
      </c>
      <c r="B201" s="3" t="s">
        <v>2492</v>
      </c>
      <c r="C201" s="3" t="s">
        <v>1497</v>
      </c>
      <c r="D201" s="3" t="s">
        <v>2492</v>
      </c>
      <c r="E201" s="3" t="str">
        <f t="shared" si="3"/>
        <v>UPDATE FORNECEDORES SET FILIAL_A_ENTREGAR = 'CD REGIS', FILIAL_COBRANCA = 'MATRIZ', FILIAL_A_FATURAR = 'CD REGIS' WHERE FORNECEDOR = 'D REINE'</v>
      </c>
    </row>
    <row r="202" spans="1:5" x14ac:dyDescent="0.25">
      <c r="A202" s="3" t="s">
        <v>589</v>
      </c>
      <c r="B202" s="3" t="s">
        <v>2498</v>
      </c>
      <c r="C202" s="3" t="s">
        <v>2498</v>
      </c>
      <c r="D202" s="3" t="s">
        <v>2498</v>
      </c>
      <c r="E202" s="3" t="str">
        <f t="shared" si="3"/>
        <v>UPDATE FORNECEDORES SET FILIAL_A_ENTREGAR = 'SP - PARI', FILIAL_COBRANCA = 'SP - PARI', FILIAL_A_FATURAR = 'SP - PARI' WHERE FORNECEDOR = 'D5 AGENCIA DE ATORES'</v>
      </c>
    </row>
    <row r="203" spans="1:5" x14ac:dyDescent="0.25">
      <c r="A203" s="3" t="s">
        <v>602</v>
      </c>
      <c r="B203" s="3" t="s">
        <v>443</v>
      </c>
      <c r="C203" s="3" t="s">
        <v>1497</v>
      </c>
      <c r="D203" s="3" t="s">
        <v>443</v>
      </c>
      <c r="E203" s="3" t="str">
        <f t="shared" si="3"/>
        <v>UPDATE FORNECEDORES SET FILIAL_A_ENTREGAR = 'CD ARAQUARI', FILIAL_COBRANCA = 'MATRIZ', FILIAL_A_FATURAR = 'CD ARAQUARI' WHERE FORNECEDOR = 'DARONE'</v>
      </c>
    </row>
    <row r="204" spans="1:5" x14ac:dyDescent="0.25">
      <c r="A204" s="3" t="s">
        <v>606</v>
      </c>
      <c r="B204" s="3" t="s">
        <v>2494</v>
      </c>
      <c r="C204" s="3" t="s">
        <v>2494</v>
      </c>
      <c r="D204" s="3" t="s">
        <v>2494</v>
      </c>
      <c r="E204" s="3" t="str">
        <f t="shared" si="3"/>
        <v>UPDATE FORNECEDORES SET FILIAL_A_ENTREGAR = 'ANPPLA', FILIAL_COBRANCA = 'ANPPLA', FILIAL_A_FATURAR = 'ANPPLA' WHERE FORNECEDOR = 'DB COMERCIO E SERVICOS'</v>
      </c>
    </row>
    <row r="205" spans="1:5" x14ac:dyDescent="0.25">
      <c r="A205" s="3" t="s">
        <v>608</v>
      </c>
      <c r="B205" s="3" t="s">
        <v>1497</v>
      </c>
      <c r="C205" s="3" t="s">
        <v>1497</v>
      </c>
      <c r="D205" s="3" t="s">
        <v>1497</v>
      </c>
      <c r="E205" s="3" t="str">
        <f t="shared" si="3"/>
        <v>UPDATE FORNECEDORES SET FILIAL_A_ENTREGAR = 'MATRIZ', FILIAL_COBRANCA = 'MATRIZ', FILIAL_A_FATURAR = 'MATRIZ' WHERE FORNECEDOR = 'DE BRITO PROPAGANDA LTDA'</v>
      </c>
    </row>
    <row r="206" spans="1:5" x14ac:dyDescent="0.25">
      <c r="A206" s="3" t="s">
        <v>611</v>
      </c>
      <c r="B206" s="3" t="s">
        <v>2492</v>
      </c>
      <c r="C206" s="3" t="s">
        <v>1497</v>
      </c>
      <c r="D206" s="3" t="s">
        <v>2492</v>
      </c>
      <c r="E206" s="3" t="str">
        <f t="shared" si="3"/>
        <v>UPDATE FORNECEDORES SET FILIAL_A_ENTREGAR = 'CD REGIS', FILIAL_COBRANCA = 'MATRIZ', FILIAL_A_FATURAR = 'CD REGIS' WHERE FORNECEDOR = 'DEBORA RIBEIRO TRICOT'</v>
      </c>
    </row>
    <row r="207" spans="1:5" x14ac:dyDescent="0.25">
      <c r="A207" s="3" t="s">
        <v>613</v>
      </c>
      <c r="B207" s="3" t="s">
        <v>2492</v>
      </c>
      <c r="C207" s="3" t="s">
        <v>1497</v>
      </c>
      <c r="D207" s="3" t="s">
        <v>2492</v>
      </c>
      <c r="E207" s="3" t="str">
        <f t="shared" si="3"/>
        <v>UPDATE FORNECEDORES SET FILIAL_A_ENTREGAR = 'CD REGIS', FILIAL_COBRANCA = 'MATRIZ', FILIAL_A_FATURAR = 'CD REGIS' WHERE FORNECEDOR = 'DECORO'</v>
      </c>
    </row>
    <row r="208" spans="1:5" x14ac:dyDescent="0.25">
      <c r="A208" s="3" t="s">
        <v>614</v>
      </c>
      <c r="B208" s="3" t="s">
        <v>2492</v>
      </c>
      <c r="C208" s="3" t="s">
        <v>2497</v>
      </c>
      <c r="D208" s="3" t="s">
        <v>2492</v>
      </c>
      <c r="E208" s="3" t="str">
        <f t="shared" si="3"/>
        <v>UPDATE FORNECEDORES SET FILIAL_A_ENTREGAR = 'CD REGIS', FILIAL_COBRANCA = 'TATUAPE', FILIAL_A_FATURAR = 'CD REGIS' WHERE FORNECEDOR = 'DECRETO BASE'</v>
      </c>
    </row>
    <row r="209" spans="1:5" x14ac:dyDescent="0.25">
      <c r="A209" s="3" t="s">
        <v>619</v>
      </c>
      <c r="B209" s="3" t="s">
        <v>2492</v>
      </c>
      <c r="C209" s="3" t="s">
        <v>1497</v>
      </c>
      <c r="D209" s="3" t="s">
        <v>2492</v>
      </c>
      <c r="E209" s="3" t="str">
        <f t="shared" si="3"/>
        <v>UPDATE FORNECEDORES SET FILIAL_A_ENTREGAR = 'CD REGIS', FILIAL_COBRANCA = 'MATRIZ', FILIAL_A_FATURAR = 'CD REGIS' WHERE FORNECEDOR = 'DEGRADE'</v>
      </c>
    </row>
    <row r="210" spans="1:5" x14ac:dyDescent="0.25">
      <c r="A210" s="3" t="s">
        <v>631</v>
      </c>
      <c r="B210" s="3" t="s">
        <v>2494</v>
      </c>
      <c r="C210" s="3" t="s">
        <v>2494</v>
      </c>
      <c r="D210" s="3" t="s">
        <v>2494</v>
      </c>
      <c r="E210" s="3" t="str">
        <f t="shared" si="3"/>
        <v>UPDATE FORNECEDORES SET FILIAL_A_ENTREGAR = 'ANPPLA', FILIAL_COBRANCA = 'ANPPLA', FILIAL_A_FATURAR = 'ANPPLA' WHERE FORNECEDOR = 'DEP MAT CONSTR MORATENSE'</v>
      </c>
    </row>
    <row r="211" spans="1:5" x14ac:dyDescent="0.25">
      <c r="A211" s="3" t="s">
        <v>633</v>
      </c>
      <c r="B211" s="3" t="s">
        <v>2492</v>
      </c>
      <c r="C211" s="3" t="s">
        <v>2497</v>
      </c>
      <c r="D211" s="3" t="s">
        <v>2492</v>
      </c>
      <c r="E211" s="3" t="str">
        <f t="shared" si="3"/>
        <v>UPDATE FORNECEDORES SET FILIAL_A_ENTREGAR = 'CD REGIS', FILIAL_COBRANCA = 'TATUAPE', FILIAL_A_FATURAR = 'CD REGIS' WHERE FORNECEDOR = 'DESAYNER'</v>
      </c>
    </row>
    <row r="212" spans="1:5" x14ac:dyDescent="0.25">
      <c r="A212" s="3" t="s">
        <v>634</v>
      </c>
      <c r="B212" s="3" t="s">
        <v>2492</v>
      </c>
      <c r="C212" s="3" t="s">
        <v>2497</v>
      </c>
      <c r="D212" s="3" t="s">
        <v>2492</v>
      </c>
      <c r="E212" s="3" t="str">
        <f t="shared" si="3"/>
        <v>UPDATE FORNECEDORES SET FILIAL_A_ENTREGAR = 'CD REGIS', FILIAL_COBRANCA = 'TATUAPE', FILIAL_A_FATURAR = 'CD REGIS' WHERE FORNECEDOR = 'DESORDEM/DECORTEX'</v>
      </c>
    </row>
    <row r="213" spans="1:5" x14ac:dyDescent="0.25">
      <c r="A213" s="3" t="s">
        <v>638</v>
      </c>
      <c r="B213" s="3" t="s">
        <v>2509</v>
      </c>
      <c r="C213" s="3" t="s">
        <v>2509</v>
      </c>
      <c r="D213" s="3" t="s">
        <v>2509</v>
      </c>
      <c r="E213" s="3" t="str">
        <f t="shared" si="3"/>
        <v>UPDATE FORNECEDORES SET FILIAL_A_ENTREGAR = 'ITAIM', FILIAL_COBRANCA = 'ITAIM', FILIAL_A_FATURAR = 'ITAIM' WHERE FORNECEDOR = 'DI SOM  PRODUTOS ELETRON'</v>
      </c>
    </row>
    <row r="214" spans="1:5" x14ac:dyDescent="0.25">
      <c r="A214" s="3" t="s">
        <v>642</v>
      </c>
      <c r="B214" s="3" t="s">
        <v>2492</v>
      </c>
      <c r="C214" s="3" t="s">
        <v>2492</v>
      </c>
      <c r="D214" s="3" t="s">
        <v>2492</v>
      </c>
      <c r="E214" s="3" t="str">
        <f t="shared" si="3"/>
        <v>UPDATE FORNECEDORES SET FILIAL_A_ENTREGAR = 'CD REGIS', FILIAL_COBRANCA = 'CD REGIS', FILIAL_A_FATURAR = 'CD REGIS' WHERE FORNECEDOR = 'DIFER COMERCIO DE BOBINAS'</v>
      </c>
    </row>
    <row r="215" spans="1:5" x14ac:dyDescent="0.25">
      <c r="A215" s="3" t="s">
        <v>644</v>
      </c>
      <c r="B215" s="3" t="s">
        <v>2492</v>
      </c>
      <c r="C215" s="3" t="s">
        <v>2492</v>
      </c>
      <c r="D215" s="3" t="s">
        <v>2492</v>
      </c>
      <c r="E215" s="3" t="str">
        <f t="shared" si="3"/>
        <v>UPDATE FORNECEDORES SET FILIAL_A_ENTREGAR = 'CD REGIS', FILIAL_COBRANCA = 'CD REGIS', FILIAL_A_FATURAR = 'CD REGIS' WHERE FORNECEDOR = 'DIGITAL TEXTIL IND'</v>
      </c>
    </row>
    <row r="216" spans="1:5" x14ac:dyDescent="0.25">
      <c r="A216" s="3" t="s">
        <v>648</v>
      </c>
      <c r="B216" s="3" t="s">
        <v>1497</v>
      </c>
      <c r="C216" s="3" t="s">
        <v>1497</v>
      </c>
      <c r="D216" s="3" t="s">
        <v>1497</v>
      </c>
      <c r="E216" s="3" t="str">
        <f t="shared" si="3"/>
        <v>UPDATE FORNECEDORES SET FILIAL_A_ENTREGAR = 'MATRIZ', FILIAL_COBRANCA = 'MATRIZ', FILIAL_A_FATURAR = 'MATRIZ' WHERE FORNECEDOR = 'DIMAS DE MELO PIMENTA'</v>
      </c>
    </row>
    <row r="217" spans="1:5" x14ac:dyDescent="0.25">
      <c r="A217" s="3" t="s">
        <v>649</v>
      </c>
      <c r="B217" s="3" t="s">
        <v>2492</v>
      </c>
      <c r="C217" s="3" t="s">
        <v>2497</v>
      </c>
      <c r="D217" s="3" t="s">
        <v>2492</v>
      </c>
      <c r="E217" s="3" t="str">
        <f t="shared" si="3"/>
        <v>UPDATE FORNECEDORES SET FILIAL_A_ENTREGAR = 'CD REGIS', FILIAL_COBRANCA = 'TATUAPE', FILIAL_A_FATURAR = 'CD REGIS' WHERE FORNECEDOR = 'DIMENSAO IND. VESTUARIO'</v>
      </c>
    </row>
    <row r="218" spans="1:5" x14ac:dyDescent="0.25">
      <c r="A218" s="3" t="s">
        <v>654</v>
      </c>
      <c r="B218" s="3" t="s">
        <v>1497</v>
      </c>
      <c r="C218" s="3" t="s">
        <v>1497</v>
      </c>
      <c r="D218" s="3" t="s">
        <v>1497</v>
      </c>
      <c r="E218" s="3" t="str">
        <f t="shared" si="3"/>
        <v>UPDATE FORNECEDORES SET FILIAL_A_ENTREGAR = 'MATRIZ', FILIAL_COBRANCA = 'MATRIZ', FILIAL_A_FATURAR = 'MATRIZ' WHERE FORNECEDOR = 'DIRECTNET'</v>
      </c>
    </row>
    <row r="219" spans="1:5" x14ac:dyDescent="0.25">
      <c r="A219" s="3" t="s">
        <v>658</v>
      </c>
      <c r="B219" s="3" t="s">
        <v>2492</v>
      </c>
      <c r="C219" s="3" t="s">
        <v>1497</v>
      </c>
      <c r="D219" s="3" t="s">
        <v>2492</v>
      </c>
      <c r="E219" s="3" t="str">
        <f t="shared" si="3"/>
        <v>UPDATE FORNECEDORES SET FILIAL_A_ENTREGAR = 'CD REGIS', FILIAL_COBRANCA = 'MATRIZ', FILIAL_A_FATURAR = 'CD REGIS' WHERE FORNECEDOR = 'DIVA 3'</v>
      </c>
    </row>
    <row r="220" spans="1:5" x14ac:dyDescent="0.25">
      <c r="A220" s="3" t="s">
        <v>660</v>
      </c>
      <c r="B220" s="3" t="s">
        <v>2492</v>
      </c>
      <c r="C220" s="3" t="s">
        <v>1497</v>
      </c>
      <c r="D220" s="3" t="s">
        <v>2492</v>
      </c>
      <c r="E220" s="3" t="str">
        <f t="shared" si="3"/>
        <v>UPDATE FORNECEDORES SET FILIAL_A_ENTREGAR = 'CD REGIS', FILIAL_COBRANCA = 'MATRIZ', FILIAL_A_FATURAR = 'CD REGIS' WHERE FORNECEDOR = 'DIXIE'</v>
      </c>
    </row>
    <row r="221" spans="1:5" x14ac:dyDescent="0.25">
      <c r="A221" s="3" t="s">
        <v>661</v>
      </c>
      <c r="B221" s="3" t="s">
        <v>2492</v>
      </c>
      <c r="C221" s="3" t="s">
        <v>2492</v>
      </c>
      <c r="D221" s="3" t="s">
        <v>2492</v>
      </c>
      <c r="E221" s="3" t="str">
        <f t="shared" si="3"/>
        <v>UPDATE FORNECEDORES SET FILIAL_A_ENTREGAR = 'CD REGIS', FILIAL_COBRANCA = 'CD REGIS', FILIAL_A_FATURAR = 'CD REGIS' WHERE FORNECEDOR = 'DIXX AVIAMENTOS'</v>
      </c>
    </row>
    <row r="222" spans="1:5" x14ac:dyDescent="0.25">
      <c r="A222" s="3" t="s">
        <v>668</v>
      </c>
      <c r="B222" s="3" t="s">
        <v>443</v>
      </c>
      <c r="C222" s="3" t="s">
        <v>1497</v>
      </c>
      <c r="D222" s="3" t="s">
        <v>443</v>
      </c>
      <c r="E222" s="3" t="str">
        <f t="shared" si="3"/>
        <v>UPDATE FORNECEDORES SET FILIAL_A_ENTREGAR = 'CD ARAQUARI', FILIAL_COBRANCA = 'MATRIZ', FILIAL_A_FATURAR = 'CD ARAQUARI' WHERE FORNECEDOR = 'DOCE BRILHO'</v>
      </c>
    </row>
    <row r="223" spans="1:5" x14ac:dyDescent="0.25">
      <c r="A223" s="3" t="s">
        <v>675</v>
      </c>
      <c r="B223" s="3" t="s">
        <v>1497</v>
      </c>
      <c r="C223" s="3" t="s">
        <v>1497</v>
      </c>
      <c r="D223" s="3" t="s">
        <v>1497</v>
      </c>
      <c r="E223" s="3" t="str">
        <f t="shared" si="3"/>
        <v>UPDATE FORNECEDORES SET FILIAL_A_ENTREGAR = 'MATRIZ', FILIAL_COBRANCA = 'MATRIZ', FILIAL_A_FATURAR = 'MATRIZ' WHERE FORNECEDOR = 'DONA NEGONA CASTING'</v>
      </c>
    </row>
    <row r="224" spans="1:5" x14ac:dyDescent="0.25">
      <c r="A224" s="3" t="s">
        <v>676</v>
      </c>
      <c r="B224" s="3" t="s">
        <v>443</v>
      </c>
      <c r="C224" s="3" t="s">
        <v>1497</v>
      </c>
      <c r="D224" s="3" t="s">
        <v>443</v>
      </c>
      <c r="E224" s="3" t="str">
        <f t="shared" si="3"/>
        <v>UPDATE FORNECEDORES SET FILIAL_A_ENTREGAR = 'CD ARAQUARI', FILIAL_COBRANCA = 'MATRIZ', FILIAL_A_FATURAR = 'CD ARAQUARI' WHERE FORNECEDOR = 'DONNA'</v>
      </c>
    </row>
    <row r="225" spans="1:5" x14ac:dyDescent="0.25">
      <c r="A225" s="3" t="s">
        <v>678</v>
      </c>
      <c r="B225" s="3" t="s">
        <v>2492</v>
      </c>
      <c r="C225" s="3" t="s">
        <v>1497</v>
      </c>
      <c r="D225" s="3" t="s">
        <v>2492</v>
      </c>
      <c r="E225" s="3" t="str">
        <f t="shared" si="3"/>
        <v>UPDATE FORNECEDORES SET FILIAL_A_ENTREGAR = 'CD REGIS', FILIAL_COBRANCA = 'MATRIZ', FILIAL_A_FATURAR = 'CD REGIS' WHERE FORNECEDOR = 'DONNA CAROLE ME'</v>
      </c>
    </row>
    <row r="226" spans="1:5" x14ac:dyDescent="0.25">
      <c r="A226" s="3" t="s">
        <v>680</v>
      </c>
      <c r="B226" s="3" t="s">
        <v>1497</v>
      </c>
      <c r="C226" s="3" t="s">
        <v>1497</v>
      </c>
      <c r="D226" s="3" t="s">
        <v>1497</v>
      </c>
      <c r="E226" s="3" t="str">
        <f t="shared" si="3"/>
        <v>UPDATE FORNECEDORES SET FILIAL_A_ENTREGAR = 'MATRIZ', FILIAL_COBRANCA = 'MATRIZ', FILIAL_A_FATURAR = 'MATRIZ' WHERE FORNECEDOR = 'DORIA RIBEIRO'</v>
      </c>
    </row>
    <row r="227" spans="1:5" x14ac:dyDescent="0.25">
      <c r="A227" s="3" t="s">
        <v>690</v>
      </c>
      <c r="B227" s="3" t="s">
        <v>443</v>
      </c>
      <c r="C227" s="3" t="s">
        <v>1497</v>
      </c>
      <c r="D227" s="3" t="s">
        <v>443</v>
      </c>
      <c r="E227" s="3" t="str">
        <f t="shared" si="3"/>
        <v>UPDATE FORNECEDORES SET FILIAL_A_ENTREGAR = 'CD ARAQUARI', FILIAL_COBRANCA = 'MATRIZ', FILIAL_A_FATURAR = 'CD ARAQUARI' WHERE FORNECEDOR = 'DUDUKA'</v>
      </c>
    </row>
    <row r="228" spans="1:5" x14ac:dyDescent="0.25">
      <c r="A228" s="3" t="s">
        <v>705</v>
      </c>
      <c r="B228" s="3" t="s">
        <v>2499</v>
      </c>
      <c r="C228" s="3" t="s">
        <v>2499</v>
      </c>
      <c r="D228" s="3" t="s">
        <v>2499</v>
      </c>
      <c r="E228" s="3" t="str">
        <f t="shared" si="3"/>
        <v>UPDATE FORNECEDORES SET FILIAL_A_ENTREGAR = 'BARUERI', FILIAL_COBRANCA = 'BARUERI', FILIAL_A_FATURAR = 'BARUERI' WHERE FORNECEDOR = 'E.B.T EMBRATEL'</v>
      </c>
    </row>
    <row r="229" spans="1:5" x14ac:dyDescent="0.25">
      <c r="A229" s="3" t="s">
        <v>706</v>
      </c>
      <c r="B229" s="3" t="s">
        <v>2494</v>
      </c>
      <c r="C229" s="3" t="s">
        <v>2494</v>
      </c>
      <c r="D229" s="3" t="s">
        <v>2494</v>
      </c>
      <c r="E229" s="3" t="str">
        <f t="shared" si="3"/>
        <v>UPDATE FORNECEDORES SET FILIAL_A_ENTREGAR = 'ANPPLA', FILIAL_COBRANCA = 'ANPPLA', FILIAL_A_FATURAR = 'ANPPLA' WHERE FORNECEDOR = 'E.FERREIRA ASSESSORIA'</v>
      </c>
    </row>
    <row r="230" spans="1:5" x14ac:dyDescent="0.25">
      <c r="A230" s="3" t="s">
        <v>708</v>
      </c>
      <c r="B230" s="3" t="s">
        <v>2494</v>
      </c>
      <c r="C230" s="3" t="s">
        <v>2494</v>
      </c>
      <c r="D230" s="3" t="s">
        <v>2494</v>
      </c>
      <c r="E230" s="3" t="str">
        <f t="shared" si="3"/>
        <v>UPDATE FORNECEDORES SET FILIAL_A_ENTREGAR = 'ANPPLA', FILIAL_COBRANCA = 'ANPPLA', FILIAL_A_FATURAR = 'ANPPLA' WHERE FORNECEDOR = 'EBENEZER PREST DE SERVICO'</v>
      </c>
    </row>
    <row r="231" spans="1:5" x14ac:dyDescent="0.25">
      <c r="A231" s="3" t="s">
        <v>714</v>
      </c>
      <c r="B231" s="3" t="s">
        <v>2520</v>
      </c>
      <c r="C231" s="3" t="s">
        <v>2520</v>
      </c>
      <c r="D231" s="3" t="s">
        <v>2520</v>
      </c>
      <c r="E231" s="3" t="str">
        <f t="shared" si="3"/>
        <v>UPDATE FORNECEDORES SET FILIAL_A_ENTREGAR = 'CARAGUATATUBA', FILIAL_COBRANCA = 'CARAGUATATUBA', FILIAL_A_FATURAR = 'CARAGUATATUBA' WHERE FORNECEDOR = 'EDP BANDEIRANTE'</v>
      </c>
    </row>
    <row r="232" spans="1:5" x14ac:dyDescent="0.25">
      <c r="A232" s="3" t="s">
        <v>716</v>
      </c>
      <c r="B232" s="3" t="s">
        <v>2499</v>
      </c>
      <c r="C232" s="3" t="s">
        <v>2499</v>
      </c>
      <c r="D232" s="3" t="s">
        <v>2499</v>
      </c>
      <c r="E232" s="3" t="str">
        <f t="shared" si="3"/>
        <v>UPDATE FORNECEDORES SET FILIAL_A_ENTREGAR = 'BARUERI', FILIAL_COBRANCA = 'BARUERI', FILIAL_A_FATURAR = 'BARUERI' WHERE FORNECEDOR = 'EDUARDO BUSCARATTI CRUZ'</v>
      </c>
    </row>
    <row r="233" spans="1:5" x14ac:dyDescent="0.25">
      <c r="A233" s="3" t="s">
        <v>718</v>
      </c>
      <c r="B233" s="3" t="s">
        <v>2492</v>
      </c>
      <c r="C233" s="3" t="s">
        <v>2497</v>
      </c>
      <c r="D233" s="3" t="s">
        <v>2492</v>
      </c>
      <c r="E233" s="3" t="str">
        <f t="shared" si="3"/>
        <v>UPDATE FORNECEDORES SET FILIAL_A_ENTREGAR = 'CD REGIS', FILIAL_COBRANCA = 'TATUAPE', FILIAL_A_FATURAR = 'CD REGIS' WHERE FORNECEDOR = 'EDVAN MALHAS'</v>
      </c>
    </row>
    <row r="234" spans="1:5" x14ac:dyDescent="0.25">
      <c r="A234" s="3" t="s">
        <v>721</v>
      </c>
      <c r="B234" s="3" t="s">
        <v>2492</v>
      </c>
      <c r="C234" s="3" t="s">
        <v>1497</v>
      </c>
      <c r="D234" s="3" t="s">
        <v>2492</v>
      </c>
      <c r="E234" s="3" t="str">
        <f t="shared" si="3"/>
        <v>UPDATE FORNECEDORES SET FILIAL_A_ENTREGAR = 'CD REGIS', FILIAL_COBRANCA = 'MATRIZ', FILIAL_A_FATURAR = 'CD REGIS' WHERE FORNECEDOR = 'EIXO CONFECCOES'</v>
      </c>
    </row>
    <row r="235" spans="1:5" x14ac:dyDescent="0.25">
      <c r="A235" s="3" t="s">
        <v>722</v>
      </c>
      <c r="B235" s="3" t="s">
        <v>2492</v>
      </c>
      <c r="C235" s="3" t="s">
        <v>2497</v>
      </c>
      <c r="D235" s="3" t="s">
        <v>2492</v>
      </c>
      <c r="E235" s="3" t="str">
        <f t="shared" si="3"/>
        <v>UPDATE FORNECEDORES SET FILIAL_A_ENTREGAR = 'CD REGIS', FILIAL_COBRANCA = 'TATUAPE', FILIAL_A_FATURAR = 'CD REGIS' WHERE FORNECEDOR = 'EIXO CONFECCOES LTDA'</v>
      </c>
    </row>
    <row r="236" spans="1:5" x14ac:dyDescent="0.25">
      <c r="A236" s="3" t="s">
        <v>723</v>
      </c>
      <c r="B236" s="3" t="s">
        <v>2492</v>
      </c>
      <c r="C236" s="3" t="s">
        <v>2492</v>
      </c>
      <c r="D236" s="3" t="s">
        <v>2492</v>
      </c>
      <c r="E236" s="3" t="str">
        <f t="shared" si="3"/>
        <v>UPDATE FORNECEDORES SET FILIAL_A_ENTREGAR = 'CD REGIS', FILIAL_COBRANCA = 'CD REGIS', FILIAL_A_FATURAR = 'CD REGIS' WHERE FORNECEDOR = 'ELCRIL ACRILICOS LTDA'</v>
      </c>
    </row>
    <row r="237" spans="1:5" x14ac:dyDescent="0.25">
      <c r="A237" s="3" t="s">
        <v>724</v>
      </c>
      <c r="B237" s="3" t="s">
        <v>2494</v>
      </c>
      <c r="C237" s="3" t="s">
        <v>2494</v>
      </c>
      <c r="D237" s="3" t="s">
        <v>2494</v>
      </c>
      <c r="E237" s="3" t="str">
        <f t="shared" si="3"/>
        <v>UPDATE FORNECEDORES SET FILIAL_A_ENTREGAR = 'ANPPLA', FILIAL_COBRANCA = 'ANPPLA', FILIAL_A_FATURAR = 'ANPPLA' WHERE FORNECEDOR = 'ELEKTRO ELETC E SERV S/A'</v>
      </c>
    </row>
    <row r="238" spans="1:5" x14ac:dyDescent="0.25">
      <c r="A238" s="3" t="s">
        <v>725</v>
      </c>
      <c r="B238" s="3" t="s">
        <v>2494</v>
      </c>
      <c r="C238" s="3" t="s">
        <v>2494</v>
      </c>
      <c r="D238" s="3" t="s">
        <v>2494</v>
      </c>
      <c r="E238" s="3" t="str">
        <f t="shared" si="3"/>
        <v>UPDATE FORNECEDORES SET FILIAL_A_ENTREGAR = 'ANPPLA', FILIAL_COBRANCA = 'ANPPLA', FILIAL_A_FATURAR = 'ANPPLA' WHERE FORNECEDOR = 'ELEKTRO ELETRICIDADE E SE'</v>
      </c>
    </row>
    <row r="239" spans="1:5" x14ac:dyDescent="0.25">
      <c r="A239" s="3" t="s">
        <v>726</v>
      </c>
      <c r="B239" s="3" t="s">
        <v>2534</v>
      </c>
      <c r="C239" s="3" t="s">
        <v>2534</v>
      </c>
      <c r="D239" s="3" t="s">
        <v>2534</v>
      </c>
      <c r="E239" s="3" t="str">
        <f t="shared" si="3"/>
        <v>UPDATE FORNECEDORES SET FILIAL_A_ENTREGAR = 'MAUA', FILIAL_COBRANCA = 'MAUA', FILIAL_A_FATURAR = 'MAUA' WHERE FORNECEDOR = 'ELETRO SATES LTDA'</v>
      </c>
    </row>
    <row r="240" spans="1:5" x14ac:dyDescent="0.25">
      <c r="A240" s="3" t="s">
        <v>727</v>
      </c>
      <c r="B240" s="3" t="s">
        <v>2493</v>
      </c>
      <c r="C240" s="3" t="s">
        <v>2493</v>
      </c>
      <c r="D240" s="3" t="s">
        <v>2493</v>
      </c>
      <c r="E240" s="3" t="str">
        <f t="shared" si="3"/>
        <v>UPDATE FORNECEDORES SET FILIAL_A_ENTREGAR = 'AVANTI- ADM C.CREDITO', FILIAL_COBRANCA = 'AVANTI- ADM C.CREDITO', FILIAL_A_FATURAR = 'AVANTI- ADM C.CREDITO' WHERE FORNECEDOR = 'ELETRONICA SANTANA LTDA'</v>
      </c>
    </row>
    <row r="241" spans="1:5" x14ac:dyDescent="0.25">
      <c r="A241" s="3" t="s">
        <v>728</v>
      </c>
      <c r="B241" s="3" t="s">
        <v>2492</v>
      </c>
      <c r="C241" s="3" t="s">
        <v>2497</v>
      </c>
      <c r="D241" s="3" t="s">
        <v>2492</v>
      </c>
      <c r="E241" s="3" t="str">
        <f t="shared" si="3"/>
        <v>UPDATE FORNECEDORES SET FILIAL_A_ENTREGAR = 'CD REGIS', FILIAL_COBRANCA = 'TATUAPE', FILIAL_A_FATURAR = 'CD REGIS' WHERE FORNECEDOR = 'ELEVA TEXTIL'</v>
      </c>
    </row>
    <row r="242" spans="1:5" x14ac:dyDescent="0.25">
      <c r="A242" s="3" t="s">
        <v>729</v>
      </c>
      <c r="B242" s="3" t="s">
        <v>2549</v>
      </c>
      <c r="C242" s="3" t="s">
        <v>2549</v>
      </c>
      <c r="D242" s="3" t="s">
        <v>2549</v>
      </c>
      <c r="E242" s="3" t="str">
        <f t="shared" si="3"/>
        <v>UPDATE FORNECEDORES SET FILIAL_A_ENTREGAR = 'TAUBATE', FILIAL_COBRANCA = 'TAUBATE', FILIAL_A_FATURAR = 'TAUBATE' WHERE FORNECEDOR = 'ELEVADORES VILARTA'</v>
      </c>
    </row>
    <row r="243" spans="1:5" x14ac:dyDescent="0.25">
      <c r="A243" s="3" t="s">
        <v>730</v>
      </c>
      <c r="B243" s="3" t="s">
        <v>2534</v>
      </c>
      <c r="C243" s="3" t="s">
        <v>2534</v>
      </c>
      <c r="D243" s="3" t="s">
        <v>2534</v>
      </c>
      <c r="E243" s="3" t="str">
        <f t="shared" si="3"/>
        <v>UPDATE FORNECEDORES SET FILIAL_A_ENTREGAR = 'MAUA', FILIAL_COBRANCA = 'MAUA', FILIAL_A_FATURAR = 'MAUA' WHERE FORNECEDOR = 'ELEVADORES VILLARTA (SBC)'</v>
      </c>
    </row>
    <row r="244" spans="1:5" x14ac:dyDescent="0.25">
      <c r="A244" s="3" t="s">
        <v>731</v>
      </c>
      <c r="B244" s="3" t="s">
        <v>2508</v>
      </c>
      <c r="C244" s="3" t="s">
        <v>2508</v>
      </c>
      <c r="D244" s="3" t="s">
        <v>2508</v>
      </c>
      <c r="E244" s="3" t="str">
        <f t="shared" si="3"/>
        <v>UPDATE FORNECEDORES SET FILIAL_A_ENTREGAR = 'DIADEMA', FILIAL_COBRANCA = 'DIADEMA', FILIAL_A_FATURAR = 'DIADEMA' WHERE FORNECEDOR = 'ELEVADORES VILLARTA LTDA'</v>
      </c>
    </row>
    <row r="245" spans="1:5" x14ac:dyDescent="0.25">
      <c r="A245" s="3" t="s">
        <v>732</v>
      </c>
      <c r="B245" s="3" t="s">
        <v>2498</v>
      </c>
      <c r="C245" s="3" t="s">
        <v>2498</v>
      </c>
      <c r="D245" s="3" t="s">
        <v>2498</v>
      </c>
      <c r="E245" s="3" t="str">
        <f t="shared" si="3"/>
        <v>UPDATE FORNECEDORES SET FILIAL_A_ENTREGAR = 'SP - PARI', FILIAL_COBRANCA = 'SP - PARI', FILIAL_A_FATURAR = 'SP - PARI' WHERE FORNECEDOR = 'ELIDI ELISABETH SCALOPPI'</v>
      </c>
    </row>
    <row r="246" spans="1:5" x14ac:dyDescent="0.25">
      <c r="A246" s="3" t="s">
        <v>738</v>
      </c>
      <c r="B246" s="3" t="s">
        <v>2492</v>
      </c>
      <c r="C246" s="3" t="s">
        <v>1497</v>
      </c>
      <c r="D246" s="3" t="s">
        <v>2492</v>
      </c>
      <c r="E246" s="3" t="str">
        <f t="shared" si="3"/>
        <v>UPDATE FORNECEDORES SET FILIAL_A_ENTREGAR = 'CD REGIS', FILIAL_COBRANCA = 'MATRIZ', FILIAL_A_FATURAR = 'CD REGIS' WHERE FORNECEDOR = 'ELSE'</v>
      </c>
    </row>
    <row r="247" spans="1:5" x14ac:dyDescent="0.25">
      <c r="A247" s="3" t="s">
        <v>751</v>
      </c>
      <c r="B247" s="3" t="s">
        <v>1497</v>
      </c>
      <c r="C247" s="3" t="s">
        <v>1497</v>
      </c>
      <c r="D247" s="3" t="s">
        <v>1497</v>
      </c>
      <c r="E247" s="3" t="str">
        <f t="shared" si="3"/>
        <v>UPDATE FORNECEDORES SET FILIAL_A_ENTREGAR = 'MATRIZ', FILIAL_COBRANCA = 'MATRIZ', FILIAL_A_FATURAR = 'MATRIZ' WHERE FORNECEDOR = 'ENGEBANC'</v>
      </c>
    </row>
    <row r="248" spans="1:5" x14ac:dyDescent="0.25">
      <c r="A248" s="3" t="s">
        <v>752</v>
      </c>
      <c r="B248" s="3" t="s">
        <v>2498</v>
      </c>
      <c r="C248" s="3" t="s">
        <v>2498</v>
      </c>
      <c r="D248" s="3" t="s">
        <v>2498</v>
      </c>
      <c r="E248" s="3" t="str">
        <f t="shared" si="3"/>
        <v>UPDATE FORNECEDORES SET FILIAL_A_ENTREGAR = 'SP - PARI', FILIAL_COBRANCA = 'SP - PARI', FILIAL_A_FATURAR = 'SP - PARI' WHERE FORNECEDOR = 'ENGEMENTAL 0001-01'</v>
      </c>
    </row>
    <row r="249" spans="1:5" x14ac:dyDescent="0.25">
      <c r="A249" s="3" t="s">
        <v>753</v>
      </c>
      <c r="B249" s="3" t="s">
        <v>2498</v>
      </c>
      <c r="C249" s="3" t="s">
        <v>2498</v>
      </c>
      <c r="D249" s="3" t="s">
        <v>2498</v>
      </c>
      <c r="E249" s="3" t="str">
        <f t="shared" si="3"/>
        <v>UPDATE FORNECEDORES SET FILIAL_A_ENTREGAR = 'SP - PARI', FILIAL_COBRANCA = 'SP - PARI', FILIAL_A_FATURAR = 'SP - PARI' WHERE FORNECEDOR = 'ENGEMENTAL 0001-18'</v>
      </c>
    </row>
    <row r="250" spans="1:5" x14ac:dyDescent="0.25">
      <c r="A250" s="3" t="s">
        <v>761</v>
      </c>
      <c r="B250" s="3" t="s">
        <v>2492</v>
      </c>
      <c r="C250" s="3" t="s">
        <v>2492</v>
      </c>
      <c r="D250" s="3" t="s">
        <v>2492</v>
      </c>
      <c r="E250" s="3" t="str">
        <f t="shared" si="3"/>
        <v>UPDATE FORNECEDORES SET FILIAL_A_ENTREGAR = 'CD REGIS', FILIAL_COBRANCA = 'CD REGIS', FILIAL_A_FATURAR = 'CD REGIS' WHERE FORNECEDOR = 'ESPACIAL SUPRIMENTOS'</v>
      </c>
    </row>
    <row r="251" spans="1:5" x14ac:dyDescent="0.25">
      <c r="A251" s="3" t="s">
        <v>763</v>
      </c>
      <c r="B251" s="3" t="s">
        <v>2498</v>
      </c>
      <c r="C251" s="3" t="s">
        <v>2498</v>
      </c>
      <c r="D251" s="3" t="s">
        <v>2498</v>
      </c>
      <c r="E251" s="3" t="str">
        <f t="shared" si="3"/>
        <v>UPDATE FORNECEDORES SET FILIAL_A_ENTREGAR = 'SP - PARI', FILIAL_COBRANCA = 'SP - PARI', FILIAL_A_FATURAR = 'SP - PARI' WHERE FORNECEDOR = 'ESSENCE CONSULTORIA'</v>
      </c>
    </row>
    <row r="252" spans="1:5" x14ac:dyDescent="0.25">
      <c r="A252" s="3" t="s">
        <v>765</v>
      </c>
      <c r="B252" s="3" t="s">
        <v>2494</v>
      </c>
      <c r="C252" s="3" t="s">
        <v>2494</v>
      </c>
      <c r="D252" s="3" t="s">
        <v>2494</v>
      </c>
      <c r="E252" s="3" t="str">
        <f t="shared" si="3"/>
        <v>UPDATE FORNECEDORES SET FILIAL_A_ENTREGAR = 'ANPPLA', FILIAL_COBRANCA = 'ANPPLA', FILIAL_A_FATURAR = 'ANPPLA' WHERE FORNECEDOR = 'ESTRUTURAL'</v>
      </c>
    </row>
    <row r="253" spans="1:5" x14ac:dyDescent="0.25">
      <c r="A253" s="3" t="s">
        <v>769</v>
      </c>
      <c r="B253" s="3" t="s">
        <v>2492</v>
      </c>
      <c r="C253" s="3" t="s">
        <v>2492</v>
      </c>
      <c r="D253" s="3" t="s">
        <v>2492</v>
      </c>
      <c r="E253" s="3" t="str">
        <f t="shared" si="3"/>
        <v>UPDATE FORNECEDORES SET FILIAL_A_ENTREGAR = 'CD REGIS', FILIAL_COBRANCA = 'CD REGIS', FILIAL_A_FATURAR = 'CD REGIS' WHERE FORNECEDOR = 'ETIQ PLAST'</v>
      </c>
    </row>
    <row r="254" spans="1:5" x14ac:dyDescent="0.25">
      <c r="A254" s="3" t="s">
        <v>776</v>
      </c>
      <c r="B254" s="3" t="s">
        <v>1497</v>
      </c>
      <c r="C254" s="3" t="s">
        <v>1497</v>
      </c>
      <c r="D254" s="3" t="s">
        <v>1497</v>
      </c>
      <c r="E254" s="3" t="str">
        <f t="shared" si="3"/>
        <v>UPDATE FORNECEDORES SET FILIAL_A_ENTREGAR = 'MATRIZ', FILIAL_COBRANCA = 'MATRIZ', FILIAL_A_FATURAR = 'MATRIZ' WHERE FORNECEDOR = 'EVOLUCION COM DE IMP.'</v>
      </c>
    </row>
    <row r="255" spans="1:5" x14ac:dyDescent="0.25">
      <c r="A255" s="3" t="s">
        <v>777</v>
      </c>
      <c r="B255" s="3" t="s">
        <v>444</v>
      </c>
      <c r="C255" s="3" t="s">
        <v>1497</v>
      </c>
      <c r="D255" s="3" t="s">
        <v>444</v>
      </c>
      <c r="E255" s="3" t="str">
        <f t="shared" si="3"/>
        <v>UPDATE FORNECEDORES SET FILIAL_A_ENTREGAR = 'CD NAVEGANTES', FILIAL_COBRANCA = 'MATRIZ', FILIAL_A_FATURAR = 'CD NAVEGANTES' WHERE FORNECEDOR = 'EVOLUTEX'</v>
      </c>
    </row>
    <row r="256" spans="1:5" x14ac:dyDescent="0.25">
      <c r="A256" s="3" t="s">
        <v>783</v>
      </c>
      <c r="B256" s="3" t="s">
        <v>2492</v>
      </c>
      <c r="C256" s="3" t="s">
        <v>2492</v>
      </c>
      <c r="D256" s="3" t="s">
        <v>2492</v>
      </c>
      <c r="E256" s="3" t="str">
        <f t="shared" si="3"/>
        <v>UPDATE FORNECEDORES SET FILIAL_A_ENTREGAR = 'CD REGIS', FILIAL_COBRANCA = 'CD REGIS', FILIAL_A_FATURAR = 'CD REGIS' WHERE FORNECEDOR = 'F&amp;F ETIQUETAS LTDA ME'</v>
      </c>
    </row>
    <row r="257" spans="1:5" x14ac:dyDescent="0.25">
      <c r="A257" s="3" t="s">
        <v>784</v>
      </c>
      <c r="B257" s="3" t="s">
        <v>2498</v>
      </c>
      <c r="C257" s="3" t="s">
        <v>2498</v>
      </c>
      <c r="D257" s="3" t="s">
        <v>2498</v>
      </c>
      <c r="E257" s="3" t="str">
        <f t="shared" si="3"/>
        <v>UPDATE FORNECEDORES SET FILIAL_A_ENTREGAR = 'SP - PARI', FILIAL_COBRANCA = 'SP - PARI', FILIAL_A_FATURAR = 'SP - PARI' WHERE FORNECEDOR = 'F&amp;GS SERVIÇOS'</v>
      </c>
    </row>
    <row r="258" spans="1:5" x14ac:dyDescent="0.25">
      <c r="A258" s="3" t="s">
        <v>786</v>
      </c>
      <c r="B258" s="3" t="s">
        <v>1497</v>
      </c>
      <c r="C258" s="3" t="s">
        <v>1497</v>
      </c>
      <c r="D258" s="3" t="s">
        <v>1497</v>
      </c>
      <c r="E258" s="3" t="str">
        <f t="shared" si="3"/>
        <v>UPDATE FORNECEDORES SET FILIAL_A_ENTREGAR = 'MATRIZ', FILIAL_COBRANCA = 'MATRIZ', FILIAL_A_FATURAR = 'MATRIZ' WHERE FORNECEDOR = 'F.T.G. COPIADORA LTDA ME'</v>
      </c>
    </row>
    <row r="259" spans="1:5" x14ac:dyDescent="0.25">
      <c r="A259" s="3" t="s">
        <v>789</v>
      </c>
      <c r="B259" s="3" t="s">
        <v>1497</v>
      </c>
      <c r="C259" s="3" t="s">
        <v>1497</v>
      </c>
      <c r="D259" s="3" t="s">
        <v>1497</v>
      </c>
      <c r="E259" s="3" t="str">
        <f t="shared" si="3"/>
        <v>UPDATE FORNECEDORES SET FILIAL_A_ENTREGAR = 'MATRIZ', FILIAL_COBRANCA = 'MATRIZ', FILIAL_A_FATURAR = 'MATRIZ' WHERE FORNECEDOR = 'FABIO TURISMO'</v>
      </c>
    </row>
    <row r="260" spans="1:5" x14ac:dyDescent="0.25">
      <c r="A260" s="3" t="s">
        <v>792</v>
      </c>
      <c r="B260" s="3" t="s">
        <v>443</v>
      </c>
      <c r="C260" s="3" t="s">
        <v>1497</v>
      </c>
      <c r="D260" s="3" t="s">
        <v>443</v>
      </c>
      <c r="E260" s="3" t="str">
        <f t="shared" si="3"/>
        <v>UPDATE FORNECEDORES SET FILIAL_A_ENTREGAR = 'CD ARAQUARI', FILIAL_COBRANCA = 'MATRIZ', FILIAL_A_FATURAR = 'CD ARAQUARI' WHERE FORNECEDOR = 'FACIL TEXTIL'</v>
      </c>
    </row>
    <row r="261" spans="1:5" x14ac:dyDescent="0.25">
      <c r="A261" s="3" t="s">
        <v>796</v>
      </c>
      <c r="B261" s="3" t="s">
        <v>443</v>
      </c>
      <c r="C261" s="3" t="s">
        <v>1497</v>
      </c>
      <c r="D261" s="3" t="s">
        <v>443</v>
      </c>
      <c r="E261" s="3" t="str">
        <f t="shared" ref="E261:E324" si="4">"UPDATE FORNECEDORES SET FILIAL_A_ENTREGAR = '"&amp;B261&amp;"', FILIAL_COBRANCA = '"&amp;C261&amp;"', FILIAL_A_FATURAR = '"&amp;D261&amp;"' WHERE FORNECEDOR = '"&amp;A261&amp;"'"</f>
        <v>UPDATE FORNECEDORES SET FILIAL_A_ENTREGAR = 'CD ARAQUARI', FILIAL_COBRANCA = 'MATRIZ', FILIAL_A_FATURAR = 'CD ARAQUARI' WHERE FORNECEDOR = 'FAKINI'</v>
      </c>
    </row>
    <row r="262" spans="1:5" x14ac:dyDescent="0.25">
      <c r="A262" s="3" t="s">
        <v>800</v>
      </c>
      <c r="B262" s="3" t="s">
        <v>2492</v>
      </c>
      <c r="C262" s="3" t="s">
        <v>1497</v>
      </c>
      <c r="D262" s="3" t="s">
        <v>2492</v>
      </c>
      <c r="E262" s="3" t="str">
        <f t="shared" si="4"/>
        <v>UPDATE FORNECEDORES SET FILIAL_A_ENTREGAR = 'CD REGIS', FILIAL_COBRANCA = 'MATRIZ', FILIAL_A_FATURAR = 'CD REGIS' WHERE FORNECEDOR = 'FAPECA'</v>
      </c>
    </row>
    <row r="263" spans="1:5" x14ac:dyDescent="0.25">
      <c r="A263" s="3" t="s">
        <v>802</v>
      </c>
      <c r="B263" s="3" t="s">
        <v>2492</v>
      </c>
      <c r="C263" s="3" t="s">
        <v>1497</v>
      </c>
      <c r="D263" s="3" t="s">
        <v>2492</v>
      </c>
      <c r="E263" s="3" t="str">
        <f t="shared" si="4"/>
        <v>UPDATE FORNECEDORES SET FILIAL_A_ENTREGAR = 'CD REGIS', FILIAL_COBRANCA = 'MATRIZ', FILIAL_A_FATURAR = 'CD REGIS' WHERE FORNECEDOR = 'FASHION ART'</v>
      </c>
    </row>
    <row r="264" spans="1:5" x14ac:dyDescent="0.25">
      <c r="A264" s="3" t="s">
        <v>807</v>
      </c>
      <c r="B264" s="3" t="s">
        <v>1497</v>
      </c>
      <c r="C264" s="3" t="s">
        <v>1497</v>
      </c>
      <c r="D264" s="3" t="s">
        <v>1497</v>
      </c>
      <c r="E264" s="3" t="str">
        <f t="shared" si="4"/>
        <v>UPDATE FORNECEDORES SET FILIAL_A_ENTREGAR = 'MATRIZ', FILIAL_COBRANCA = 'MATRIZ', FILIAL_A_FATURAR = 'MATRIZ' WHERE FORNECEDOR = 'FAST TECH MANUT DE SISTEM'</v>
      </c>
    </row>
    <row r="265" spans="1:5" x14ac:dyDescent="0.25">
      <c r="A265" s="3" t="s">
        <v>809</v>
      </c>
      <c r="B265" s="3" t="s">
        <v>2492</v>
      </c>
      <c r="C265" s="3" t="s">
        <v>2497</v>
      </c>
      <c r="D265" s="3" t="s">
        <v>2492</v>
      </c>
      <c r="E265" s="3" t="str">
        <f t="shared" si="4"/>
        <v>UPDATE FORNECEDORES SET FILIAL_A_ENTREGAR = 'CD REGIS', FILIAL_COBRANCA = 'TATUAPE', FILIAL_A_FATURAR = 'CD REGIS' WHERE FORNECEDOR = 'FATAL SURF'</v>
      </c>
    </row>
    <row r="266" spans="1:5" x14ac:dyDescent="0.25">
      <c r="A266" s="3" t="s">
        <v>811</v>
      </c>
      <c r="B266" s="3" t="s">
        <v>2492</v>
      </c>
      <c r="C266" s="3" t="s">
        <v>2492</v>
      </c>
      <c r="D266" s="3" t="s">
        <v>2492</v>
      </c>
      <c r="E266" s="3" t="str">
        <f t="shared" si="4"/>
        <v>UPDATE FORNECEDORES SET FILIAL_A_ENTREGAR = 'CD REGIS', FILIAL_COBRANCA = 'CD REGIS', FILIAL_A_FATURAR = 'CD REGIS' WHERE FORNECEDOR = 'FAVORITA'</v>
      </c>
    </row>
    <row r="267" spans="1:5" x14ac:dyDescent="0.25">
      <c r="A267" s="3" t="s">
        <v>816</v>
      </c>
      <c r="B267" s="3" t="s">
        <v>443</v>
      </c>
      <c r="C267" s="3" t="s">
        <v>1497</v>
      </c>
      <c r="D267" s="3" t="s">
        <v>443</v>
      </c>
      <c r="E267" s="3" t="str">
        <f t="shared" si="4"/>
        <v>UPDATE FORNECEDORES SET FILIAL_A_ENTREGAR = 'CD ARAQUARI', FILIAL_COBRANCA = 'MATRIZ', FILIAL_A_FATURAR = 'CD ARAQUARI' WHERE FORNECEDOR = 'FEDERAL WAY'</v>
      </c>
    </row>
    <row r="268" spans="1:5" x14ac:dyDescent="0.25">
      <c r="A268" s="3" t="s">
        <v>818</v>
      </c>
      <c r="B268" s="3" t="s">
        <v>2492</v>
      </c>
      <c r="C268" s="3" t="s">
        <v>1497</v>
      </c>
      <c r="D268" s="3" t="s">
        <v>2492</v>
      </c>
      <c r="E268" s="3" t="str">
        <f t="shared" si="4"/>
        <v>UPDATE FORNECEDORES SET FILIAL_A_ENTREGAR = 'CD REGIS', FILIAL_COBRANCA = 'MATRIZ', FILIAL_A_FATURAR = 'CD REGIS' WHERE FORNECEDOR = 'FEMINIZE LINGERIE'</v>
      </c>
    </row>
    <row r="269" spans="1:5" x14ac:dyDescent="0.25">
      <c r="A269" s="3" t="s">
        <v>819</v>
      </c>
      <c r="B269" s="3" t="s">
        <v>2492</v>
      </c>
      <c r="C269" s="3" t="s">
        <v>1497</v>
      </c>
      <c r="D269" s="3" t="s">
        <v>2492</v>
      </c>
      <c r="E269" s="3" t="str">
        <f t="shared" si="4"/>
        <v>UPDATE FORNECEDORES SET FILIAL_A_ENTREGAR = 'CD REGIS', FILIAL_COBRANCA = 'MATRIZ', FILIAL_A_FATURAR = 'CD REGIS' WHERE FORNECEDOR = 'FEMME &amp; NINA MODAS'</v>
      </c>
    </row>
    <row r="270" spans="1:5" x14ac:dyDescent="0.25">
      <c r="A270" s="3" t="s">
        <v>820</v>
      </c>
      <c r="B270" s="3" t="s">
        <v>2492</v>
      </c>
      <c r="C270" s="3" t="s">
        <v>2497</v>
      </c>
      <c r="D270" s="3" t="s">
        <v>2492</v>
      </c>
      <c r="E270" s="3" t="str">
        <f t="shared" si="4"/>
        <v>UPDATE FORNECEDORES SET FILIAL_A_ENTREGAR = 'CD REGIS', FILIAL_COBRANCA = 'TATUAPE', FILIAL_A_FATURAR = 'CD REGIS' WHERE FORNECEDOR = 'FENON'</v>
      </c>
    </row>
    <row r="271" spans="1:5" x14ac:dyDescent="0.25">
      <c r="A271" s="3" t="s">
        <v>821</v>
      </c>
      <c r="B271" s="3" t="s">
        <v>2498</v>
      </c>
      <c r="C271" s="3" t="s">
        <v>2498</v>
      </c>
      <c r="D271" s="3" t="s">
        <v>2498</v>
      </c>
      <c r="E271" s="3" t="str">
        <f t="shared" si="4"/>
        <v>UPDATE FORNECEDORES SET FILIAL_A_ENTREGAR = 'SP - PARI', FILIAL_COBRANCA = 'SP - PARI', FILIAL_A_FATURAR = 'SP - PARI' WHERE FORNECEDOR = 'FERCOI S/A DIVISAO'</v>
      </c>
    </row>
    <row r="272" spans="1:5" x14ac:dyDescent="0.25">
      <c r="A272" s="3" t="s">
        <v>822</v>
      </c>
      <c r="B272" s="3" t="s">
        <v>2492</v>
      </c>
      <c r="C272" s="3" t="s">
        <v>2492</v>
      </c>
      <c r="D272" s="3" t="s">
        <v>2492</v>
      </c>
      <c r="E272" s="3" t="str">
        <f t="shared" si="4"/>
        <v>UPDATE FORNECEDORES SET FILIAL_A_ENTREGAR = 'CD REGIS', FILIAL_COBRANCA = 'CD REGIS', FILIAL_A_FATURAR = 'CD REGIS' WHERE FORNECEDOR = 'FERMI FERRAMENTAS E MAQ'</v>
      </c>
    </row>
    <row r="273" spans="1:5" x14ac:dyDescent="0.25">
      <c r="A273" s="3" t="s">
        <v>825</v>
      </c>
      <c r="B273" s="3" t="s">
        <v>2494</v>
      </c>
      <c r="C273" s="3" t="s">
        <v>2494</v>
      </c>
      <c r="D273" s="3" t="s">
        <v>2494</v>
      </c>
      <c r="E273" s="3" t="str">
        <f t="shared" si="4"/>
        <v>UPDATE FORNECEDORES SET FILIAL_A_ENTREGAR = 'ANPPLA', FILIAL_COBRANCA = 'ANPPLA', FILIAL_A_FATURAR = 'ANPPLA' WHERE FORNECEDOR = 'FERNANDES E MARTINS CATAN'</v>
      </c>
    </row>
    <row r="274" spans="1:5" x14ac:dyDescent="0.25">
      <c r="A274" s="3" t="s">
        <v>830</v>
      </c>
      <c r="B274" s="3" t="s">
        <v>1497</v>
      </c>
      <c r="C274" s="3" t="s">
        <v>1497</v>
      </c>
      <c r="D274" s="3" t="s">
        <v>1497</v>
      </c>
      <c r="E274" s="3" t="str">
        <f t="shared" si="4"/>
        <v>UPDATE FORNECEDORES SET FILIAL_A_ENTREGAR = 'MATRIZ', FILIAL_COBRANCA = 'MATRIZ', FILIAL_A_FATURAR = 'MATRIZ' WHERE FORNECEDOR = 'FESA CONSUL. EM RECUR'</v>
      </c>
    </row>
    <row r="275" spans="1:5" x14ac:dyDescent="0.25">
      <c r="A275" s="3" t="s">
        <v>831</v>
      </c>
      <c r="B275" s="3" t="s">
        <v>2492</v>
      </c>
      <c r="C275" s="3" t="s">
        <v>1497</v>
      </c>
      <c r="D275" s="3" t="s">
        <v>2492</v>
      </c>
      <c r="E275" s="3" t="str">
        <f t="shared" si="4"/>
        <v>UPDATE FORNECEDORES SET FILIAL_A_ENTREGAR = 'CD REGIS', FILIAL_COBRANCA = 'MATRIZ', FILIAL_A_FATURAR = 'CD REGIS' WHERE FORNECEDOR = 'FG TRICOT'</v>
      </c>
    </row>
    <row r="276" spans="1:5" x14ac:dyDescent="0.25">
      <c r="A276" s="3" t="s">
        <v>837</v>
      </c>
      <c r="B276" s="3" t="s">
        <v>444</v>
      </c>
      <c r="C276" s="3" t="s">
        <v>1497</v>
      </c>
      <c r="D276" s="3" t="s">
        <v>444</v>
      </c>
      <c r="E276" s="3" t="str">
        <f t="shared" si="4"/>
        <v>UPDATE FORNECEDORES SET FILIAL_A_ENTREGAR = 'CD NAVEGANTES', FILIAL_COBRANCA = 'MATRIZ', FILIAL_A_FATURAR = 'CD NAVEGANTES' WHERE FORNECEDOR = 'FINE'</v>
      </c>
    </row>
    <row r="277" spans="1:5" x14ac:dyDescent="0.25">
      <c r="A277" s="3" t="s">
        <v>838</v>
      </c>
      <c r="B277" s="3" t="s">
        <v>2492</v>
      </c>
      <c r="C277" s="3" t="s">
        <v>1497</v>
      </c>
      <c r="D277" s="3" t="s">
        <v>2492</v>
      </c>
      <c r="E277" s="3" t="str">
        <f t="shared" si="4"/>
        <v>UPDATE FORNECEDORES SET FILIAL_A_ENTREGAR = 'CD REGIS', FILIAL_COBRANCA = 'MATRIZ', FILIAL_A_FATURAR = 'CD REGIS' WHERE FORNECEDOR = 'FIO &amp; ARTE'</v>
      </c>
    </row>
    <row r="278" spans="1:5" x14ac:dyDescent="0.25">
      <c r="A278" s="3" t="s">
        <v>843</v>
      </c>
      <c r="B278" s="3" t="s">
        <v>2492</v>
      </c>
      <c r="C278" s="3" t="s">
        <v>2497</v>
      </c>
      <c r="D278" s="3" t="s">
        <v>2492</v>
      </c>
      <c r="E278" s="3" t="str">
        <f t="shared" si="4"/>
        <v>UPDATE FORNECEDORES SET FILIAL_A_ENTREGAR = 'CD REGIS', FILIAL_COBRANCA = 'TATUAPE', FILIAL_A_FATURAR = 'CD REGIS' WHERE FORNECEDOR = 'FISHERS'</v>
      </c>
    </row>
    <row r="279" spans="1:5" x14ac:dyDescent="0.25">
      <c r="A279" s="3" t="s">
        <v>848</v>
      </c>
      <c r="B279" s="3" t="s">
        <v>2492</v>
      </c>
      <c r="C279" s="3" t="s">
        <v>1497</v>
      </c>
      <c r="D279" s="3" t="s">
        <v>2492</v>
      </c>
      <c r="E279" s="3" t="str">
        <f t="shared" si="4"/>
        <v>UPDATE FORNECEDORES SET FILIAL_A_ENTREGAR = 'CD REGIS', FILIAL_COBRANCA = 'MATRIZ', FILIAL_A_FATURAR = 'CD REGIS' WHERE FORNECEDOR = 'FIVE JEANS'</v>
      </c>
    </row>
    <row r="280" spans="1:5" x14ac:dyDescent="0.25">
      <c r="A280" s="3" t="s">
        <v>854</v>
      </c>
      <c r="B280" s="3" t="s">
        <v>2492</v>
      </c>
      <c r="C280" s="3" t="s">
        <v>1497</v>
      </c>
      <c r="D280" s="3" t="s">
        <v>2492</v>
      </c>
      <c r="E280" s="3" t="str">
        <f t="shared" si="4"/>
        <v>UPDATE FORNECEDORES SET FILIAL_A_ENTREGAR = 'CD REGIS', FILIAL_COBRANCA = 'MATRIZ', FILIAL_A_FATURAR = 'CD REGIS' WHERE FORNECEDOR = 'FLEUR LINGERIE'</v>
      </c>
    </row>
    <row r="281" spans="1:5" x14ac:dyDescent="0.25">
      <c r="A281" s="3" t="s">
        <v>864</v>
      </c>
      <c r="B281" s="3" t="s">
        <v>2492</v>
      </c>
      <c r="C281" s="3" t="s">
        <v>2492</v>
      </c>
      <c r="D281" s="3" t="s">
        <v>2492</v>
      </c>
      <c r="E281" s="3" t="str">
        <f t="shared" si="4"/>
        <v>UPDATE FORNECEDORES SET FILIAL_A_ENTREGAR = 'CD REGIS', FILIAL_COBRANCA = 'CD REGIS', FILIAL_A_FATURAR = 'CD REGIS' WHERE FORNECEDOR = 'FONTE DAS AGUAS'</v>
      </c>
    </row>
    <row r="282" spans="1:5" x14ac:dyDescent="0.25">
      <c r="A282" s="3" t="s">
        <v>867</v>
      </c>
      <c r="B282" s="3" t="s">
        <v>444</v>
      </c>
      <c r="C282" s="3" t="s">
        <v>2505</v>
      </c>
      <c r="D282" s="3" t="s">
        <v>444</v>
      </c>
      <c r="E282" s="3" t="str">
        <f t="shared" si="4"/>
        <v>UPDATE FORNECEDORES SET FILIAL_A_ENTREGAR = 'CD NAVEGANTES', FILIAL_COBRANCA = 'LAJEADO', FILIAL_A_FATURAR = 'CD NAVEGANTES' WHERE FORNECEDOR = 'FORCA DO MAR'</v>
      </c>
    </row>
    <row r="283" spans="1:5" x14ac:dyDescent="0.25">
      <c r="A283" s="3" t="s">
        <v>868</v>
      </c>
      <c r="B283" s="3" t="s">
        <v>1497</v>
      </c>
      <c r="C283" s="3" t="s">
        <v>1497</v>
      </c>
      <c r="D283" s="3" t="s">
        <v>1497</v>
      </c>
      <c r="E283" s="3" t="str">
        <f t="shared" si="4"/>
        <v>UPDATE FORNECEDORES SET FILIAL_A_ENTREGAR = 'MATRIZ', FILIAL_COBRANCA = 'MATRIZ', FILIAL_A_FATURAR = 'MATRIZ' WHERE FORNECEDOR = 'FORD MODELS'</v>
      </c>
    </row>
    <row r="284" spans="1:5" x14ac:dyDescent="0.25">
      <c r="A284" s="3" t="s">
        <v>874</v>
      </c>
      <c r="B284" s="3" t="s">
        <v>2492</v>
      </c>
      <c r="C284" s="3" t="s">
        <v>2492</v>
      </c>
      <c r="D284" s="3" t="s">
        <v>2492</v>
      </c>
      <c r="E284" s="3" t="str">
        <f t="shared" si="4"/>
        <v>UPDATE FORNECEDORES SET FILIAL_A_ENTREGAR = 'CD REGIS', FILIAL_COBRANCA = 'CD REGIS', FILIAL_A_FATURAR = 'CD REGIS' WHERE FORNECEDOR = 'FORT INDUSTRIA E COMERCIO'</v>
      </c>
    </row>
    <row r="285" spans="1:5" x14ac:dyDescent="0.25">
      <c r="A285" s="3" t="s">
        <v>785</v>
      </c>
      <c r="B285" s="3" t="s">
        <v>2492</v>
      </c>
      <c r="C285" s="3" t="s">
        <v>2492</v>
      </c>
      <c r="D285" s="3" t="s">
        <v>2492</v>
      </c>
      <c r="E285" s="3" t="str">
        <f t="shared" si="4"/>
        <v>UPDATE FORNECEDORES SET FILIAL_A_ENTREGAR = 'CD REGIS', FILIAL_COBRANCA = 'CD REGIS', FILIAL_A_FATURAR = 'CD REGIS' WHERE FORNECEDOR = 'F-PACK'</v>
      </c>
    </row>
    <row r="286" spans="1:5" x14ac:dyDescent="0.25">
      <c r="A286" s="3" t="s">
        <v>887</v>
      </c>
      <c r="B286" s="3" t="s">
        <v>2492</v>
      </c>
      <c r="C286" s="3" t="s">
        <v>2492</v>
      </c>
      <c r="D286" s="3" t="s">
        <v>2492</v>
      </c>
      <c r="E286" s="3" t="str">
        <f t="shared" si="4"/>
        <v>UPDATE FORNECEDORES SET FILIAL_A_ENTREGAR = 'CD REGIS', FILIAL_COBRANCA = 'CD REGIS', FILIAL_A_FATURAR = 'CD REGIS' WHERE FORNECEDOR = 'FRONTEC INDUSTRIA'</v>
      </c>
    </row>
    <row r="287" spans="1:5" x14ac:dyDescent="0.25">
      <c r="A287" s="3" t="s">
        <v>890</v>
      </c>
      <c r="B287" s="3" t="s">
        <v>1497</v>
      </c>
      <c r="C287" s="3" t="s">
        <v>1497</v>
      </c>
      <c r="D287" s="3" t="s">
        <v>1497</v>
      </c>
      <c r="E287" s="3" t="str">
        <f t="shared" si="4"/>
        <v>UPDATE FORNECEDORES SET FILIAL_A_ENTREGAR = 'MATRIZ', FILIAL_COBRANCA = 'MATRIZ', FILIAL_A_FATURAR = 'MATRIZ' WHERE FORNECEDOR = 'FUERZA FILMS SERVICOS'</v>
      </c>
    </row>
    <row r="288" spans="1:5" x14ac:dyDescent="0.25">
      <c r="A288" s="3" t="s">
        <v>897</v>
      </c>
      <c r="B288" s="3" t="s">
        <v>2492</v>
      </c>
      <c r="C288" s="3" t="s">
        <v>2492</v>
      </c>
      <c r="D288" s="3" t="s">
        <v>2492</v>
      </c>
      <c r="E288" s="3" t="str">
        <f t="shared" si="4"/>
        <v>UPDATE FORNECEDORES SET FILIAL_A_ENTREGAR = 'CD REGIS', FILIAL_COBRANCA = 'CD REGIS', FILIAL_A_FATURAR = 'CD REGIS' WHERE FORNECEDOR = 'G.M.P GRAFICA'</v>
      </c>
    </row>
    <row r="289" spans="1:5" x14ac:dyDescent="0.25">
      <c r="A289" s="3" t="s">
        <v>901</v>
      </c>
      <c r="B289" s="3" t="s">
        <v>443</v>
      </c>
      <c r="C289" s="3" t="s">
        <v>1497</v>
      </c>
      <c r="D289" s="3" t="s">
        <v>443</v>
      </c>
      <c r="E289" s="3" t="str">
        <f t="shared" si="4"/>
        <v>UPDATE FORNECEDORES SET FILIAL_A_ENTREGAR = 'CD ARAQUARI', FILIAL_COBRANCA = 'MATRIZ', FILIAL_A_FATURAR = 'CD ARAQUARI' WHERE FORNECEDOR = 'GAGA BABY'</v>
      </c>
    </row>
    <row r="290" spans="1:5" x14ac:dyDescent="0.25">
      <c r="A290" s="3" t="s">
        <v>902</v>
      </c>
      <c r="B290" s="3" t="s">
        <v>2492</v>
      </c>
      <c r="C290" s="3" t="s">
        <v>1497</v>
      </c>
      <c r="D290" s="3" t="s">
        <v>2492</v>
      </c>
      <c r="E290" s="3" t="str">
        <f t="shared" si="4"/>
        <v>UPDATE FORNECEDORES SET FILIAL_A_ENTREGAR = 'CD REGIS', FILIAL_COBRANCA = 'MATRIZ', FILIAL_A_FATURAR = 'CD REGIS' WHERE FORNECEDOR = 'GALA'</v>
      </c>
    </row>
    <row r="291" spans="1:5" x14ac:dyDescent="0.25">
      <c r="A291" s="3" t="s">
        <v>905</v>
      </c>
      <c r="B291" s="3" t="s">
        <v>2492</v>
      </c>
      <c r="C291" s="3" t="s">
        <v>1497</v>
      </c>
      <c r="D291" s="3" t="s">
        <v>2492</v>
      </c>
      <c r="E291" s="3" t="str">
        <f t="shared" si="4"/>
        <v>UPDATE FORNECEDORES SET FILIAL_A_ENTREGAR = 'CD REGIS', FILIAL_COBRANCA = 'MATRIZ', FILIAL_A_FATURAR = 'CD REGIS' WHERE FORNECEDOR = 'GALERA DO SURF 1'</v>
      </c>
    </row>
    <row r="292" spans="1:5" x14ac:dyDescent="0.25">
      <c r="A292" s="3" t="s">
        <v>910</v>
      </c>
      <c r="B292" s="3" t="s">
        <v>2492</v>
      </c>
      <c r="C292" s="3" t="s">
        <v>1497</v>
      </c>
      <c r="D292" s="3" t="s">
        <v>2492</v>
      </c>
      <c r="E292" s="3" t="str">
        <f t="shared" si="4"/>
        <v>UPDATE FORNECEDORES SET FILIAL_A_ENTREGAR = 'CD REGIS', FILIAL_COBRANCA = 'MATRIZ', FILIAL_A_FATURAR = 'CD REGIS' WHERE FORNECEDOR = 'GANGSTER 1'</v>
      </c>
    </row>
    <row r="293" spans="1:5" x14ac:dyDescent="0.25">
      <c r="A293" s="3" t="s">
        <v>911</v>
      </c>
      <c r="B293" s="3" t="s">
        <v>2492</v>
      </c>
      <c r="C293" s="3" t="s">
        <v>1497</v>
      </c>
      <c r="D293" s="3" t="s">
        <v>2492</v>
      </c>
      <c r="E293" s="3" t="str">
        <f t="shared" si="4"/>
        <v>UPDATE FORNECEDORES SET FILIAL_A_ENTREGAR = 'CD REGIS', FILIAL_COBRANCA = 'MATRIZ', FILIAL_A_FATURAR = 'CD REGIS' WHERE FORNECEDOR = 'GANGSTER UNIAO PL'</v>
      </c>
    </row>
    <row r="294" spans="1:5" x14ac:dyDescent="0.25">
      <c r="A294" s="3" t="s">
        <v>915</v>
      </c>
      <c r="B294" s="3" t="s">
        <v>443</v>
      </c>
      <c r="C294" s="3" t="s">
        <v>1497</v>
      </c>
      <c r="D294" s="3" t="s">
        <v>443</v>
      </c>
      <c r="E294" s="3" t="str">
        <f t="shared" si="4"/>
        <v>UPDATE FORNECEDORES SET FILIAL_A_ENTREGAR = 'CD ARAQUARI', FILIAL_COBRANCA = 'MATRIZ', FILIAL_A_FATURAR = 'CD ARAQUARI' WHERE FORNECEDOR = 'GASPRINT'</v>
      </c>
    </row>
    <row r="295" spans="1:5" x14ac:dyDescent="0.25">
      <c r="A295" s="3" t="s">
        <v>916</v>
      </c>
      <c r="B295" s="3" t="s">
        <v>2492</v>
      </c>
      <c r="C295" s="3" t="s">
        <v>2492</v>
      </c>
      <c r="D295" s="3" t="s">
        <v>2492</v>
      </c>
      <c r="E295" s="3" t="str">
        <f t="shared" si="4"/>
        <v>UPDATE FORNECEDORES SET FILIAL_A_ENTREGAR = 'CD REGIS', FILIAL_COBRANCA = 'CD REGIS', FILIAL_A_FATURAR = 'CD REGIS' WHERE FORNECEDOR = 'GATEWAY SECURITY LTDA'</v>
      </c>
    </row>
    <row r="296" spans="1:5" x14ac:dyDescent="0.25">
      <c r="A296" s="3" t="s">
        <v>917</v>
      </c>
      <c r="B296" s="3" t="s">
        <v>2494</v>
      </c>
      <c r="C296" s="3" t="s">
        <v>2494</v>
      </c>
      <c r="D296" s="3" t="s">
        <v>2494</v>
      </c>
      <c r="E296" s="3" t="str">
        <f t="shared" si="4"/>
        <v>UPDATE FORNECEDORES SET FILIAL_A_ENTREGAR = 'ANPPLA', FILIAL_COBRANCA = 'ANPPLA', FILIAL_A_FATURAR = 'ANPPLA' WHERE FORNECEDOR = 'GAVITTI E OLIVEIRA'</v>
      </c>
    </row>
    <row r="297" spans="1:5" x14ac:dyDescent="0.25">
      <c r="A297" s="3" t="s">
        <v>919</v>
      </c>
      <c r="B297" s="3" t="s">
        <v>2492</v>
      </c>
      <c r="C297" s="3" t="s">
        <v>1497</v>
      </c>
      <c r="D297" s="3" t="s">
        <v>2492</v>
      </c>
      <c r="E297" s="3" t="str">
        <f t="shared" si="4"/>
        <v>UPDATE FORNECEDORES SET FILIAL_A_ENTREGAR = 'CD REGIS', FILIAL_COBRANCA = 'MATRIZ', FILIAL_A_FATURAR = 'CD REGIS' WHERE FORNECEDOR = 'GCI'</v>
      </c>
    </row>
    <row r="298" spans="1:5" x14ac:dyDescent="0.25">
      <c r="A298" s="3" t="s">
        <v>922</v>
      </c>
      <c r="B298" s="3" t="s">
        <v>2498</v>
      </c>
      <c r="C298" s="3" t="s">
        <v>2498</v>
      </c>
      <c r="D298" s="3" t="s">
        <v>2498</v>
      </c>
      <c r="E298" s="3" t="str">
        <f t="shared" si="4"/>
        <v>UPDATE FORNECEDORES SET FILIAL_A_ENTREGAR = 'SP - PARI', FILIAL_COBRANCA = 'SP - PARI', FILIAL_A_FATURAR = 'SP - PARI' WHERE FORNECEDOR = 'GEOFUSION SISTEMAS'</v>
      </c>
    </row>
    <row r="299" spans="1:5" x14ac:dyDescent="0.25">
      <c r="A299" s="3" t="s">
        <v>924</v>
      </c>
      <c r="B299" s="3" t="s">
        <v>2494</v>
      </c>
      <c r="C299" s="3" t="s">
        <v>2494</v>
      </c>
      <c r="D299" s="3" t="s">
        <v>2494</v>
      </c>
      <c r="E299" s="3" t="str">
        <f t="shared" si="4"/>
        <v>UPDATE FORNECEDORES SET FILIAL_A_ENTREGAR = 'ANPPLA', FILIAL_COBRANCA = 'ANPPLA', FILIAL_A_FATURAR = 'ANPPLA' WHERE FORNECEDOR = 'GEOKLOCK CONSULTORIA'</v>
      </c>
    </row>
    <row r="300" spans="1:5" x14ac:dyDescent="0.25">
      <c r="A300" s="3" t="s">
        <v>928</v>
      </c>
      <c r="B300" s="3" t="s">
        <v>2492</v>
      </c>
      <c r="C300" s="3" t="s">
        <v>2497</v>
      </c>
      <c r="D300" s="3" t="s">
        <v>2492</v>
      </c>
      <c r="E300" s="3" t="str">
        <f t="shared" si="4"/>
        <v>UPDATE FORNECEDORES SET FILIAL_A_ENTREGAR = 'CD REGIS', FILIAL_COBRANCA = 'TATUAPE', FILIAL_A_FATURAR = 'CD REGIS' WHERE FORNECEDOR = 'GET ONE IMPORTACAO'</v>
      </c>
    </row>
    <row r="301" spans="1:5" x14ac:dyDescent="0.25">
      <c r="A301" s="3" t="s">
        <v>929</v>
      </c>
      <c r="B301" s="3" t="s">
        <v>2550</v>
      </c>
      <c r="C301" s="3" t="s">
        <v>2550</v>
      </c>
      <c r="D301" s="3" t="s">
        <v>2550</v>
      </c>
      <c r="E301" s="3" t="str">
        <f t="shared" si="4"/>
        <v>UPDATE FORNECEDORES SET FILIAL_A_ENTREGAR = 'SP - GRAJAU', FILIAL_COBRANCA = 'SP - GRAJAU', FILIAL_A_FATURAR = 'SP - GRAJAU' WHERE FORNECEDOR = 'GFTK ENGENHARIA LTDA'</v>
      </c>
    </row>
    <row r="302" spans="1:5" x14ac:dyDescent="0.25">
      <c r="A302" s="3" t="s">
        <v>930</v>
      </c>
      <c r="B302" s="3" t="s">
        <v>2492</v>
      </c>
      <c r="C302" s="3" t="s">
        <v>2492</v>
      </c>
      <c r="D302" s="3" t="s">
        <v>2492</v>
      </c>
      <c r="E302" s="3" t="str">
        <f t="shared" si="4"/>
        <v>UPDATE FORNECEDORES SET FILIAL_A_ENTREGAR = 'CD REGIS', FILIAL_COBRANCA = 'CD REGIS', FILIAL_A_FATURAR = 'CD REGIS' WHERE FORNECEDOR = 'GGTECH SISTEMAS'</v>
      </c>
    </row>
    <row r="303" spans="1:5" x14ac:dyDescent="0.25">
      <c r="A303" s="3" t="s">
        <v>932</v>
      </c>
      <c r="B303" s="3" t="s">
        <v>1497</v>
      </c>
      <c r="C303" s="3" t="s">
        <v>1497</v>
      </c>
      <c r="D303" s="3" t="s">
        <v>1497</v>
      </c>
      <c r="E303" s="3" t="str">
        <f t="shared" si="4"/>
        <v>UPDATE FORNECEDORES SET FILIAL_A_ENTREGAR = 'MATRIZ', FILIAL_COBRANCA = 'MATRIZ', FILIAL_A_FATURAR = 'MATRIZ' WHERE FORNECEDOR = 'GIBSON SOLUCOES'</v>
      </c>
    </row>
    <row r="304" spans="1:5" x14ac:dyDescent="0.25">
      <c r="A304" s="3" t="s">
        <v>938</v>
      </c>
      <c r="B304" s="3" t="s">
        <v>2492</v>
      </c>
      <c r="C304" s="3" t="s">
        <v>2492</v>
      </c>
      <c r="D304" s="3" t="s">
        <v>2492</v>
      </c>
      <c r="E304" s="3" t="str">
        <f t="shared" si="4"/>
        <v>UPDATE FORNECEDORES SET FILIAL_A_ENTREGAR = 'CD REGIS', FILIAL_COBRANCA = 'CD REGIS', FILIAL_A_FATURAR = 'CD REGIS' WHERE FORNECEDOR = 'GIMBA MATERIAIS P/ESCRIT'</v>
      </c>
    </row>
    <row r="305" spans="1:5" x14ac:dyDescent="0.25">
      <c r="A305" s="3" t="s">
        <v>939</v>
      </c>
      <c r="B305" s="3" t="s">
        <v>444</v>
      </c>
      <c r="C305" s="3" t="s">
        <v>1497</v>
      </c>
      <c r="D305" s="3" t="s">
        <v>444</v>
      </c>
      <c r="E305" s="3" t="str">
        <f t="shared" si="4"/>
        <v>UPDATE FORNECEDORES SET FILIAL_A_ENTREGAR = 'CD NAVEGANTES', FILIAL_COBRANCA = 'MATRIZ', FILIAL_A_FATURAR = 'CD NAVEGANTES' WHERE FORNECEDOR = 'GIRAFFE'</v>
      </c>
    </row>
    <row r="306" spans="1:5" x14ac:dyDescent="0.25">
      <c r="A306" s="3" t="s">
        <v>940</v>
      </c>
      <c r="B306" s="3" t="s">
        <v>2492</v>
      </c>
      <c r="C306" s="3" t="s">
        <v>2492</v>
      </c>
      <c r="D306" s="3" t="s">
        <v>2492</v>
      </c>
      <c r="E306" s="3" t="str">
        <f t="shared" si="4"/>
        <v>UPDATE FORNECEDORES SET FILIAL_A_ENTREGAR = 'CD REGIS', FILIAL_COBRANCA = 'CD REGIS', FILIAL_A_FATURAR = 'CD REGIS' WHERE FORNECEDOR = 'GIRAPLAST'</v>
      </c>
    </row>
    <row r="307" spans="1:5" x14ac:dyDescent="0.25">
      <c r="A307" s="3" t="s">
        <v>944</v>
      </c>
      <c r="B307" s="3" t="s">
        <v>1497</v>
      </c>
      <c r="C307" s="3" t="s">
        <v>1497</v>
      </c>
      <c r="D307" s="3" t="s">
        <v>1497</v>
      </c>
      <c r="E307" s="3" t="str">
        <f t="shared" si="4"/>
        <v>UPDATE FORNECEDORES SET FILIAL_A_ENTREGAR = 'MATRIZ', FILIAL_COBRANCA = 'MATRIZ', FILIAL_A_FATURAR = 'MATRIZ' WHERE FORNECEDOR = 'GLOBAL MCB SOLUCOES'</v>
      </c>
    </row>
    <row r="308" spans="1:5" x14ac:dyDescent="0.25">
      <c r="A308" s="3" t="s">
        <v>945</v>
      </c>
      <c r="B308" s="3" t="s">
        <v>1497</v>
      </c>
      <c r="C308" s="3" t="s">
        <v>1497</v>
      </c>
      <c r="D308" s="3" t="s">
        <v>1497</v>
      </c>
      <c r="E308" s="3" t="str">
        <f t="shared" si="4"/>
        <v>UPDATE FORNECEDORES SET FILIAL_A_ENTREGAR = 'MATRIZ', FILIAL_COBRANCA = 'MATRIZ', FILIAL_A_FATURAR = 'MATRIZ' WHERE FORNECEDOR = 'GLOBALSITE NETWORKING'</v>
      </c>
    </row>
    <row r="309" spans="1:5" x14ac:dyDescent="0.25">
      <c r="A309" s="3" t="s">
        <v>946</v>
      </c>
      <c r="B309" s="3" t="s">
        <v>2492</v>
      </c>
      <c r="C309" s="3" t="s">
        <v>2492</v>
      </c>
      <c r="D309" s="3" t="s">
        <v>2492</v>
      </c>
      <c r="E309" s="3" t="str">
        <f t="shared" si="4"/>
        <v>UPDATE FORNECEDORES SET FILIAL_A_ENTREGAR = 'CD REGIS', FILIAL_COBRANCA = 'CD REGIS', FILIAL_A_FATURAR = 'CD REGIS' WHERE FORNECEDOR = 'GLOG IMPORTAÇÃO E EXP LT'</v>
      </c>
    </row>
    <row r="310" spans="1:5" x14ac:dyDescent="0.25">
      <c r="A310" s="3" t="s">
        <v>951</v>
      </c>
      <c r="B310" s="3" t="s">
        <v>2492</v>
      </c>
      <c r="C310" s="3" t="s">
        <v>2492</v>
      </c>
      <c r="D310" s="3" t="s">
        <v>2492</v>
      </c>
      <c r="E310" s="3" t="str">
        <f t="shared" si="4"/>
        <v>UPDATE FORNECEDORES SET FILIAL_A_ENTREGAR = 'CD REGIS', FILIAL_COBRANCA = 'CD REGIS', FILIAL_A_FATURAR = 'CD REGIS' WHERE FORNECEDOR = 'GPS'</v>
      </c>
    </row>
    <row r="311" spans="1:5" x14ac:dyDescent="0.25">
      <c r="A311" s="3" t="s">
        <v>954</v>
      </c>
      <c r="B311" s="3" t="s">
        <v>2493</v>
      </c>
      <c r="C311" s="3" t="s">
        <v>2493</v>
      </c>
      <c r="D311" s="3" t="s">
        <v>2493</v>
      </c>
      <c r="E311" s="3" t="str">
        <f t="shared" si="4"/>
        <v>UPDATE FORNECEDORES SET FILIAL_A_ENTREGAR = 'AVANTI- ADM C.CREDITO', FILIAL_COBRANCA = 'AVANTI- ADM C.CREDITO', FILIAL_A_FATURAR = 'AVANTI- ADM C.CREDITO' WHERE FORNECEDOR = 'GRAFICA E EDITORA REVELAÇ'</v>
      </c>
    </row>
    <row r="312" spans="1:5" x14ac:dyDescent="0.25">
      <c r="A312" s="3" t="s">
        <v>962</v>
      </c>
      <c r="B312" s="3" t="s">
        <v>2492</v>
      </c>
      <c r="C312" s="3" t="s">
        <v>1497</v>
      </c>
      <c r="D312" s="3" t="s">
        <v>2492</v>
      </c>
      <c r="E312" s="3" t="str">
        <f t="shared" si="4"/>
        <v>UPDATE FORNECEDORES SET FILIAL_A_ENTREGAR = 'CD REGIS', FILIAL_COBRANCA = 'MATRIZ', FILIAL_A_FATURAR = 'CD REGIS' WHERE FORNECEDOR = 'GUADAGNINI'</v>
      </c>
    </row>
    <row r="313" spans="1:5" x14ac:dyDescent="0.25">
      <c r="A313" s="3" t="s">
        <v>977</v>
      </c>
      <c r="B313" s="3" t="s">
        <v>2492</v>
      </c>
      <c r="C313" s="3" t="s">
        <v>2497</v>
      </c>
      <c r="D313" s="3" t="s">
        <v>2492</v>
      </c>
      <c r="E313" s="3" t="str">
        <f t="shared" si="4"/>
        <v>UPDATE FORNECEDORES SET FILIAL_A_ENTREGAR = 'CD REGIS', FILIAL_COBRANCA = 'TATUAPE', FILIAL_A_FATURAR = 'CD REGIS' WHERE FORNECEDOR = 'HB TEXTIL'</v>
      </c>
    </row>
    <row r="314" spans="1:5" x14ac:dyDescent="0.25">
      <c r="A314" s="3" t="s">
        <v>987</v>
      </c>
      <c r="B314" s="3" t="s">
        <v>2534</v>
      </c>
      <c r="C314" s="3" t="s">
        <v>2534</v>
      </c>
      <c r="D314" s="3" t="s">
        <v>2534</v>
      </c>
      <c r="E314" s="3" t="str">
        <f t="shared" si="4"/>
        <v>UPDATE FORNECEDORES SET FILIAL_A_ENTREGAR = 'MAUA', FILIAL_COBRANCA = 'MAUA', FILIAL_A_FATURAR = 'MAUA' WHERE FORNECEDOR = 'HERMES'</v>
      </c>
    </row>
    <row r="315" spans="1:5" x14ac:dyDescent="0.25">
      <c r="A315" s="3" t="s">
        <v>988</v>
      </c>
      <c r="B315" s="3" t="s">
        <v>2494</v>
      </c>
      <c r="C315" s="3" t="s">
        <v>2494</v>
      </c>
      <c r="D315" s="3" t="s">
        <v>2494</v>
      </c>
      <c r="E315" s="3" t="str">
        <f t="shared" si="4"/>
        <v>UPDATE FORNECEDORES SET FILIAL_A_ENTREGAR = 'ANPPLA', FILIAL_COBRANCA = 'ANPPLA', FILIAL_A_FATURAR = 'ANPPLA' WHERE FORNECEDOR = 'HERNANE ELETRICA'</v>
      </c>
    </row>
    <row r="316" spans="1:5" x14ac:dyDescent="0.25">
      <c r="A316" s="3" t="s">
        <v>994</v>
      </c>
      <c r="B316" s="3" t="s">
        <v>2492</v>
      </c>
      <c r="C316" s="3" t="s">
        <v>1497</v>
      </c>
      <c r="D316" s="3" t="s">
        <v>2492</v>
      </c>
      <c r="E316" s="3" t="str">
        <f t="shared" si="4"/>
        <v>UPDATE FORNECEDORES SET FILIAL_A_ENTREGAR = 'CD REGIS', FILIAL_COBRANCA = 'MATRIZ', FILIAL_A_FATURAR = 'CD REGIS' WHERE FORNECEDOR = 'HISTERIA'</v>
      </c>
    </row>
    <row r="317" spans="1:5" x14ac:dyDescent="0.25">
      <c r="A317" s="3" t="s">
        <v>995</v>
      </c>
      <c r="B317" s="3" t="s">
        <v>1497</v>
      </c>
      <c r="C317" s="3" t="s">
        <v>1497</v>
      </c>
      <c r="D317" s="3" t="s">
        <v>1497</v>
      </c>
      <c r="E317" s="3" t="str">
        <f t="shared" si="4"/>
        <v>UPDATE FORNECEDORES SET FILIAL_A_ENTREGAR = 'MATRIZ', FILIAL_COBRANCA = 'MATRIZ', FILIAL_A_FATURAR = 'MATRIZ' WHERE FORNECEDOR = 'HIT TELECOMUNICACOES LTDA'</v>
      </c>
    </row>
    <row r="318" spans="1:5" x14ac:dyDescent="0.25">
      <c r="A318" s="3" t="s">
        <v>997</v>
      </c>
      <c r="B318" s="3" t="s">
        <v>2492</v>
      </c>
      <c r="C318" s="3" t="s">
        <v>1497</v>
      </c>
      <c r="D318" s="3" t="s">
        <v>2492</v>
      </c>
      <c r="E318" s="3" t="str">
        <f t="shared" si="4"/>
        <v>UPDATE FORNECEDORES SET FILIAL_A_ENTREGAR = 'CD REGIS', FILIAL_COBRANCA = 'MATRIZ', FILIAL_A_FATURAR = 'CD REGIS' WHERE FORNECEDOR = 'HLERINHA'</v>
      </c>
    </row>
    <row r="319" spans="1:5" x14ac:dyDescent="0.25">
      <c r="A319" s="3" t="s">
        <v>1021</v>
      </c>
      <c r="B319" s="3" t="s">
        <v>2492</v>
      </c>
      <c r="C319" s="3" t="s">
        <v>1497</v>
      </c>
      <c r="D319" s="3" t="s">
        <v>2492</v>
      </c>
      <c r="E319" s="3" t="str">
        <f t="shared" si="4"/>
        <v>UPDATE FORNECEDORES SET FILIAL_A_ENTREGAR = 'CD REGIS', FILIAL_COBRANCA = 'MATRIZ', FILIAL_A_FATURAR = 'CD REGIS' WHERE FORNECEDOR = 'IBEMA'</v>
      </c>
    </row>
    <row r="320" spans="1:5" x14ac:dyDescent="0.25">
      <c r="A320" s="3" t="s">
        <v>1024</v>
      </c>
      <c r="B320" s="3" t="s">
        <v>1497</v>
      </c>
      <c r="C320" s="3" t="s">
        <v>1497</v>
      </c>
      <c r="D320" s="3" t="s">
        <v>1497</v>
      </c>
      <c r="E320" s="3" t="str">
        <f t="shared" si="4"/>
        <v>UPDATE FORNECEDORES SET FILIAL_A_ENTREGAR = 'MATRIZ', FILIAL_COBRANCA = 'MATRIZ', FILIAL_A_FATURAR = 'MATRIZ' WHERE FORNECEDOR = 'IBOPE INTELIGENCIA PESQ'</v>
      </c>
    </row>
    <row r="321" spans="1:5" x14ac:dyDescent="0.25">
      <c r="A321" s="3" t="s">
        <v>1034</v>
      </c>
      <c r="B321" s="3" t="s">
        <v>1497</v>
      </c>
      <c r="C321" s="3" t="s">
        <v>1497</v>
      </c>
      <c r="D321" s="3" t="s">
        <v>1497</v>
      </c>
      <c r="E321" s="3" t="str">
        <f t="shared" si="4"/>
        <v>UPDATE FORNECEDORES SET FILIAL_A_ENTREGAR = 'MATRIZ', FILIAL_COBRANCA = 'MATRIZ', FILIAL_A_FATURAR = 'MATRIZ' WHERE FORNECEDOR = 'ILUMNA CONSULTORIA'</v>
      </c>
    </row>
    <row r="322" spans="1:5" x14ac:dyDescent="0.25">
      <c r="A322" s="3" t="s">
        <v>1038</v>
      </c>
      <c r="B322" s="3" t="s">
        <v>443</v>
      </c>
      <c r="C322" s="3" t="s">
        <v>1497</v>
      </c>
      <c r="D322" s="3" t="s">
        <v>443</v>
      </c>
      <c r="E322" s="3" t="str">
        <f t="shared" si="4"/>
        <v>UPDATE FORNECEDORES SET FILIAL_A_ENTREGAR = 'CD ARAQUARI', FILIAL_COBRANCA = 'MATRIZ', FILIAL_A_FATURAR = 'CD ARAQUARI' WHERE FORNECEDOR = 'IMAGEM KIDS'</v>
      </c>
    </row>
    <row r="323" spans="1:5" x14ac:dyDescent="0.25">
      <c r="A323" s="3" t="s">
        <v>1041</v>
      </c>
      <c r="B323" s="3" t="s">
        <v>2492</v>
      </c>
      <c r="C323" s="3" t="s">
        <v>2497</v>
      </c>
      <c r="D323" s="3" t="s">
        <v>2492</v>
      </c>
      <c r="E323" s="3" t="str">
        <f t="shared" si="4"/>
        <v>UPDATE FORNECEDORES SET FILIAL_A_ENTREGAR = 'CD REGIS', FILIAL_COBRANCA = 'TATUAPE', FILIAL_A_FATURAR = 'CD REGIS' WHERE FORNECEDOR = 'IMPERIO'</v>
      </c>
    </row>
    <row r="324" spans="1:5" x14ac:dyDescent="0.25">
      <c r="A324" s="3" t="s">
        <v>1042</v>
      </c>
      <c r="B324" s="3" t="s">
        <v>2492</v>
      </c>
      <c r="C324" s="3" t="s">
        <v>1497</v>
      </c>
      <c r="D324" s="3" t="s">
        <v>2492</v>
      </c>
      <c r="E324" s="3" t="str">
        <f t="shared" si="4"/>
        <v>UPDATE FORNECEDORES SET FILIAL_A_ENTREGAR = 'CD REGIS', FILIAL_COBRANCA = 'MATRIZ', FILIAL_A_FATURAR = 'CD REGIS' WHERE FORNECEDOR = 'IMPERIUM MALHAS'</v>
      </c>
    </row>
    <row r="325" spans="1:5" x14ac:dyDescent="0.25">
      <c r="A325" s="3" t="s">
        <v>1048</v>
      </c>
      <c r="B325" s="3" t="s">
        <v>2492</v>
      </c>
      <c r="C325" s="3" t="s">
        <v>2497</v>
      </c>
      <c r="D325" s="3" t="s">
        <v>2492</v>
      </c>
      <c r="E325" s="3" t="str">
        <f t="shared" ref="E325:E388" si="5">"UPDATE FORNECEDORES SET FILIAL_A_ENTREGAR = '"&amp;B325&amp;"', FILIAL_COBRANCA = '"&amp;C325&amp;"', FILIAL_A_FATURAR = '"&amp;D325&amp;"' WHERE FORNECEDOR = '"&amp;A325&amp;"'"</f>
        <v>UPDATE FORNECEDORES SET FILIAL_A_ENTREGAR = 'CD REGIS', FILIAL_COBRANCA = 'TATUAPE', FILIAL_A_FATURAR = 'CD REGIS' WHERE FORNECEDOR = 'IND COM CONFEC SOBREMONTE'</v>
      </c>
    </row>
    <row r="326" spans="1:5" x14ac:dyDescent="0.25">
      <c r="A326" s="3" t="s">
        <v>1050</v>
      </c>
      <c r="B326" s="3" t="s">
        <v>444</v>
      </c>
      <c r="C326" s="3" t="s">
        <v>1497</v>
      </c>
      <c r="D326" s="3" t="s">
        <v>444</v>
      </c>
      <c r="E326" s="3" t="str">
        <f t="shared" si="5"/>
        <v>UPDATE FORNECEDORES SET FILIAL_A_ENTREGAR = 'CD NAVEGANTES', FILIAL_COBRANCA = 'MATRIZ', FILIAL_A_FATURAR = 'CD NAVEGANTES' WHERE FORNECEDOR = 'INDELEVEL'</v>
      </c>
    </row>
    <row r="327" spans="1:5" x14ac:dyDescent="0.25">
      <c r="A327" s="3" t="s">
        <v>1051</v>
      </c>
      <c r="B327" s="3" t="s">
        <v>443</v>
      </c>
      <c r="C327" s="3" t="s">
        <v>1497</v>
      </c>
      <c r="D327" s="3" t="s">
        <v>443</v>
      </c>
      <c r="E327" s="3" t="str">
        <f t="shared" si="5"/>
        <v>UPDATE FORNECEDORES SET FILIAL_A_ENTREGAR = 'CD ARAQUARI', FILIAL_COBRANCA = 'MATRIZ', FILIAL_A_FATURAR = 'CD ARAQUARI' WHERE FORNECEDOR = 'INDEPENDENCE'</v>
      </c>
    </row>
    <row r="328" spans="1:5" x14ac:dyDescent="0.25">
      <c r="A328" s="3" t="s">
        <v>1053</v>
      </c>
      <c r="B328" s="3" t="s">
        <v>2493</v>
      </c>
      <c r="C328" s="3" t="s">
        <v>2493</v>
      </c>
      <c r="D328" s="3" t="s">
        <v>2493</v>
      </c>
      <c r="E328" s="3" t="str">
        <f t="shared" si="5"/>
        <v>UPDATE FORNECEDORES SET FILIAL_A_ENTREGAR = 'AVANTI- ADM C.CREDITO', FILIAL_COBRANCA = 'AVANTI- ADM C.CREDITO', FILIAL_A_FATURAR = 'AVANTI- ADM C.CREDITO' WHERE FORNECEDOR = 'INDICO S/A'</v>
      </c>
    </row>
    <row r="329" spans="1:5" x14ac:dyDescent="0.25">
      <c r="A329" s="3" t="s">
        <v>1055</v>
      </c>
      <c r="B329" s="3" t="s">
        <v>2498</v>
      </c>
      <c r="C329" s="3" t="s">
        <v>2498</v>
      </c>
      <c r="D329" s="3" t="s">
        <v>2498</v>
      </c>
      <c r="E329" s="3" t="str">
        <f t="shared" si="5"/>
        <v>UPDATE FORNECEDORES SET FILIAL_A_ENTREGAR = 'SP - PARI', FILIAL_COBRANCA = 'SP - PARI', FILIAL_A_FATURAR = 'SP - PARI' WHERE FORNECEDOR = 'INDIGO CONSULTORIA'</v>
      </c>
    </row>
    <row r="330" spans="1:5" x14ac:dyDescent="0.25">
      <c r="A330" s="3" t="s">
        <v>1058</v>
      </c>
      <c r="B330" s="3" t="s">
        <v>2492</v>
      </c>
      <c r="C330" s="3" t="s">
        <v>2497</v>
      </c>
      <c r="D330" s="3" t="s">
        <v>2492</v>
      </c>
      <c r="E330" s="3" t="str">
        <f t="shared" si="5"/>
        <v>UPDATE FORNECEDORES SET FILIAL_A_ENTREGAR = 'CD REGIS', FILIAL_COBRANCA = 'TATUAPE', FILIAL_A_FATURAR = 'CD REGIS' WHERE FORNECEDOR = 'INEDILA'</v>
      </c>
    </row>
    <row r="331" spans="1:5" x14ac:dyDescent="0.25">
      <c r="A331" s="3" t="s">
        <v>1061</v>
      </c>
      <c r="B331" s="3" t="s">
        <v>2493</v>
      </c>
      <c r="C331" s="3" t="s">
        <v>2493</v>
      </c>
      <c r="D331" s="3" t="s">
        <v>2493</v>
      </c>
      <c r="E331" s="3" t="str">
        <f t="shared" si="5"/>
        <v>UPDATE FORNECEDORES SET FILIAL_A_ENTREGAR = 'AVANTI- ADM C.CREDITO', FILIAL_COBRANCA = 'AVANTI- ADM C.CREDITO', FILIAL_A_FATURAR = 'AVANTI- ADM C.CREDITO' WHERE FORNECEDOR = 'INFORSHOP 2'</v>
      </c>
    </row>
    <row r="332" spans="1:5" x14ac:dyDescent="0.25">
      <c r="A332" s="3" t="s">
        <v>1063</v>
      </c>
      <c r="B332" s="3" t="s">
        <v>2493</v>
      </c>
      <c r="C332" s="3" t="s">
        <v>2493</v>
      </c>
      <c r="D332" s="3" t="s">
        <v>2493</v>
      </c>
      <c r="E332" s="3" t="str">
        <f t="shared" si="5"/>
        <v>UPDATE FORNECEDORES SET FILIAL_A_ENTREGAR = 'AVANTI- ADM C.CREDITO', FILIAL_COBRANCA = 'AVANTI- ADM C.CREDITO', FILIAL_A_FATURAR = 'AVANTI- ADM C.CREDITO' WHERE FORNECEDOR = 'INFOSOL'</v>
      </c>
    </row>
    <row r="333" spans="1:5" x14ac:dyDescent="0.25">
      <c r="A333" s="3" t="s">
        <v>1064</v>
      </c>
      <c r="B333" s="3" t="s">
        <v>2513</v>
      </c>
      <c r="C333" s="3" t="s">
        <v>2513</v>
      </c>
      <c r="D333" s="3" t="s">
        <v>2513</v>
      </c>
      <c r="E333" s="3" t="str">
        <f t="shared" si="5"/>
        <v>UPDATE FORNECEDORES SET FILIAL_A_ENTREGAR = 'MOGI GUACU', FILIAL_COBRANCA = 'MOGI GUACU', FILIAL_A_FATURAR = 'MOGI GUACU' WHERE FORNECEDOR = 'INGERSOLL RAND - CURITIBA'</v>
      </c>
    </row>
    <row r="334" spans="1:5" x14ac:dyDescent="0.25">
      <c r="A334" s="3" t="s">
        <v>1065</v>
      </c>
      <c r="B334" s="3" t="s">
        <v>2513</v>
      </c>
      <c r="C334" s="3" t="s">
        <v>2513</v>
      </c>
      <c r="D334" s="3" t="s">
        <v>2513</v>
      </c>
      <c r="E334" s="3" t="str">
        <f t="shared" si="5"/>
        <v>UPDATE FORNECEDORES SET FILIAL_A_ENTREGAR = 'MOGI GUACU', FILIAL_COBRANCA = 'MOGI GUACU', FILIAL_A_FATURAR = 'MOGI GUACU' WHERE FORNECEDOR = 'INGERSOLL RAND IND E COM'</v>
      </c>
    </row>
    <row r="335" spans="1:5" x14ac:dyDescent="0.25">
      <c r="A335" s="3" t="s">
        <v>1068</v>
      </c>
      <c r="B335" s="3" t="s">
        <v>2498</v>
      </c>
      <c r="C335" s="3" t="s">
        <v>2498</v>
      </c>
      <c r="D335" s="3" t="s">
        <v>2498</v>
      </c>
      <c r="E335" s="3" t="str">
        <f t="shared" si="5"/>
        <v>UPDATE FORNECEDORES SET FILIAL_A_ENTREGAR = 'SP - PARI', FILIAL_COBRANCA = 'SP - PARI', FILIAL_A_FATURAR = 'SP - PARI' WHERE FORNECEDOR = 'INOVE GRAFICA DIGITAL'</v>
      </c>
    </row>
    <row r="336" spans="1:5" x14ac:dyDescent="0.25">
      <c r="A336" s="3" t="s">
        <v>1071</v>
      </c>
      <c r="B336" s="3" t="s">
        <v>1497</v>
      </c>
      <c r="C336" s="3" t="s">
        <v>1497</v>
      </c>
      <c r="D336" s="3" t="s">
        <v>1497</v>
      </c>
      <c r="E336" s="3" t="str">
        <f t="shared" si="5"/>
        <v>UPDATE FORNECEDORES SET FILIAL_A_ENTREGAR = 'MATRIZ', FILIAL_COBRANCA = 'MATRIZ', FILIAL_A_FATURAR = 'MATRIZ' WHERE FORNECEDOR = 'INTEGRAL ALIMENTAÇÃO'</v>
      </c>
    </row>
    <row r="337" spans="1:5" x14ac:dyDescent="0.25">
      <c r="A337" s="3" t="s">
        <v>1072</v>
      </c>
      <c r="B337" s="3" t="s">
        <v>1497</v>
      </c>
      <c r="C337" s="3" t="s">
        <v>1497</v>
      </c>
      <c r="D337" s="3" t="s">
        <v>1497</v>
      </c>
      <c r="E337" s="3" t="str">
        <f t="shared" si="5"/>
        <v>UPDATE FORNECEDORES SET FILIAL_A_ENTREGAR = 'MATRIZ', FILIAL_COBRANCA = 'MATRIZ', FILIAL_A_FATURAR = 'MATRIZ' WHERE FORNECEDOR = 'INTELIGENTE'</v>
      </c>
    </row>
    <row r="338" spans="1:5" x14ac:dyDescent="0.25">
      <c r="A338" s="3" t="s">
        <v>1074</v>
      </c>
      <c r="B338" s="3" t="s">
        <v>2503</v>
      </c>
      <c r="C338" s="3" t="s">
        <v>2503</v>
      </c>
      <c r="D338" s="3" t="s">
        <v>2503</v>
      </c>
      <c r="E338" s="3" t="str">
        <f t="shared" si="5"/>
        <v>UPDATE FORNECEDORES SET FILIAL_A_ENTREGAR = 'SAO BERNARDO', FILIAL_COBRANCA = 'SAO BERNARDO', FILIAL_A_FATURAR = 'SAO BERNARDO' WHERE FORNECEDOR = 'INTER - SÃO B. DO CAMPO'</v>
      </c>
    </row>
    <row r="339" spans="1:5" x14ac:dyDescent="0.25">
      <c r="A339" s="3" t="s">
        <v>1078</v>
      </c>
      <c r="B339" s="3" t="s">
        <v>2534</v>
      </c>
      <c r="C339" s="3" t="s">
        <v>2534</v>
      </c>
      <c r="D339" s="3" t="s">
        <v>2534</v>
      </c>
      <c r="E339" s="3" t="str">
        <f t="shared" si="5"/>
        <v>UPDATE FORNECEDORES SET FILIAL_A_ENTREGAR = 'MAUA', FILIAL_COBRANCA = 'MAUA', FILIAL_A_FATURAR = 'MAUA' WHERE FORNECEDOR = 'INTERMADICA- MAUA'</v>
      </c>
    </row>
    <row r="340" spans="1:5" x14ac:dyDescent="0.25">
      <c r="A340" s="3" t="s">
        <v>1079</v>
      </c>
      <c r="B340" s="3" t="s">
        <v>2499</v>
      </c>
      <c r="C340" s="3" t="s">
        <v>2499</v>
      </c>
      <c r="D340" s="3" t="s">
        <v>2499</v>
      </c>
      <c r="E340" s="3" t="str">
        <f t="shared" si="5"/>
        <v>UPDATE FORNECEDORES SET FILIAL_A_ENTREGAR = 'BARUERI', FILIAL_COBRANCA = 'BARUERI', FILIAL_A_FATURAR = 'BARUERI' WHERE FORNECEDOR = 'INTERMEDICA - BARUERI'</v>
      </c>
    </row>
    <row r="341" spans="1:5" x14ac:dyDescent="0.25">
      <c r="A341" s="3" t="s">
        <v>1081</v>
      </c>
      <c r="B341" s="3" t="s">
        <v>2524</v>
      </c>
      <c r="C341" s="3" t="s">
        <v>2524</v>
      </c>
      <c r="D341" s="3" t="s">
        <v>2524</v>
      </c>
      <c r="E341" s="3" t="str">
        <f t="shared" si="5"/>
        <v>UPDATE FORNECEDORES SET FILIAL_A_ENTREGAR = 'COTIA', FILIAL_COBRANCA = 'COTIA', FILIAL_A_FATURAR = 'COTIA' WHERE FORNECEDOR = 'INTERMEDICA - COTIA'</v>
      </c>
    </row>
    <row r="342" spans="1:5" x14ac:dyDescent="0.25">
      <c r="A342" s="3" t="s">
        <v>1082</v>
      </c>
      <c r="B342" s="3" t="s">
        <v>2508</v>
      </c>
      <c r="C342" s="3" t="s">
        <v>2508</v>
      </c>
      <c r="D342" s="3" t="s">
        <v>2508</v>
      </c>
      <c r="E342" s="3" t="str">
        <f t="shared" si="5"/>
        <v>UPDATE FORNECEDORES SET FILIAL_A_ENTREGAR = 'DIADEMA', FILIAL_COBRANCA = 'DIADEMA', FILIAL_A_FATURAR = 'DIADEMA' WHERE FORNECEDOR = 'INTERMEDICA - DIADEMA'</v>
      </c>
    </row>
    <row r="343" spans="1:5" x14ac:dyDescent="0.25">
      <c r="A343" s="3" t="s">
        <v>1083</v>
      </c>
      <c r="B343" s="3" t="s">
        <v>2529</v>
      </c>
      <c r="C343" s="3" t="s">
        <v>2529</v>
      </c>
      <c r="D343" s="3" t="s">
        <v>2529</v>
      </c>
      <c r="E343" s="3" t="str">
        <f t="shared" si="5"/>
        <v>UPDATE FORNECEDORES SET FILIAL_A_ENTREGAR = 'ITAPEVI', FILIAL_COBRANCA = 'ITAPEVI', FILIAL_A_FATURAR = 'ITAPEVI' WHERE FORNECEDOR = 'INTERMEDICA - ITAPEVI'</v>
      </c>
    </row>
    <row r="344" spans="1:5" x14ac:dyDescent="0.25">
      <c r="A344" s="3" t="s">
        <v>1084</v>
      </c>
      <c r="B344" s="3" t="s">
        <v>2495</v>
      </c>
      <c r="C344" s="3" t="s">
        <v>2495</v>
      </c>
      <c r="D344" s="3" t="s">
        <v>2495</v>
      </c>
      <c r="E344" s="3" t="str">
        <f t="shared" si="5"/>
        <v>UPDATE FORNECEDORES SET FILIAL_A_ENTREGAR = 'JUNDIAI', FILIAL_COBRANCA = 'JUNDIAI', FILIAL_A_FATURAR = 'JUNDIAI' WHERE FORNECEDOR = 'INTERMEDICA - JUNDIAI'</v>
      </c>
    </row>
    <row r="345" spans="1:5" x14ac:dyDescent="0.25">
      <c r="A345" s="3" t="s">
        <v>1085</v>
      </c>
      <c r="B345" s="3" t="s">
        <v>2494</v>
      </c>
      <c r="C345" s="3" t="s">
        <v>2494</v>
      </c>
      <c r="D345" s="3" t="s">
        <v>2494</v>
      </c>
      <c r="E345" s="3" t="str">
        <f t="shared" si="5"/>
        <v>UPDATE FORNECEDORES SET FILIAL_A_ENTREGAR = 'ANPPLA', FILIAL_COBRANCA = 'ANPPLA', FILIAL_A_FATURAR = 'ANPPLA' WHERE FORNECEDOR = 'INTERMEDICA PC DOM JOSE'</v>
      </c>
    </row>
    <row r="346" spans="1:5" x14ac:dyDescent="0.25">
      <c r="A346" s="3" t="s">
        <v>1086</v>
      </c>
      <c r="B346" s="3" t="s">
        <v>2493</v>
      </c>
      <c r="C346" s="3" t="s">
        <v>2493</v>
      </c>
      <c r="D346" s="3" t="s">
        <v>2493</v>
      </c>
      <c r="E346" s="3" t="str">
        <f t="shared" si="5"/>
        <v>UPDATE FORNECEDORES SET FILIAL_A_ENTREGAR = 'AVANTI- ADM C.CREDITO', FILIAL_COBRANCA = 'AVANTI- ADM C.CREDITO', FILIAL_A_FATURAR = 'AVANTI- ADM C.CREDITO' WHERE FORNECEDOR = 'INTERMEDICA S/A'</v>
      </c>
    </row>
    <row r="347" spans="1:5" x14ac:dyDescent="0.25">
      <c r="A347" s="3" t="s">
        <v>1087</v>
      </c>
      <c r="B347" s="3" t="s">
        <v>2500</v>
      </c>
      <c r="C347" s="3" t="s">
        <v>2500</v>
      </c>
      <c r="D347" s="3" t="s">
        <v>2500</v>
      </c>
      <c r="E347" s="3" t="str">
        <f t="shared" si="5"/>
        <v>UPDATE FORNECEDORES SET FILIAL_A_ENTREGAR = 'CARAPICUIBA', FILIAL_COBRANCA = 'CARAPICUIBA', FILIAL_A_FATURAR = 'CARAPICUIBA' WHERE FORNECEDOR = 'INTERMEDICA-CARAPICUIBA'</v>
      </c>
    </row>
    <row r="348" spans="1:5" x14ac:dyDescent="0.25">
      <c r="A348" s="3" t="s">
        <v>1089</v>
      </c>
      <c r="B348" s="3" t="s">
        <v>2493</v>
      </c>
      <c r="C348" s="3" t="s">
        <v>2493</v>
      </c>
      <c r="D348" s="3" t="s">
        <v>2493</v>
      </c>
      <c r="E348" s="3" t="str">
        <f t="shared" si="5"/>
        <v>UPDATE FORNECEDORES SET FILIAL_A_ENTREGAR = 'AVANTI- ADM C.CREDITO', FILIAL_COBRANCA = 'AVANTI- ADM C.CREDITO', FILIAL_A_FATURAR = 'AVANTI- ADM C.CREDITO' WHERE FORNECEDOR = 'INTERODONTO SIST DE SAUDE'</v>
      </c>
    </row>
    <row r="349" spans="1:5" x14ac:dyDescent="0.25">
      <c r="A349" s="3" t="s">
        <v>1090</v>
      </c>
      <c r="B349" s="3" t="s">
        <v>1497</v>
      </c>
      <c r="C349" s="3" t="s">
        <v>1497</v>
      </c>
      <c r="D349" s="3" t="s">
        <v>1497</v>
      </c>
      <c r="E349" s="3" t="str">
        <f t="shared" si="5"/>
        <v>UPDATE FORNECEDORES SET FILIAL_A_ENTREGAR = 'MATRIZ', FILIAL_COBRANCA = 'MATRIZ', FILIAL_A_FATURAR = 'MATRIZ' WHERE FORNECEDOR = 'INTERSHOPPING LOGISTICA'</v>
      </c>
    </row>
    <row r="350" spans="1:5" x14ac:dyDescent="0.25">
      <c r="A350" s="3" t="s">
        <v>1091</v>
      </c>
      <c r="B350" s="3" t="s">
        <v>1497</v>
      </c>
      <c r="C350" s="3" t="s">
        <v>1497</v>
      </c>
      <c r="D350" s="3" t="s">
        <v>1497</v>
      </c>
      <c r="E350" s="3" t="str">
        <f t="shared" si="5"/>
        <v>UPDATE FORNECEDORES SET FILIAL_A_ENTREGAR = 'MATRIZ', FILIAL_COBRANCA = 'MATRIZ', FILIAL_A_FATURAR = 'MATRIZ' WHERE FORNECEDOR = 'INTERSYSTEMS DO BRASIL'</v>
      </c>
    </row>
    <row r="351" spans="1:5" x14ac:dyDescent="0.25">
      <c r="A351" s="3" t="s">
        <v>1094</v>
      </c>
      <c r="B351" s="3" t="s">
        <v>2492</v>
      </c>
      <c r="C351" s="3" t="s">
        <v>1497</v>
      </c>
      <c r="D351" s="3" t="s">
        <v>2492</v>
      </c>
      <c r="E351" s="3" t="str">
        <f t="shared" si="5"/>
        <v>UPDATE FORNECEDORES SET FILIAL_A_ENTREGAR = 'CD REGIS', FILIAL_COBRANCA = 'MATRIZ', FILIAL_A_FATURAR = 'CD REGIS' WHERE FORNECEDOR = 'INTRACO'</v>
      </c>
    </row>
    <row r="352" spans="1:5" x14ac:dyDescent="0.25">
      <c r="A352" s="3" t="s">
        <v>1104</v>
      </c>
      <c r="B352" s="3" t="s">
        <v>2492</v>
      </c>
      <c r="C352" s="3" t="s">
        <v>2497</v>
      </c>
      <c r="D352" s="3" t="s">
        <v>2492</v>
      </c>
      <c r="E352" s="3" t="str">
        <f t="shared" si="5"/>
        <v>UPDATE FORNECEDORES SET FILIAL_A_ENTREGAR = 'CD REGIS', FILIAL_COBRANCA = 'TATUAPE', FILIAL_A_FATURAR = 'CD REGIS' WHERE FORNECEDOR = 'ISMY'</v>
      </c>
    </row>
    <row r="353" spans="1:5" x14ac:dyDescent="0.25">
      <c r="A353" s="3" t="s">
        <v>1106</v>
      </c>
      <c r="B353" s="3" t="s">
        <v>1497</v>
      </c>
      <c r="C353" s="3" t="s">
        <v>1497</v>
      </c>
      <c r="D353" s="3" t="s">
        <v>1497</v>
      </c>
      <c r="E353" s="3" t="str">
        <f t="shared" si="5"/>
        <v>UPDATE FORNECEDORES SET FILIAL_A_ENTREGAR = 'MATRIZ', FILIAL_COBRANCA = 'MATRIZ', FILIAL_A_FATURAR = 'MATRIZ' WHERE FORNECEDOR = 'ISSAN SIDOM'</v>
      </c>
    </row>
    <row r="354" spans="1:5" x14ac:dyDescent="0.25">
      <c r="A354" s="3" t="s">
        <v>1107</v>
      </c>
      <c r="B354" s="3" t="s">
        <v>2498</v>
      </c>
      <c r="C354" s="3" t="s">
        <v>2498</v>
      </c>
      <c r="D354" s="3" t="s">
        <v>2498</v>
      </c>
      <c r="E354" s="3" t="str">
        <f t="shared" si="5"/>
        <v>UPDATE FORNECEDORES SET FILIAL_A_ENTREGAR = 'SP - PARI', FILIAL_COBRANCA = 'SP - PARI', FILIAL_A_FATURAR = 'SP - PARI' WHERE FORNECEDOR = 'IT2B'</v>
      </c>
    </row>
    <row r="355" spans="1:5" x14ac:dyDescent="0.25">
      <c r="A355" s="3" t="s">
        <v>1109</v>
      </c>
      <c r="B355" s="3" t="s">
        <v>2498</v>
      </c>
      <c r="C355" s="3" t="s">
        <v>2498</v>
      </c>
      <c r="D355" s="3" t="s">
        <v>2498</v>
      </c>
      <c r="E355" s="3" t="str">
        <f t="shared" si="5"/>
        <v>UPDATE FORNECEDORES SET FILIAL_A_ENTREGAR = 'SP - PARI', FILIAL_COBRANCA = 'SP - PARI', FILIAL_A_FATURAR = 'SP - PARI' WHERE FORNECEDOR = 'ITALIAN COFFEE'</v>
      </c>
    </row>
    <row r="356" spans="1:5" x14ac:dyDescent="0.25">
      <c r="A356" s="3" t="s">
        <v>1110</v>
      </c>
      <c r="B356" s="3" t="s">
        <v>2498</v>
      </c>
      <c r="C356" s="3" t="s">
        <v>2498</v>
      </c>
      <c r="D356" s="3" t="s">
        <v>2498</v>
      </c>
      <c r="E356" s="3" t="str">
        <f t="shared" si="5"/>
        <v>UPDATE FORNECEDORES SET FILIAL_A_ENTREGAR = 'SP - PARI', FILIAL_COBRANCA = 'SP - PARI', FILIAL_A_FATURAR = 'SP - PARI' WHERE FORNECEDOR = 'ITALIAN COFFEE  COM  SERV'</v>
      </c>
    </row>
    <row r="357" spans="1:5" x14ac:dyDescent="0.25">
      <c r="A357" s="3" t="s">
        <v>1111</v>
      </c>
      <c r="B357" s="3" t="s">
        <v>443</v>
      </c>
      <c r="C357" s="3" t="s">
        <v>1497</v>
      </c>
      <c r="D357" s="3" t="s">
        <v>443</v>
      </c>
      <c r="E357" s="3" t="str">
        <f t="shared" si="5"/>
        <v>UPDATE FORNECEDORES SET FILIAL_A_ENTREGAR = 'CD ARAQUARI', FILIAL_COBRANCA = 'MATRIZ', FILIAL_A_FATURAR = 'CD ARAQUARI' WHERE FORNECEDOR = 'ITTONI ART'</v>
      </c>
    </row>
    <row r="358" spans="1:5" x14ac:dyDescent="0.25">
      <c r="A358" s="3" t="s">
        <v>1112</v>
      </c>
      <c r="B358" s="3" t="s">
        <v>1497</v>
      </c>
      <c r="C358" s="3" t="s">
        <v>1497</v>
      </c>
      <c r="D358" s="3" t="s">
        <v>1497</v>
      </c>
      <c r="E358" s="3" t="str">
        <f t="shared" si="5"/>
        <v>UPDATE FORNECEDORES SET FILIAL_A_ENTREGAR = 'MATRIZ', FILIAL_COBRANCA = 'MATRIZ', FILIAL_A_FATURAR = 'MATRIZ' WHERE FORNECEDOR = 'IVONE DE ASSIS ME'</v>
      </c>
    </row>
    <row r="359" spans="1:5" x14ac:dyDescent="0.25">
      <c r="A359" s="3" t="s">
        <v>1114</v>
      </c>
      <c r="B359" s="3" t="s">
        <v>2492</v>
      </c>
      <c r="C359" s="3" t="s">
        <v>2497</v>
      </c>
      <c r="D359" s="3" t="s">
        <v>2492</v>
      </c>
      <c r="E359" s="3" t="str">
        <f t="shared" si="5"/>
        <v>UPDATE FORNECEDORES SET FILIAL_A_ENTREGAR = 'CD REGIS', FILIAL_COBRANCA = 'TATUAPE', FILIAL_A_FATURAR = 'CD REGIS' WHERE FORNECEDOR = 'J &amp; P CONFECCOES'</v>
      </c>
    </row>
    <row r="360" spans="1:5" x14ac:dyDescent="0.25">
      <c r="A360" s="3" t="s">
        <v>1116</v>
      </c>
      <c r="B360" s="3" t="s">
        <v>2492</v>
      </c>
      <c r="C360" s="3" t="s">
        <v>1497</v>
      </c>
      <c r="D360" s="3" t="s">
        <v>2492</v>
      </c>
      <c r="E360" s="3" t="str">
        <f t="shared" si="5"/>
        <v>UPDATE FORNECEDORES SET FILIAL_A_ENTREGAR = 'CD REGIS', FILIAL_COBRANCA = 'MATRIZ', FILIAL_A_FATURAR = 'CD REGIS' WHERE FORNECEDOR = 'J AKKA'</v>
      </c>
    </row>
    <row r="361" spans="1:5" x14ac:dyDescent="0.25">
      <c r="A361" s="3" t="s">
        <v>1121</v>
      </c>
      <c r="B361" s="3" t="s">
        <v>2492</v>
      </c>
      <c r="C361" s="3" t="s">
        <v>2492</v>
      </c>
      <c r="D361" s="3" t="s">
        <v>2492</v>
      </c>
      <c r="E361" s="3" t="str">
        <f t="shared" si="5"/>
        <v>UPDATE FORNECEDORES SET FILIAL_A_ENTREGAR = 'CD REGIS', FILIAL_COBRANCA = 'CD REGIS', FILIAL_A_FATURAR = 'CD REGIS' WHERE FORNECEDOR = 'J.F. ACRILICOS COMERCIAL'</v>
      </c>
    </row>
    <row r="362" spans="1:5" x14ac:dyDescent="0.25">
      <c r="A362" s="3" t="s">
        <v>1122</v>
      </c>
      <c r="B362" s="3" t="s">
        <v>2494</v>
      </c>
      <c r="C362" s="3" t="s">
        <v>2494</v>
      </c>
      <c r="D362" s="3" t="s">
        <v>2494</v>
      </c>
      <c r="E362" s="3" t="str">
        <f t="shared" si="5"/>
        <v>UPDATE FORNECEDORES SET FILIAL_A_ENTREGAR = 'ANPPLA', FILIAL_COBRANCA = 'ANPPLA', FILIAL_A_FATURAR = 'ANPPLA' WHERE FORNECEDOR = 'J.G. MARTINS CONSTRUÇÕES'</v>
      </c>
    </row>
    <row r="363" spans="1:5" x14ac:dyDescent="0.25">
      <c r="A363" s="3" t="s">
        <v>1123</v>
      </c>
      <c r="B363" s="3" t="s">
        <v>444</v>
      </c>
      <c r="C363" s="3" t="s">
        <v>1497</v>
      </c>
      <c r="D363" s="3" t="s">
        <v>444</v>
      </c>
      <c r="E363" s="3" t="str">
        <f t="shared" si="5"/>
        <v>UPDATE FORNECEDORES SET FILIAL_A_ENTREGAR = 'CD NAVEGANTES', FILIAL_COBRANCA = 'MATRIZ', FILIAL_A_FATURAR = 'CD NAVEGANTES' WHERE FORNECEDOR = 'J.K.M. CONFECCOES'</v>
      </c>
    </row>
    <row r="364" spans="1:5" x14ac:dyDescent="0.25">
      <c r="A364" s="3" t="s">
        <v>1126</v>
      </c>
      <c r="B364" s="3" t="s">
        <v>2492</v>
      </c>
      <c r="C364" s="3" t="s">
        <v>1497</v>
      </c>
      <c r="D364" s="3" t="s">
        <v>2492</v>
      </c>
      <c r="E364" s="3" t="str">
        <f t="shared" si="5"/>
        <v>UPDATE FORNECEDORES SET FILIAL_A_ENTREGAR = 'CD REGIS', FILIAL_COBRANCA = 'MATRIZ', FILIAL_A_FATURAR = 'CD REGIS' WHERE FORNECEDOR = 'J.SHAYEB &amp; CIA LTDA'</v>
      </c>
    </row>
    <row r="365" spans="1:5" x14ac:dyDescent="0.25">
      <c r="A365" s="3" t="s">
        <v>1127</v>
      </c>
      <c r="B365" s="3" t="s">
        <v>2492</v>
      </c>
      <c r="C365" s="3" t="s">
        <v>1497</v>
      </c>
      <c r="D365" s="3" t="s">
        <v>2492</v>
      </c>
      <c r="E365" s="3" t="str">
        <f t="shared" si="5"/>
        <v>UPDATE FORNECEDORES SET FILIAL_A_ENTREGAR = 'CD REGIS', FILIAL_COBRANCA = 'MATRIZ', FILIAL_A_FATURAR = 'CD REGIS' WHERE FORNECEDOR = 'J.SHAYEB &amp; CIA LTDA 2'</v>
      </c>
    </row>
    <row r="366" spans="1:5" x14ac:dyDescent="0.25">
      <c r="A366" s="3" t="s">
        <v>1132</v>
      </c>
      <c r="B366" s="3" t="s">
        <v>2492</v>
      </c>
      <c r="C366" s="3" t="s">
        <v>1497</v>
      </c>
      <c r="D366" s="3" t="s">
        <v>2492</v>
      </c>
      <c r="E366" s="3" t="str">
        <f t="shared" si="5"/>
        <v>UPDATE FORNECEDORES SET FILIAL_A_ENTREGAR = 'CD REGIS', FILIAL_COBRANCA = 'MATRIZ', FILIAL_A_FATURAR = 'CD REGIS' WHERE FORNECEDOR = 'JANA JOUR'</v>
      </c>
    </row>
    <row r="367" spans="1:5" x14ac:dyDescent="0.25">
      <c r="A367" s="3" t="s">
        <v>1133</v>
      </c>
      <c r="B367" s="3" t="s">
        <v>2492</v>
      </c>
      <c r="C367" s="3" t="s">
        <v>2497</v>
      </c>
      <c r="D367" s="3" t="s">
        <v>2492</v>
      </c>
      <c r="E367" s="3" t="str">
        <f t="shared" si="5"/>
        <v>UPDATE FORNECEDORES SET FILIAL_A_ENTREGAR = 'CD REGIS', FILIAL_COBRANCA = 'TATUAPE', FILIAL_A_FATURAR = 'CD REGIS' WHERE FORNECEDOR = 'JAQUELINE MALHAS'</v>
      </c>
    </row>
    <row r="368" spans="1:5" x14ac:dyDescent="0.25">
      <c r="A368" s="3" t="s">
        <v>1135</v>
      </c>
      <c r="B368" s="3" t="s">
        <v>2492</v>
      </c>
      <c r="C368" s="3" t="s">
        <v>1497</v>
      </c>
      <c r="D368" s="3" t="s">
        <v>2492</v>
      </c>
      <c r="E368" s="3" t="str">
        <f t="shared" si="5"/>
        <v>UPDATE FORNECEDORES SET FILIAL_A_ENTREGAR = 'CD REGIS', FILIAL_COBRANCA = 'MATRIZ', FILIAL_A_FATURAR = 'CD REGIS' WHERE FORNECEDOR = 'JAVA COMERCIO IMPORTACAO'</v>
      </c>
    </row>
    <row r="369" spans="1:5" x14ac:dyDescent="0.25">
      <c r="A369" s="3" t="s">
        <v>1140</v>
      </c>
      <c r="B369" s="3" t="s">
        <v>2492</v>
      </c>
      <c r="C369" s="3" t="s">
        <v>1497</v>
      </c>
      <c r="D369" s="3" t="s">
        <v>2492</v>
      </c>
      <c r="E369" s="3" t="str">
        <f t="shared" si="5"/>
        <v>UPDATE FORNECEDORES SET FILIAL_A_ENTREGAR = 'CD REGIS', FILIAL_COBRANCA = 'MATRIZ', FILIAL_A_FATURAR = 'CD REGIS' WHERE FORNECEDOR = 'JD CONFECCOES ME'</v>
      </c>
    </row>
    <row r="370" spans="1:5" x14ac:dyDescent="0.25">
      <c r="A370" s="3" t="s">
        <v>1143</v>
      </c>
      <c r="B370" s="3" t="s">
        <v>2492</v>
      </c>
      <c r="C370" s="3" t="s">
        <v>2497</v>
      </c>
      <c r="D370" s="3" t="s">
        <v>2492</v>
      </c>
      <c r="E370" s="3" t="str">
        <f t="shared" si="5"/>
        <v>UPDATE FORNECEDORES SET FILIAL_A_ENTREGAR = 'CD REGIS', FILIAL_COBRANCA = 'TATUAPE', FILIAL_A_FATURAR = 'CD REGIS' WHERE FORNECEDOR = 'JENELY MANIA'</v>
      </c>
    </row>
    <row r="371" spans="1:5" x14ac:dyDescent="0.25">
      <c r="A371" s="3" t="s">
        <v>1144</v>
      </c>
      <c r="B371" s="3" t="s">
        <v>2525</v>
      </c>
      <c r="C371" s="3" t="s">
        <v>2525</v>
      </c>
      <c r="D371" s="3" t="s">
        <v>2525</v>
      </c>
      <c r="E371" s="3" t="str">
        <f t="shared" si="5"/>
        <v>UPDATE FORNECEDORES SET FILIAL_A_ENTREGAR = 'FERRAZ', FILIAL_COBRANCA = 'FERRAZ', FILIAL_A_FATURAR = 'FERRAZ' WHERE FORNECEDOR = 'JEREMIAS VIEIRA NETO ME'</v>
      </c>
    </row>
    <row r="372" spans="1:5" x14ac:dyDescent="0.25">
      <c r="A372" s="3" t="s">
        <v>1145</v>
      </c>
      <c r="B372" s="3" t="s">
        <v>2492</v>
      </c>
      <c r="C372" s="3" t="s">
        <v>2497</v>
      </c>
      <c r="D372" s="3" t="s">
        <v>2492</v>
      </c>
      <c r="E372" s="3" t="str">
        <f t="shared" si="5"/>
        <v>UPDATE FORNECEDORES SET FILIAL_A_ENTREGAR = 'CD REGIS', FILIAL_COBRANCA = 'TATUAPE', FILIAL_A_FATURAR = 'CD REGIS' WHERE FORNECEDOR = 'JEZZIAN'</v>
      </c>
    </row>
    <row r="373" spans="1:5" x14ac:dyDescent="0.25">
      <c r="A373" s="3" t="s">
        <v>1149</v>
      </c>
      <c r="B373" s="3" t="s">
        <v>2492</v>
      </c>
      <c r="C373" s="3" t="s">
        <v>2497</v>
      </c>
      <c r="D373" s="3" t="s">
        <v>2492</v>
      </c>
      <c r="E373" s="3" t="str">
        <f t="shared" si="5"/>
        <v>UPDATE FORNECEDORES SET FILIAL_A_ENTREGAR = 'CD REGIS', FILIAL_COBRANCA = 'TATUAPE', FILIAL_A_FATURAR = 'CD REGIS' WHERE FORNECEDOR = 'JIGGY MEIAS'</v>
      </c>
    </row>
    <row r="374" spans="1:5" x14ac:dyDescent="0.25">
      <c r="A374" s="3" t="s">
        <v>1150</v>
      </c>
      <c r="B374" s="3" t="s">
        <v>2492</v>
      </c>
      <c r="C374" s="3" t="s">
        <v>1497</v>
      </c>
      <c r="D374" s="3" t="s">
        <v>2492</v>
      </c>
      <c r="E374" s="3" t="str">
        <f t="shared" si="5"/>
        <v>UPDATE FORNECEDORES SET FILIAL_A_ENTREGAR = 'CD REGIS', FILIAL_COBRANCA = 'MATRIZ', FILIAL_A_FATURAR = 'CD REGIS' WHERE FORNECEDOR = 'JMK'</v>
      </c>
    </row>
    <row r="375" spans="1:5" x14ac:dyDescent="0.25">
      <c r="A375" s="3" t="s">
        <v>1151</v>
      </c>
      <c r="B375" s="3" t="s">
        <v>2492</v>
      </c>
      <c r="C375" s="3" t="s">
        <v>1497</v>
      </c>
      <c r="D375" s="3" t="s">
        <v>2492</v>
      </c>
      <c r="E375" s="3" t="str">
        <f t="shared" si="5"/>
        <v>UPDATE FORNECEDORES SET FILIAL_A_ENTREGAR = 'CD REGIS', FILIAL_COBRANCA = 'MATRIZ', FILIAL_A_FATURAR = 'CD REGIS' WHERE FORNECEDOR = 'JMS - SONHO VIVO'</v>
      </c>
    </row>
    <row r="376" spans="1:5" x14ac:dyDescent="0.25">
      <c r="A376" s="3" t="s">
        <v>1155</v>
      </c>
      <c r="B376" s="3" t="s">
        <v>2492</v>
      </c>
      <c r="C376" s="3" t="s">
        <v>2492</v>
      </c>
      <c r="D376" s="3" t="s">
        <v>2492</v>
      </c>
      <c r="E376" s="3" t="str">
        <f t="shared" si="5"/>
        <v>UPDATE FORNECEDORES SET FILIAL_A_ENTREGAR = 'CD REGIS', FILIAL_COBRANCA = 'CD REGIS', FILIAL_A_FATURAR = 'CD REGIS' WHERE FORNECEDOR = 'JOEL LIMA COSTA - EPP'</v>
      </c>
    </row>
    <row r="377" spans="1:5" x14ac:dyDescent="0.25">
      <c r="A377" s="3" t="s">
        <v>1160</v>
      </c>
      <c r="B377" s="3" t="s">
        <v>444</v>
      </c>
      <c r="C377" s="3" t="s">
        <v>1497</v>
      </c>
      <c r="D377" s="3" t="s">
        <v>444</v>
      </c>
      <c r="E377" s="3" t="str">
        <f t="shared" si="5"/>
        <v>UPDATE FORNECEDORES SET FILIAL_A_ENTREGAR = 'CD NAVEGANTES', FILIAL_COBRANCA = 'MATRIZ', FILIAL_A_FATURAR = 'CD NAVEGANTES' WHERE FORNECEDOR = 'JOLI TEXTIL'</v>
      </c>
    </row>
    <row r="378" spans="1:5" x14ac:dyDescent="0.25">
      <c r="A378" s="3" t="s">
        <v>1163</v>
      </c>
      <c r="B378" s="3" t="s">
        <v>2494</v>
      </c>
      <c r="C378" s="3" t="s">
        <v>2494</v>
      </c>
      <c r="D378" s="3" t="s">
        <v>2494</v>
      </c>
      <c r="E378" s="3" t="str">
        <f t="shared" si="5"/>
        <v>UPDATE FORNECEDORES SET FILIAL_A_ENTREGAR = 'ANPPLA', FILIAL_COBRANCA = 'ANPPLA', FILIAL_A_FATURAR = 'ANPPLA' WHERE FORNECEDOR = 'JOSE ANTONIO ALBERTO'</v>
      </c>
    </row>
    <row r="379" spans="1:5" x14ac:dyDescent="0.25">
      <c r="A379" s="3" t="s">
        <v>1169</v>
      </c>
      <c r="B379" s="3" t="s">
        <v>2498</v>
      </c>
      <c r="C379" s="3" t="s">
        <v>2498</v>
      </c>
      <c r="D379" s="3" t="s">
        <v>2498</v>
      </c>
      <c r="E379" s="3" t="str">
        <f t="shared" si="5"/>
        <v>UPDATE FORNECEDORES SET FILIAL_A_ENTREGAR = 'SP - PARI', FILIAL_COBRANCA = 'SP - PARI', FILIAL_A_FATURAR = 'SP - PARI' WHERE FORNECEDOR = 'JOY TUBOS'</v>
      </c>
    </row>
    <row r="380" spans="1:5" x14ac:dyDescent="0.25">
      <c r="A380" s="3" t="s">
        <v>1170</v>
      </c>
      <c r="B380" s="3" t="s">
        <v>2492</v>
      </c>
      <c r="C380" s="3" t="s">
        <v>1497</v>
      </c>
      <c r="D380" s="3" t="s">
        <v>2492</v>
      </c>
      <c r="E380" s="3" t="str">
        <f t="shared" si="5"/>
        <v>UPDATE FORNECEDORES SET FILIAL_A_ENTREGAR = 'CD REGIS', FILIAL_COBRANCA = 'MATRIZ', FILIAL_A_FATURAR = 'CD REGIS' WHERE FORNECEDOR = 'JOYFER'</v>
      </c>
    </row>
    <row r="381" spans="1:5" x14ac:dyDescent="0.25">
      <c r="A381" s="3" t="s">
        <v>1175</v>
      </c>
      <c r="B381" s="3" t="s">
        <v>2519</v>
      </c>
      <c r="C381" s="3" t="s">
        <v>2519</v>
      </c>
      <c r="D381" s="3" t="s">
        <v>2519</v>
      </c>
      <c r="E381" s="3" t="str">
        <f t="shared" si="5"/>
        <v>UPDATE FORNECEDORES SET FILIAL_A_ENTREGAR = 'CIDADE TIRADENTES', FILIAL_COBRANCA = 'CIDADE TIRADENTES', FILIAL_A_FATURAR = 'CIDADE TIRADENTES' WHERE FORNECEDOR = 'JSRLO CONSULTORIA'</v>
      </c>
    </row>
    <row r="382" spans="1:5" x14ac:dyDescent="0.25">
      <c r="A382" s="3" t="s">
        <v>1178</v>
      </c>
      <c r="B382" s="3" t="s">
        <v>2492</v>
      </c>
      <c r="C382" s="3" t="s">
        <v>1497</v>
      </c>
      <c r="D382" s="3" t="s">
        <v>2492</v>
      </c>
      <c r="E382" s="3" t="str">
        <f t="shared" si="5"/>
        <v>UPDATE FORNECEDORES SET FILIAL_A_ENTREGAR = 'CD REGIS', FILIAL_COBRANCA = 'MATRIZ', FILIAL_A_FATURAR = 'CD REGIS' WHERE FORNECEDOR = 'JULE IND.(TOQUE DE COR)'</v>
      </c>
    </row>
    <row r="383" spans="1:5" x14ac:dyDescent="0.25">
      <c r="A383" s="3" t="s">
        <v>1186</v>
      </c>
      <c r="B383" s="3" t="s">
        <v>2492</v>
      </c>
      <c r="C383" s="3" t="s">
        <v>2492</v>
      </c>
      <c r="D383" s="3" t="s">
        <v>2492</v>
      </c>
      <c r="E383" s="3" t="str">
        <f t="shared" si="5"/>
        <v>UPDATE FORNECEDORES SET FILIAL_A_ENTREGAR = 'CD REGIS', FILIAL_COBRANCA = 'CD REGIS', FILIAL_A_FATURAR = 'CD REGIS' WHERE FORNECEDOR = 'JWS INST E MONTAGENS'</v>
      </c>
    </row>
    <row r="384" spans="1:5" x14ac:dyDescent="0.25">
      <c r="A384" s="3" t="s">
        <v>1194</v>
      </c>
      <c r="B384" s="3" t="s">
        <v>2540</v>
      </c>
      <c r="C384" s="3" t="s">
        <v>2540</v>
      </c>
      <c r="D384" s="3" t="s">
        <v>2540</v>
      </c>
      <c r="E384" s="3" t="str">
        <f t="shared" si="5"/>
        <v>UPDATE FORNECEDORES SET FILIAL_A_ENTREGAR = 'CIDADE OCIAN', FILIAL_COBRANCA = 'CIDADE OCIAN', FILIAL_A_FATURAR = 'CIDADE OCIAN' WHERE FORNECEDOR = 'KAFV PROJETOS E SERV'</v>
      </c>
    </row>
    <row r="385" spans="1:5" x14ac:dyDescent="0.25">
      <c r="A385" s="3" t="s">
        <v>1195</v>
      </c>
      <c r="B385" s="3" t="s">
        <v>444</v>
      </c>
      <c r="C385" s="3" t="s">
        <v>1497</v>
      </c>
      <c r="D385" s="3" t="s">
        <v>444</v>
      </c>
      <c r="E385" s="3" t="str">
        <f t="shared" si="5"/>
        <v>UPDATE FORNECEDORES SET FILIAL_A_ENTREGAR = 'CD NAVEGANTES', FILIAL_COBRANCA = 'MATRIZ', FILIAL_A_FATURAR = 'CD NAVEGANTES' WHERE FORNECEDOR = 'KAILANI (DOCE ESTILO)'</v>
      </c>
    </row>
    <row r="386" spans="1:5" x14ac:dyDescent="0.25">
      <c r="A386" s="3" t="s">
        <v>1198</v>
      </c>
      <c r="B386" s="3" t="s">
        <v>2527</v>
      </c>
      <c r="C386" s="3" t="s">
        <v>2527</v>
      </c>
      <c r="D386" s="3" t="s">
        <v>2527</v>
      </c>
      <c r="E386" s="3" t="str">
        <f t="shared" si="5"/>
        <v>UPDATE FORNECEDORES SET FILIAL_A_ENTREGAR = 'FRANCO DA ROCHA', FILIAL_COBRANCA = 'FRANCO DA ROCHA', FILIAL_A_FATURAR = 'FRANCO DA ROCHA' WHERE FORNECEDOR = 'KALAPY'</v>
      </c>
    </row>
    <row r="387" spans="1:5" x14ac:dyDescent="0.25">
      <c r="A387" s="3" t="s">
        <v>1203</v>
      </c>
      <c r="B387" s="3" t="s">
        <v>443</v>
      </c>
      <c r="C387" s="3" t="s">
        <v>1497</v>
      </c>
      <c r="D387" s="3" t="s">
        <v>443</v>
      </c>
      <c r="E387" s="3" t="str">
        <f t="shared" si="5"/>
        <v>UPDATE FORNECEDORES SET FILIAL_A_ENTREGAR = 'CD ARAQUARI', FILIAL_COBRANCA = 'MATRIZ', FILIAL_A_FATURAR = 'CD ARAQUARI' WHERE FORNECEDOR = 'KAMYLUS'</v>
      </c>
    </row>
    <row r="388" spans="1:5" x14ac:dyDescent="0.25">
      <c r="A388" s="3" t="s">
        <v>1189</v>
      </c>
      <c r="B388" s="3" t="s">
        <v>2492</v>
      </c>
      <c r="C388" s="3" t="s">
        <v>2497</v>
      </c>
      <c r="D388" s="3" t="s">
        <v>2492</v>
      </c>
      <c r="E388" s="3" t="str">
        <f t="shared" si="5"/>
        <v>UPDATE FORNECEDORES SET FILIAL_A_ENTREGAR = 'CD REGIS', FILIAL_COBRANCA = 'TATUAPE', FILIAL_A_FATURAR = 'CD REGIS' WHERE FORNECEDOR = 'K-DU'</v>
      </c>
    </row>
    <row r="389" spans="1:5" x14ac:dyDescent="0.25">
      <c r="A389" s="3" t="s">
        <v>1222</v>
      </c>
      <c r="B389" s="3" t="s">
        <v>2492</v>
      </c>
      <c r="C389" s="3" t="s">
        <v>1497</v>
      </c>
      <c r="D389" s="3" t="s">
        <v>2492</v>
      </c>
      <c r="E389" s="3" t="str">
        <f t="shared" ref="E389:E452" si="6">"UPDATE FORNECEDORES SET FILIAL_A_ENTREGAR = '"&amp;B389&amp;"', FILIAL_COBRANCA = '"&amp;C389&amp;"', FILIAL_A_FATURAR = '"&amp;D389&amp;"' WHERE FORNECEDOR = '"&amp;A389&amp;"'"</f>
        <v>UPDATE FORNECEDORES SET FILIAL_A_ENTREGAR = 'CD REGIS', FILIAL_COBRANCA = 'MATRIZ', FILIAL_A_FATURAR = 'CD REGIS' WHERE FORNECEDOR = 'KEFEL'</v>
      </c>
    </row>
    <row r="390" spans="1:5" x14ac:dyDescent="0.25">
      <c r="A390" s="3" t="s">
        <v>1223</v>
      </c>
      <c r="B390" s="3" t="s">
        <v>1497</v>
      </c>
      <c r="C390" s="3" t="s">
        <v>1497</v>
      </c>
      <c r="D390" s="3" t="s">
        <v>1497</v>
      </c>
      <c r="E390" s="3" t="str">
        <f t="shared" si="6"/>
        <v>UPDATE FORNECEDORES SET FILIAL_A_ENTREGAR = 'MATRIZ', FILIAL_COBRANCA = 'MATRIZ', FILIAL_A_FATURAR = 'MATRIZ' WHERE FORNECEDOR = 'KELAR DIST. E REPR. LTDA'</v>
      </c>
    </row>
    <row r="391" spans="1:5" x14ac:dyDescent="0.25">
      <c r="A391" s="3" t="s">
        <v>1233</v>
      </c>
      <c r="B391" s="3" t="s">
        <v>2492</v>
      </c>
      <c r="C391" s="3" t="s">
        <v>1497</v>
      </c>
      <c r="D391" s="3" t="s">
        <v>2492</v>
      </c>
      <c r="E391" s="3" t="str">
        <f t="shared" si="6"/>
        <v>UPDATE FORNECEDORES SET FILIAL_A_ENTREGAR = 'CD REGIS', FILIAL_COBRANCA = 'MATRIZ', FILIAL_A_FATURAR = 'CD REGIS' WHERE FORNECEDOR = 'KIKA LINGERIE'</v>
      </c>
    </row>
    <row r="392" spans="1:5" x14ac:dyDescent="0.25">
      <c r="A392" s="3" t="s">
        <v>1234</v>
      </c>
      <c r="B392" s="3" t="s">
        <v>2492</v>
      </c>
      <c r="C392" s="3" t="s">
        <v>1497</v>
      </c>
      <c r="D392" s="3" t="s">
        <v>2492</v>
      </c>
      <c r="E392" s="3" t="str">
        <f t="shared" si="6"/>
        <v>UPDATE FORNECEDORES SET FILIAL_A_ENTREGAR = 'CD REGIS', FILIAL_COBRANCA = 'MATRIZ', FILIAL_A_FATURAR = 'CD REGIS' WHERE FORNECEDOR = 'KIKERS'</v>
      </c>
    </row>
    <row r="393" spans="1:5" x14ac:dyDescent="0.25">
      <c r="A393" s="3" t="s">
        <v>1236</v>
      </c>
      <c r="B393" s="3" t="s">
        <v>443</v>
      </c>
      <c r="C393" s="3" t="s">
        <v>1497</v>
      </c>
      <c r="D393" s="3" t="s">
        <v>443</v>
      </c>
      <c r="E393" s="3" t="str">
        <f t="shared" si="6"/>
        <v>UPDATE FORNECEDORES SET FILIAL_A_ENTREGAR = 'CD ARAQUARI', FILIAL_COBRANCA = 'MATRIZ', FILIAL_A_FATURAR = 'CD ARAQUARI' WHERE FORNECEDOR = 'KIKO'</v>
      </c>
    </row>
    <row r="394" spans="1:5" x14ac:dyDescent="0.25">
      <c r="A394" s="3" t="s">
        <v>1243</v>
      </c>
      <c r="B394" s="3" t="s">
        <v>443</v>
      </c>
      <c r="C394" s="3" t="s">
        <v>1497</v>
      </c>
      <c r="D394" s="3" t="s">
        <v>443</v>
      </c>
      <c r="E394" s="3" t="str">
        <f t="shared" si="6"/>
        <v>UPDATE FORNECEDORES SET FILIAL_A_ENTREGAR = 'CD ARAQUARI', FILIAL_COBRANCA = 'MATRIZ', FILIAL_A_FATURAR = 'CD ARAQUARI' WHERE FORNECEDOR = 'KOHMAR'</v>
      </c>
    </row>
    <row r="395" spans="1:5" x14ac:dyDescent="0.25">
      <c r="A395" s="3" t="s">
        <v>1246</v>
      </c>
      <c r="B395" s="3" t="s">
        <v>443</v>
      </c>
      <c r="C395" s="3" t="s">
        <v>2492</v>
      </c>
      <c r="D395" s="3" t="s">
        <v>443</v>
      </c>
      <c r="E395" s="3" t="str">
        <f t="shared" si="6"/>
        <v>UPDATE FORNECEDORES SET FILIAL_A_ENTREGAR = 'CD ARAQUARI', FILIAL_COBRANCA = 'CD REGIS', FILIAL_A_FATURAR = 'CD ARAQUARI' WHERE FORNECEDOR = 'KOMPORT'</v>
      </c>
    </row>
    <row r="396" spans="1:5" x14ac:dyDescent="0.25">
      <c r="A396" s="3" t="s">
        <v>1253</v>
      </c>
      <c r="B396" s="3" t="s">
        <v>2492</v>
      </c>
      <c r="C396" s="3" t="s">
        <v>1497</v>
      </c>
      <c r="D396" s="3" t="s">
        <v>2492</v>
      </c>
      <c r="E396" s="3" t="str">
        <f t="shared" si="6"/>
        <v>UPDATE FORNECEDORES SET FILIAL_A_ENTREGAR = 'CD REGIS', FILIAL_COBRANCA = 'MATRIZ', FILIAL_A_FATURAR = 'CD REGIS' WHERE FORNECEDOR = 'KZARA CONFECCOES'</v>
      </c>
    </row>
    <row r="397" spans="1:5" x14ac:dyDescent="0.25">
      <c r="A397" s="3" t="s">
        <v>1254</v>
      </c>
      <c r="B397" s="3" t="s">
        <v>2492</v>
      </c>
      <c r="C397" s="3" t="s">
        <v>2492</v>
      </c>
      <c r="D397" s="3" t="s">
        <v>2492</v>
      </c>
      <c r="E397" s="3" t="str">
        <f t="shared" si="6"/>
        <v>UPDATE FORNECEDORES SET FILIAL_A_ENTREGAR = 'CD REGIS', FILIAL_COBRANCA = 'CD REGIS', FILIAL_A_FATURAR = 'CD REGIS' WHERE FORNECEDOR = 'L E C CHRIS'</v>
      </c>
    </row>
    <row r="398" spans="1:5" x14ac:dyDescent="0.25">
      <c r="A398" s="3" t="s">
        <v>1255</v>
      </c>
      <c r="B398" s="3" t="s">
        <v>1497</v>
      </c>
      <c r="C398" s="3" t="s">
        <v>1497</v>
      </c>
      <c r="D398" s="3" t="s">
        <v>1497</v>
      </c>
      <c r="E398" s="3" t="str">
        <f t="shared" si="6"/>
        <v>UPDATE FORNECEDORES SET FILIAL_A_ENTREGAR = 'MATRIZ', FILIAL_COBRANCA = 'MATRIZ', FILIAL_A_FATURAR = 'MATRIZ' WHERE FORNECEDOR = 'L EQUIPE AGENCE'</v>
      </c>
    </row>
    <row r="399" spans="1:5" x14ac:dyDescent="0.25">
      <c r="A399" s="3" t="s">
        <v>1262</v>
      </c>
      <c r="B399" s="3" t="s">
        <v>2492</v>
      </c>
      <c r="C399" s="3" t="s">
        <v>1497</v>
      </c>
      <c r="D399" s="3" t="s">
        <v>2492</v>
      </c>
      <c r="E399" s="3" t="str">
        <f t="shared" si="6"/>
        <v>UPDATE FORNECEDORES SET FILIAL_A_ENTREGAR = 'CD REGIS', FILIAL_COBRANCA = 'MATRIZ', FILIAL_A_FATURAR = 'CD REGIS' WHERE FORNECEDOR = 'LACHER IND. E COM. LTDA'</v>
      </c>
    </row>
    <row r="400" spans="1:5" x14ac:dyDescent="0.25">
      <c r="A400" s="3" t="s">
        <v>1264</v>
      </c>
      <c r="B400" s="3" t="s">
        <v>443</v>
      </c>
      <c r="C400" s="3" t="s">
        <v>443</v>
      </c>
      <c r="D400" s="3" t="s">
        <v>443</v>
      </c>
      <c r="E400" s="3" t="str">
        <f t="shared" si="6"/>
        <v>UPDATE FORNECEDORES SET FILIAL_A_ENTREGAR = 'CD ARAQUARI', FILIAL_COBRANCA = 'CD ARAQUARI', FILIAL_A_FATURAR = 'CD ARAQUARI' WHERE FORNECEDOR = 'LAIBEL CONFECOES EIRELI'</v>
      </c>
    </row>
    <row r="401" spans="1:5" x14ac:dyDescent="0.25">
      <c r="A401" s="3" t="s">
        <v>1268</v>
      </c>
      <c r="B401" s="3" t="s">
        <v>2492</v>
      </c>
      <c r="C401" s="3" t="s">
        <v>1497</v>
      </c>
      <c r="D401" s="3" t="s">
        <v>2492</v>
      </c>
      <c r="E401" s="3" t="str">
        <f t="shared" si="6"/>
        <v>UPDATE FORNECEDORES SET FILIAL_A_ENTREGAR = 'CD REGIS', FILIAL_COBRANCA = 'MATRIZ', FILIAL_A_FATURAR = 'CD REGIS' WHERE FORNECEDOR = 'LAMOUR'</v>
      </c>
    </row>
    <row r="402" spans="1:5" x14ac:dyDescent="0.25">
      <c r="A402" s="3" t="s">
        <v>1269</v>
      </c>
      <c r="B402" s="3" t="s">
        <v>2492</v>
      </c>
      <c r="C402" s="3" t="s">
        <v>2497</v>
      </c>
      <c r="D402" s="3" t="s">
        <v>2492</v>
      </c>
      <c r="E402" s="3" t="str">
        <f t="shared" si="6"/>
        <v>UPDATE FORNECEDORES SET FILIAL_A_ENTREGAR = 'CD REGIS', FILIAL_COBRANCA = 'TATUAPE', FILIAL_A_FATURAR = 'CD REGIS' WHERE FORNECEDOR = 'LANCHER'</v>
      </c>
    </row>
    <row r="403" spans="1:5" x14ac:dyDescent="0.25">
      <c r="A403" s="3" t="s">
        <v>1271</v>
      </c>
      <c r="B403" s="3" t="s">
        <v>2492</v>
      </c>
      <c r="C403" s="3" t="s">
        <v>1497</v>
      </c>
      <c r="D403" s="3" t="s">
        <v>2492</v>
      </c>
      <c r="E403" s="3" t="str">
        <f t="shared" si="6"/>
        <v>UPDATE FORNECEDORES SET FILIAL_A_ENTREGAR = 'CD REGIS', FILIAL_COBRANCA = 'MATRIZ', FILIAL_A_FATURAR = 'CD REGIS' WHERE FORNECEDOR = 'LANGERRIL'</v>
      </c>
    </row>
    <row r="404" spans="1:5" x14ac:dyDescent="0.25">
      <c r="A404" s="3" t="s">
        <v>1281</v>
      </c>
      <c r="B404" s="3" t="s">
        <v>2492</v>
      </c>
      <c r="C404" s="3" t="s">
        <v>1497</v>
      </c>
      <c r="D404" s="3" t="s">
        <v>2492</v>
      </c>
      <c r="E404" s="3" t="str">
        <f t="shared" si="6"/>
        <v>UPDATE FORNECEDORES SET FILIAL_A_ENTREGAR = 'CD REGIS', FILIAL_COBRANCA = 'MATRIZ', FILIAL_A_FATURAR = 'CD REGIS' WHERE FORNECEDOR = 'LAURYNE'</v>
      </c>
    </row>
    <row r="405" spans="1:5" x14ac:dyDescent="0.25">
      <c r="A405" s="3" t="s">
        <v>1295</v>
      </c>
      <c r="B405" s="3" t="s">
        <v>2498</v>
      </c>
      <c r="C405" s="3" t="s">
        <v>2498</v>
      </c>
      <c r="D405" s="3" t="s">
        <v>2498</v>
      </c>
      <c r="E405" s="3" t="str">
        <f t="shared" si="6"/>
        <v>UPDATE FORNECEDORES SET FILIAL_A_ENTREGAR = 'SP - PARI', FILIAL_COBRANCA = 'SP - PARI', FILIAL_A_FATURAR = 'SP - PARI' WHERE FORNECEDOR = 'LEGAL SISTEMAS DE INFORM'</v>
      </c>
    </row>
    <row r="406" spans="1:5" x14ac:dyDescent="0.25">
      <c r="A406" s="3" t="s">
        <v>1296</v>
      </c>
      <c r="B406" s="3" t="s">
        <v>2492</v>
      </c>
      <c r="C406" s="3" t="s">
        <v>1497</v>
      </c>
      <c r="D406" s="3" t="s">
        <v>2492</v>
      </c>
      <c r="E406" s="3" t="str">
        <f t="shared" si="6"/>
        <v>UPDATE FORNECEDORES SET FILIAL_A_ENTREGAR = 'CD REGIS', FILIAL_COBRANCA = 'MATRIZ', FILIAL_A_FATURAR = 'CD REGIS' WHERE FORNECEDOR = 'LELO MALHAS'</v>
      </c>
    </row>
    <row r="407" spans="1:5" x14ac:dyDescent="0.25">
      <c r="A407" s="3" t="s">
        <v>1302</v>
      </c>
      <c r="B407" s="3" t="s">
        <v>2492</v>
      </c>
      <c r="C407" s="3" t="s">
        <v>2492</v>
      </c>
      <c r="D407" s="3" t="s">
        <v>2492</v>
      </c>
      <c r="E407" s="3" t="str">
        <f t="shared" si="6"/>
        <v>UPDATE FORNECEDORES SET FILIAL_A_ENTREGAR = 'CD REGIS', FILIAL_COBRANCA = 'CD REGIS', FILIAL_A_FATURAR = 'CD REGIS' WHERE FORNECEDOR = 'LEPOK'</v>
      </c>
    </row>
    <row r="408" spans="1:5" x14ac:dyDescent="0.25">
      <c r="A408" s="3" t="s">
        <v>1303</v>
      </c>
      <c r="B408" s="3" t="s">
        <v>2492</v>
      </c>
      <c r="C408" s="3" t="s">
        <v>2492</v>
      </c>
      <c r="D408" s="3" t="s">
        <v>2492</v>
      </c>
      <c r="E408" s="3" t="str">
        <f t="shared" si="6"/>
        <v>UPDATE FORNECEDORES SET FILIAL_A_ENTREGAR = 'CD REGIS', FILIAL_COBRANCA = 'CD REGIS', FILIAL_A_FATURAR = 'CD REGIS' WHERE FORNECEDOR = 'LEPOK - CDL'</v>
      </c>
    </row>
    <row r="409" spans="1:5" x14ac:dyDescent="0.25">
      <c r="A409" s="3" t="s">
        <v>1306</v>
      </c>
      <c r="B409" s="3" t="s">
        <v>2492</v>
      </c>
      <c r="C409" s="3" t="s">
        <v>2497</v>
      </c>
      <c r="D409" s="3" t="s">
        <v>2492</v>
      </c>
      <c r="E409" s="3" t="str">
        <f t="shared" si="6"/>
        <v>UPDATE FORNECEDORES SET FILIAL_A_ENTREGAR = 'CD REGIS', FILIAL_COBRANCA = 'TATUAPE', FILIAL_A_FATURAR = 'CD REGIS' WHERE FORNECEDOR = 'LESSENTIEL'</v>
      </c>
    </row>
    <row r="410" spans="1:5" x14ac:dyDescent="0.25">
      <c r="A410" s="3" t="s">
        <v>1311</v>
      </c>
      <c r="B410" s="3" t="s">
        <v>2492</v>
      </c>
      <c r="C410" s="3" t="s">
        <v>2497</v>
      </c>
      <c r="D410" s="3" t="s">
        <v>2492</v>
      </c>
      <c r="E410" s="3" t="str">
        <f t="shared" si="6"/>
        <v>UPDATE FORNECEDORES SET FILIAL_A_ENTREGAR = 'CD REGIS', FILIAL_COBRANCA = 'TATUAPE', FILIAL_A_FATURAR = 'CD REGIS' WHERE FORNECEDOR = 'LEXMAR INDUSTRIA'</v>
      </c>
    </row>
    <row r="411" spans="1:5" x14ac:dyDescent="0.25">
      <c r="A411" s="3" t="s">
        <v>1312</v>
      </c>
      <c r="B411" s="3" t="s">
        <v>2492</v>
      </c>
      <c r="C411" s="3" t="s">
        <v>1497</v>
      </c>
      <c r="D411" s="3" t="s">
        <v>2492</v>
      </c>
      <c r="E411" s="3" t="str">
        <f t="shared" si="6"/>
        <v>UPDATE FORNECEDORES SET FILIAL_A_ENTREGAR = 'CD REGIS', FILIAL_COBRANCA = 'MATRIZ', FILIAL_A_FATURAR = 'CD REGIS' WHERE FORNECEDOR = 'LEXMAR INDUSTRIA 2'</v>
      </c>
    </row>
    <row r="412" spans="1:5" x14ac:dyDescent="0.25">
      <c r="A412" s="3" t="s">
        <v>1313</v>
      </c>
      <c r="B412" s="3" t="s">
        <v>2498</v>
      </c>
      <c r="C412" s="3" t="s">
        <v>2498</v>
      </c>
      <c r="D412" s="3" t="s">
        <v>2498</v>
      </c>
      <c r="E412" s="3" t="str">
        <f t="shared" si="6"/>
        <v>UPDATE FORNECEDORES SET FILIAL_A_ENTREGAR = 'SP - PARI', FILIAL_COBRANCA = 'SP - PARI', FILIAL_A_FATURAR = 'SP - PARI' WHERE FORNECEDOR = 'LEXMARK'</v>
      </c>
    </row>
    <row r="413" spans="1:5" x14ac:dyDescent="0.25">
      <c r="A413" s="3" t="s">
        <v>1315</v>
      </c>
      <c r="B413" s="3" t="s">
        <v>1497</v>
      </c>
      <c r="C413" s="3" t="s">
        <v>1497</v>
      </c>
      <c r="D413" s="3" t="s">
        <v>1497</v>
      </c>
      <c r="E413" s="3" t="str">
        <f t="shared" si="6"/>
        <v>UPDATE FORNECEDORES SET FILIAL_A_ENTREGAR = 'MATRIZ', FILIAL_COBRANCA = 'MATRIZ', FILIAL_A_FATURAR = 'MATRIZ' WHERE FORNECEDOR = 'LHD ELETRONICOS'</v>
      </c>
    </row>
    <row r="414" spans="1:5" x14ac:dyDescent="0.25">
      <c r="A414" s="3" t="s">
        <v>1329</v>
      </c>
      <c r="B414" s="3" t="s">
        <v>1497</v>
      </c>
      <c r="C414" s="3" t="s">
        <v>1497</v>
      </c>
      <c r="D414" s="3" t="s">
        <v>1497</v>
      </c>
      <c r="E414" s="3" t="str">
        <f t="shared" si="6"/>
        <v>UPDATE FORNECEDORES SET FILIAL_A_ENTREGAR = 'MATRIZ', FILIAL_COBRANCA = 'MATRIZ', FILIAL_A_FATURAR = 'MATRIZ' WHERE FORNECEDOR = 'LINX SISTEMAS'</v>
      </c>
    </row>
    <row r="415" spans="1:5" x14ac:dyDescent="0.25">
      <c r="A415" s="3" t="s">
        <v>1333</v>
      </c>
      <c r="B415" s="3" t="s">
        <v>2493</v>
      </c>
      <c r="C415" s="3" t="s">
        <v>2493</v>
      </c>
      <c r="D415" s="3" t="s">
        <v>2493</v>
      </c>
      <c r="E415" s="3" t="str">
        <f t="shared" si="6"/>
        <v>UPDATE FORNECEDORES SET FILIAL_A_ENTREGAR = 'AVANTI- ADM C.CREDITO', FILIAL_COBRANCA = 'AVANTI- ADM C.CREDITO', FILIAL_A_FATURAR = 'AVANTI- ADM C.CREDITO' WHERE FORNECEDOR = 'LIVCORP'</v>
      </c>
    </row>
    <row r="416" spans="1:5" x14ac:dyDescent="0.25">
      <c r="A416" s="3" t="s">
        <v>1338</v>
      </c>
      <c r="B416" s="3" t="s">
        <v>2492</v>
      </c>
      <c r="C416" s="3" t="s">
        <v>2497</v>
      </c>
      <c r="D416" s="3" t="s">
        <v>2492</v>
      </c>
      <c r="E416" s="3" t="str">
        <f t="shared" si="6"/>
        <v>UPDATE FORNECEDORES SET FILIAL_A_ENTREGAR = 'CD REGIS', FILIAL_COBRANCA = 'TATUAPE', FILIAL_A_FATURAR = 'CD REGIS' WHERE FORNECEDOR = 'LOCAL SURF'</v>
      </c>
    </row>
    <row r="417" spans="1:5" x14ac:dyDescent="0.25">
      <c r="A417" s="3" t="s">
        <v>1340</v>
      </c>
      <c r="B417" s="3" t="s">
        <v>2540</v>
      </c>
      <c r="C417" s="3" t="s">
        <v>2540</v>
      </c>
      <c r="D417" s="3" t="s">
        <v>2540</v>
      </c>
      <c r="E417" s="3" t="str">
        <f t="shared" si="6"/>
        <v>UPDATE FORNECEDORES SET FILIAL_A_ENTREGAR = 'CIDADE OCIAN', FILIAL_COBRANCA = 'CIDADE OCIAN', FILIAL_A_FATURAR = 'CIDADE OCIAN' WHERE FORNECEDOR = 'LOCANDAIMES COMERCIO'</v>
      </c>
    </row>
    <row r="418" spans="1:5" x14ac:dyDescent="0.25">
      <c r="A418" s="3" t="s">
        <v>1342</v>
      </c>
      <c r="B418" s="3" t="s">
        <v>2498</v>
      </c>
      <c r="C418" s="3" t="s">
        <v>2498</v>
      </c>
      <c r="D418" s="3" t="s">
        <v>2498</v>
      </c>
      <c r="E418" s="3" t="str">
        <f t="shared" si="6"/>
        <v>UPDATE FORNECEDORES SET FILIAL_A_ENTREGAR = 'SP - PARI', FILIAL_COBRANCA = 'SP - PARI', FILIAL_A_FATURAR = 'SP - PARI' WHERE FORNECEDOR = 'LOG &amp; PRINT'</v>
      </c>
    </row>
    <row r="419" spans="1:5" x14ac:dyDescent="0.25">
      <c r="A419" s="3" t="s">
        <v>1343</v>
      </c>
      <c r="B419" s="3" t="s">
        <v>2493</v>
      </c>
      <c r="C419" s="3" t="s">
        <v>2493</v>
      </c>
      <c r="D419" s="3" t="s">
        <v>2493</v>
      </c>
      <c r="E419" s="3" t="str">
        <f t="shared" si="6"/>
        <v>UPDATE FORNECEDORES SET FILIAL_A_ENTREGAR = 'AVANTI- ADM C.CREDITO', FILIAL_COBRANCA = 'AVANTI- ADM C.CREDITO', FILIAL_A_FATURAR = 'AVANTI- ADM C.CREDITO' WHERE FORNECEDOR = 'LOG &amp; PRINT DADOS'</v>
      </c>
    </row>
    <row r="420" spans="1:5" x14ac:dyDescent="0.25">
      <c r="A420" s="3" t="s">
        <v>1351</v>
      </c>
      <c r="B420" s="3" t="s">
        <v>2492</v>
      </c>
      <c r="C420" s="3" t="s">
        <v>2497</v>
      </c>
      <c r="D420" s="3" t="s">
        <v>2492</v>
      </c>
      <c r="E420" s="3" t="str">
        <f t="shared" si="6"/>
        <v>UPDATE FORNECEDORES SET FILIAL_A_ENTREGAR = 'CD REGIS', FILIAL_COBRANCA = 'TATUAPE', FILIAL_A_FATURAR = 'CD REGIS' WHERE FORNECEDOR = 'LOLYPOP 2'</v>
      </c>
    </row>
    <row r="421" spans="1:5" x14ac:dyDescent="0.25">
      <c r="A421" s="3" t="s">
        <v>1353</v>
      </c>
      <c r="B421" s="3" t="s">
        <v>2492</v>
      </c>
      <c r="C421" s="3" t="s">
        <v>1497</v>
      </c>
      <c r="D421" s="3" t="s">
        <v>2492</v>
      </c>
      <c r="E421" s="3" t="str">
        <f t="shared" si="6"/>
        <v>UPDATE FORNECEDORES SET FILIAL_A_ENTREGAR = 'CD REGIS', FILIAL_COBRANCA = 'MATRIZ', FILIAL_A_FATURAR = 'CD REGIS' WHERE FORNECEDOR = 'LONG WALK'</v>
      </c>
    </row>
    <row r="422" spans="1:5" x14ac:dyDescent="0.25">
      <c r="A422" s="3" t="s">
        <v>1354</v>
      </c>
      <c r="B422" s="3" t="s">
        <v>2492</v>
      </c>
      <c r="C422" s="3" t="s">
        <v>1497</v>
      </c>
      <c r="D422" s="3" t="s">
        <v>2492</v>
      </c>
      <c r="E422" s="3" t="str">
        <f t="shared" si="6"/>
        <v>UPDATE FORNECEDORES SET FILIAL_A_ENTREGAR = 'CD REGIS', FILIAL_COBRANCA = 'MATRIZ', FILIAL_A_FATURAR = 'CD REGIS' WHERE FORNECEDOR = 'LOOK COMERCIAL TEXTIL'</v>
      </c>
    </row>
    <row r="423" spans="1:5" x14ac:dyDescent="0.25">
      <c r="A423" s="3" t="s">
        <v>1358</v>
      </c>
      <c r="B423" s="3" t="s">
        <v>1497</v>
      </c>
      <c r="C423" s="3" t="s">
        <v>1497</v>
      </c>
      <c r="D423" s="3" t="s">
        <v>1497</v>
      </c>
      <c r="E423" s="3" t="str">
        <f t="shared" si="6"/>
        <v>UPDATE FORNECEDORES SET FILIAL_A_ENTREGAR = 'MATRIZ', FILIAL_COBRANCA = 'MATRIZ', FILIAL_A_FATURAR = 'MATRIZ' WHERE FORNECEDOR = 'LOPOK'</v>
      </c>
    </row>
    <row r="424" spans="1:5" x14ac:dyDescent="0.25">
      <c r="A424" s="3" t="s">
        <v>1361</v>
      </c>
      <c r="B424" s="3" t="s">
        <v>2498</v>
      </c>
      <c r="C424" s="3" t="s">
        <v>2498</v>
      </c>
      <c r="D424" s="3" t="s">
        <v>2498</v>
      </c>
      <c r="E424" s="3" t="str">
        <f t="shared" si="6"/>
        <v>UPDATE FORNECEDORES SET FILIAL_A_ENTREGAR = 'SP - PARI', FILIAL_COBRANCA = 'SP - PARI', FILIAL_A_FATURAR = 'SP - PARI' WHERE FORNECEDOR = 'LOTUS GRAFICA'</v>
      </c>
    </row>
    <row r="425" spans="1:5" x14ac:dyDescent="0.25">
      <c r="A425" s="3" t="s">
        <v>1363</v>
      </c>
      <c r="B425" s="3" t="s">
        <v>2492</v>
      </c>
      <c r="C425" s="3" t="s">
        <v>2497</v>
      </c>
      <c r="D425" s="3" t="s">
        <v>2492</v>
      </c>
      <c r="E425" s="3" t="str">
        <f t="shared" si="6"/>
        <v>UPDATE FORNECEDORES SET FILIAL_A_ENTREGAR = 'CD REGIS', FILIAL_COBRANCA = 'TATUAPE', FILIAL_A_FATURAR = 'CD REGIS' WHERE FORNECEDOR = 'LOVE FASHION'</v>
      </c>
    </row>
    <row r="426" spans="1:5" x14ac:dyDescent="0.25">
      <c r="A426" s="3" t="s">
        <v>1366</v>
      </c>
      <c r="B426" s="3" t="s">
        <v>2492</v>
      </c>
      <c r="C426" s="3" t="s">
        <v>1497</v>
      </c>
      <c r="D426" s="3" t="s">
        <v>2492</v>
      </c>
      <c r="E426" s="3" t="str">
        <f t="shared" si="6"/>
        <v>UPDATE FORNECEDORES SET FILIAL_A_ENTREGAR = 'CD REGIS', FILIAL_COBRANCA = 'MATRIZ', FILIAL_A_FATURAR = 'CD REGIS' WHERE FORNECEDOR = 'LUA LUA (INFA BORD)'</v>
      </c>
    </row>
    <row r="427" spans="1:5" x14ac:dyDescent="0.25">
      <c r="A427" s="3" t="s">
        <v>1375</v>
      </c>
      <c r="B427" s="3" t="s">
        <v>1497</v>
      </c>
      <c r="C427" s="3" t="s">
        <v>1497</v>
      </c>
      <c r="D427" s="3" t="s">
        <v>1497</v>
      </c>
      <c r="E427" s="3" t="str">
        <f t="shared" si="6"/>
        <v>UPDATE FORNECEDORES SET FILIAL_A_ENTREGAR = 'MATRIZ', FILIAL_COBRANCA = 'MATRIZ', FILIAL_A_FATURAR = 'MATRIZ' WHERE FORNECEDOR = 'LUIZ CARLOS CUNHA'</v>
      </c>
    </row>
    <row r="428" spans="1:5" x14ac:dyDescent="0.25">
      <c r="A428" s="3" t="s">
        <v>1378</v>
      </c>
      <c r="B428" s="3" t="s">
        <v>444</v>
      </c>
      <c r="C428" s="3" t="s">
        <v>1497</v>
      </c>
      <c r="D428" s="3" t="s">
        <v>444</v>
      </c>
      <c r="E428" s="3" t="str">
        <f t="shared" si="6"/>
        <v>UPDATE FORNECEDORES SET FILIAL_A_ENTREGAR = 'CD NAVEGANTES', FILIAL_COBRANCA = 'MATRIZ', FILIAL_A_FATURAR = 'CD NAVEGANTES' WHERE FORNECEDOR = 'LUKY &amp; BUKY'</v>
      </c>
    </row>
    <row r="429" spans="1:5" x14ac:dyDescent="0.25">
      <c r="A429" s="3" t="s">
        <v>1379</v>
      </c>
      <c r="B429" s="3" t="s">
        <v>444</v>
      </c>
      <c r="C429" s="3" t="s">
        <v>1497</v>
      </c>
      <c r="D429" s="3" t="s">
        <v>444</v>
      </c>
      <c r="E429" s="3" t="str">
        <f t="shared" si="6"/>
        <v>UPDATE FORNECEDORES SET FILIAL_A_ENTREGAR = 'CD NAVEGANTES', FILIAL_COBRANCA = 'MATRIZ', FILIAL_A_FATURAR = 'CD NAVEGANTES' WHERE FORNECEDOR = 'LULI'</v>
      </c>
    </row>
    <row r="430" spans="1:5" x14ac:dyDescent="0.25">
      <c r="A430" s="3" t="s">
        <v>1385</v>
      </c>
      <c r="B430" s="3" t="s">
        <v>2492</v>
      </c>
      <c r="C430" s="3" t="s">
        <v>1497</v>
      </c>
      <c r="D430" s="3" t="s">
        <v>2492</v>
      </c>
      <c r="E430" s="3" t="str">
        <f t="shared" si="6"/>
        <v>UPDATE FORNECEDORES SET FILIAL_A_ENTREGAR = 'CD REGIS', FILIAL_COBRANCA = 'MATRIZ', FILIAL_A_FATURAR = 'CD REGIS' WHERE FORNECEDOR = 'LUPO'</v>
      </c>
    </row>
    <row r="431" spans="1:5" x14ac:dyDescent="0.25">
      <c r="A431" s="3" t="s">
        <v>1387</v>
      </c>
      <c r="B431" s="3" t="s">
        <v>2492</v>
      </c>
      <c r="C431" s="3" t="s">
        <v>1497</v>
      </c>
      <c r="D431" s="3" t="s">
        <v>2492</v>
      </c>
      <c r="E431" s="3" t="str">
        <f t="shared" si="6"/>
        <v>UPDATE FORNECEDORES SET FILIAL_A_ENTREGAR = 'CD REGIS', FILIAL_COBRANCA = 'MATRIZ', FILIAL_A_FATURAR = 'CD REGIS' WHERE FORNECEDOR = 'LUXCEL'</v>
      </c>
    </row>
    <row r="432" spans="1:5" x14ac:dyDescent="0.25">
      <c r="A432" s="3" t="s">
        <v>1388</v>
      </c>
      <c r="B432" s="3" t="s">
        <v>2514</v>
      </c>
      <c r="C432" s="3" t="s">
        <v>2514</v>
      </c>
      <c r="D432" s="3" t="s">
        <v>2514</v>
      </c>
      <c r="E432" s="3" t="str">
        <f t="shared" si="6"/>
        <v>UPDATE FORNECEDORES SET FILIAL_A_ENTREGAR = 'PIRASSUNUNGA', FILIAL_COBRANCA = 'PIRASSUNUNGA', FILIAL_A_FATURAR = 'PIRASSUNUNGA' WHERE FORNECEDOR = 'LUZ AQUI'</v>
      </c>
    </row>
    <row r="433" spans="1:5" x14ac:dyDescent="0.25">
      <c r="A433" s="3" t="s">
        <v>1389</v>
      </c>
      <c r="B433" s="3" t="s">
        <v>443</v>
      </c>
      <c r="C433" s="3" t="s">
        <v>1497</v>
      </c>
      <c r="D433" s="3" t="s">
        <v>443</v>
      </c>
      <c r="E433" s="3" t="str">
        <f t="shared" si="6"/>
        <v>UPDATE FORNECEDORES SET FILIAL_A_ENTREGAR = 'CD ARAQUARI', FILIAL_COBRANCA = 'MATRIZ', FILIAL_A_FATURAR = 'CD ARAQUARI' WHERE FORNECEDOR = 'LX TEXTIL'</v>
      </c>
    </row>
    <row r="434" spans="1:5" x14ac:dyDescent="0.25">
      <c r="A434" s="3" t="s">
        <v>1392</v>
      </c>
      <c r="B434" s="3" t="s">
        <v>2493</v>
      </c>
      <c r="C434" s="3" t="s">
        <v>2493</v>
      </c>
      <c r="D434" s="3" t="s">
        <v>2493</v>
      </c>
      <c r="E434" s="3" t="str">
        <f t="shared" si="6"/>
        <v>UPDATE FORNECEDORES SET FILIAL_A_ENTREGAR = 'AVANTI- ADM C.CREDITO', FILIAL_COBRANCA = 'AVANTI- ADM C.CREDITO', FILIAL_A_FATURAR = 'AVANTI- ADM C.CREDITO' WHERE FORNECEDOR = 'LYRA NETWORK TELECOM'</v>
      </c>
    </row>
    <row r="435" spans="1:5" x14ac:dyDescent="0.25">
      <c r="A435" s="3" t="s">
        <v>1393</v>
      </c>
      <c r="B435" s="3" t="s">
        <v>2492</v>
      </c>
      <c r="C435" s="3" t="s">
        <v>1497</v>
      </c>
      <c r="D435" s="3" t="s">
        <v>2492</v>
      </c>
      <c r="E435" s="3" t="str">
        <f t="shared" si="6"/>
        <v>UPDATE FORNECEDORES SET FILIAL_A_ENTREGAR = 'CD REGIS', FILIAL_COBRANCA = 'MATRIZ', FILIAL_A_FATURAR = 'CD REGIS' WHERE FORNECEDOR = 'M CAFF CONFECÇÕES'</v>
      </c>
    </row>
    <row r="436" spans="1:5" x14ac:dyDescent="0.25">
      <c r="A436" s="3" t="s">
        <v>1395</v>
      </c>
      <c r="B436" s="3" t="s">
        <v>2513</v>
      </c>
      <c r="C436" s="3" t="s">
        <v>2513</v>
      </c>
      <c r="D436" s="3" t="s">
        <v>2513</v>
      </c>
      <c r="E436" s="3" t="str">
        <f t="shared" si="6"/>
        <v>UPDATE FORNECEDORES SET FILIAL_A_ENTREGAR = 'MOGI GUACU', FILIAL_COBRANCA = 'MOGI GUACU', FILIAL_A_FATURAR = 'MOGI GUACU' WHERE FORNECEDOR = 'M J CLIMATIZACAO'</v>
      </c>
    </row>
    <row r="437" spans="1:5" x14ac:dyDescent="0.25">
      <c r="A437" s="3" t="s">
        <v>1400</v>
      </c>
      <c r="B437" s="3" t="s">
        <v>2492</v>
      </c>
      <c r="C437" s="3" t="s">
        <v>1497</v>
      </c>
      <c r="D437" s="3" t="s">
        <v>2492</v>
      </c>
      <c r="E437" s="3" t="str">
        <f t="shared" si="6"/>
        <v>UPDATE FORNECEDORES SET FILIAL_A_ENTREGAR = 'CD REGIS', FILIAL_COBRANCA = 'MATRIZ', FILIAL_A_FATURAR = 'CD REGIS' WHERE FORNECEDOR = 'M.G.S.'</v>
      </c>
    </row>
    <row r="438" spans="1:5" x14ac:dyDescent="0.25">
      <c r="A438" s="3" t="s">
        <v>1403</v>
      </c>
      <c r="B438" s="3" t="s">
        <v>2498</v>
      </c>
      <c r="C438" s="3" t="s">
        <v>2498</v>
      </c>
      <c r="D438" s="3" t="s">
        <v>2498</v>
      </c>
      <c r="E438" s="3" t="str">
        <f t="shared" si="6"/>
        <v>UPDATE FORNECEDORES SET FILIAL_A_ENTREGAR = 'SP - PARI', FILIAL_COBRANCA = 'SP - PARI', FILIAL_A_FATURAR = 'SP - PARI' WHERE FORNECEDOR = 'M.V.L PROJETOS'</v>
      </c>
    </row>
    <row r="439" spans="1:5" x14ac:dyDescent="0.25">
      <c r="A439" s="3" t="s">
        <v>1405</v>
      </c>
      <c r="B439" s="3" t="s">
        <v>2492</v>
      </c>
      <c r="C439" s="3" t="s">
        <v>1497</v>
      </c>
      <c r="D439" s="3" t="s">
        <v>2492</v>
      </c>
      <c r="E439" s="3" t="str">
        <f t="shared" si="6"/>
        <v>UPDATE FORNECEDORES SET FILIAL_A_ENTREGAR = 'CD REGIS', FILIAL_COBRANCA = 'MATRIZ', FILIAL_A_FATURAR = 'CD REGIS' WHERE FORNECEDOR = 'MAAD'</v>
      </c>
    </row>
    <row r="440" spans="1:5" x14ac:dyDescent="0.25">
      <c r="A440" s="3" t="s">
        <v>1410</v>
      </c>
      <c r="B440" s="3" t="s">
        <v>2493</v>
      </c>
      <c r="C440" s="3" t="s">
        <v>2493</v>
      </c>
      <c r="D440" s="3" t="s">
        <v>2493</v>
      </c>
      <c r="E440" s="3" t="str">
        <f t="shared" si="6"/>
        <v>UPDATE FORNECEDORES SET FILIAL_A_ENTREGAR = 'AVANTI- ADM C.CREDITO', FILIAL_COBRANCA = 'AVANTI- ADM C.CREDITO', FILIAL_A_FATURAR = 'AVANTI- ADM C.CREDITO' WHERE FORNECEDOR = 'MADI DESCARTAVEIS'</v>
      </c>
    </row>
    <row r="441" spans="1:5" x14ac:dyDescent="0.25">
      <c r="A441" s="3" t="s">
        <v>1413</v>
      </c>
      <c r="B441" s="3" t="s">
        <v>2492</v>
      </c>
      <c r="C441" s="3" t="s">
        <v>1497</v>
      </c>
      <c r="D441" s="3" t="s">
        <v>2492</v>
      </c>
      <c r="E441" s="3" t="str">
        <f t="shared" si="6"/>
        <v>UPDATE FORNECEDORES SET FILIAL_A_ENTREGAR = 'CD REGIS', FILIAL_COBRANCA = 'MATRIZ', FILIAL_A_FATURAR = 'CD REGIS' WHERE FORNECEDOR = 'MAG CONFECCOES'</v>
      </c>
    </row>
    <row r="442" spans="1:5" x14ac:dyDescent="0.25">
      <c r="A442" s="3" t="s">
        <v>1415</v>
      </c>
      <c r="B442" s="3" t="s">
        <v>2492</v>
      </c>
      <c r="C442" s="3" t="s">
        <v>2492</v>
      </c>
      <c r="D442" s="3" t="s">
        <v>2492</v>
      </c>
      <c r="E442" s="3" t="str">
        <f t="shared" si="6"/>
        <v>UPDATE FORNECEDORES SET FILIAL_A_ENTREGAR = 'CD REGIS', FILIAL_COBRANCA = 'CD REGIS', FILIAL_A_FATURAR = 'CD REGIS' WHERE FORNECEDOR = 'MAGAZINE LUIZA LOUVEIRA'</v>
      </c>
    </row>
    <row r="443" spans="1:5" x14ac:dyDescent="0.25">
      <c r="A443" s="3" t="s">
        <v>1423</v>
      </c>
      <c r="B443" s="3" t="s">
        <v>2492</v>
      </c>
      <c r="C443" s="3" t="s">
        <v>1497</v>
      </c>
      <c r="D443" s="3" t="s">
        <v>2492</v>
      </c>
      <c r="E443" s="3" t="str">
        <f t="shared" si="6"/>
        <v>UPDATE FORNECEDORES SET FILIAL_A_ENTREGAR = 'CD REGIS', FILIAL_COBRANCA = 'MATRIZ', FILIAL_A_FATURAR = 'CD REGIS' WHERE FORNECEDOR = 'MAIA &amp; MAIA'</v>
      </c>
    </row>
    <row r="444" spans="1:5" x14ac:dyDescent="0.25">
      <c r="A444" s="3" t="s">
        <v>1424</v>
      </c>
      <c r="B444" s="3" t="s">
        <v>2492</v>
      </c>
      <c r="C444" s="3" t="s">
        <v>1497</v>
      </c>
      <c r="D444" s="3" t="s">
        <v>2492</v>
      </c>
      <c r="E444" s="3" t="str">
        <f t="shared" si="6"/>
        <v>UPDATE FORNECEDORES SET FILIAL_A_ENTREGAR = 'CD REGIS', FILIAL_COBRANCA = 'MATRIZ', FILIAL_A_FATURAR = 'CD REGIS' WHERE FORNECEDOR = 'MAK LEN'</v>
      </c>
    </row>
    <row r="445" spans="1:5" x14ac:dyDescent="0.25">
      <c r="A445" s="3" t="s">
        <v>1429</v>
      </c>
      <c r="B445" s="3" t="s">
        <v>2492</v>
      </c>
      <c r="C445" s="3" t="s">
        <v>2497</v>
      </c>
      <c r="D445" s="3" t="s">
        <v>2492</v>
      </c>
      <c r="E445" s="3" t="str">
        <f t="shared" si="6"/>
        <v>UPDATE FORNECEDORES SET FILIAL_A_ENTREGAR = 'CD REGIS', FILIAL_COBRANCA = 'TATUAPE', FILIAL_A_FATURAR = 'CD REGIS' WHERE FORNECEDOR = 'MALHARIA MAGNIN LTDA - ME'</v>
      </c>
    </row>
    <row r="446" spans="1:5" x14ac:dyDescent="0.25">
      <c r="A446" s="3" t="s">
        <v>1430</v>
      </c>
      <c r="B446" s="3" t="s">
        <v>2492</v>
      </c>
      <c r="C446" s="3" t="s">
        <v>1497</v>
      </c>
      <c r="D446" s="3" t="s">
        <v>2492</v>
      </c>
      <c r="E446" s="3" t="str">
        <f t="shared" si="6"/>
        <v>UPDATE FORNECEDORES SET FILIAL_A_ENTREGAR = 'CD REGIS', FILIAL_COBRANCA = 'MATRIZ', FILIAL_A_FATURAR = 'CD REGIS' WHERE FORNECEDOR = 'MALHARIA PIO XII'</v>
      </c>
    </row>
    <row r="447" spans="1:5" x14ac:dyDescent="0.25">
      <c r="A447" s="3" t="s">
        <v>1431</v>
      </c>
      <c r="B447" s="3" t="s">
        <v>2492</v>
      </c>
      <c r="C447" s="3" t="s">
        <v>2497</v>
      </c>
      <c r="D447" s="3" t="s">
        <v>2492</v>
      </c>
      <c r="E447" s="3" t="str">
        <f t="shared" si="6"/>
        <v>UPDATE FORNECEDORES SET FILIAL_A_ENTREGAR = 'CD REGIS', FILIAL_COBRANCA = 'TATUAPE', FILIAL_A_FATURAR = 'CD REGIS' WHERE FORNECEDOR = 'MALHARIA SANTA RITA'</v>
      </c>
    </row>
    <row r="448" spans="1:5" x14ac:dyDescent="0.25">
      <c r="A448" s="3" t="s">
        <v>1432</v>
      </c>
      <c r="B448" s="3" t="s">
        <v>2492</v>
      </c>
      <c r="C448" s="3" t="s">
        <v>1497</v>
      </c>
      <c r="D448" s="3" t="s">
        <v>2492</v>
      </c>
      <c r="E448" s="3" t="str">
        <f t="shared" si="6"/>
        <v>UPDATE FORNECEDORES SET FILIAL_A_ENTREGAR = 'CD REGIS', FILIAL_COBRANCA = 'MATRIZ', FILIAL_A_FATURAR = 'CD REGIS' WHERE FORNECEDOR = 'MALHARIA STA RITA (2)'</v>
      </c>
    </row>
    <row r="449" spans="1:5" x14ac:dyDescent="0.25">
      <c r="A449" s="3" t="s">
        <v>1435</v>
      </c>
      <c r="B449" s="3" t="s">
        <v>2492</v>
      </c>
      <c r="C449" s="3" t="s">
        <v>1497</v>
      </c>
      <c r="D449" s="3" t="s">
        <v>2492</v>
      </c>
      <c r="E449" s="3" t="str">
        <f t="shared" si="6"/>
        <v>UPDATE FORNECEDORES SET FILIAL_A_ENTREGAR = 'CD REGIS', FILIAL_COBRANCA = 'MATRIZ', FILIAL_A_FATURAR = 'CD REGIS' WHERE FORNECEDOR = 'MALHAS ELOISA'</v>
      </c>
    </row>
    <row r="450" spans="1:5" x14ac:dyDescent="0.25">
      <c r="A450" s="3" t="s">
        <v>1440</v>
      </c>
      <c r="B450" s="3" t="s">
        <v>2492</v>
      </c>
      <c r="C450" s="3" t="s">
        <v>1497</v>
      </c>
      <c r="D450" s="3" t="s">
        <v>2492</v>
      </c>
      <c r="E450" s="3" t="str">
        <f t="shared" si="6"/>
        <v>UPDATE FORNECEDORES SET FILIAL_A_ENTREGAR = 'CD REGIS', FILIAL_COBRANCA = 'MATRIZ', FILIAL_A_FATURAR = 'CD REGIS' WHERE FORNECEDOR = 'MALHAS MAGIOLI'</v>
      </c>
    </row>
    <row r="451" spans="1:5" x14ac:dyDescent="0.25">
      <c r="A451" s="3" t="s">
        <v>1445</v>
      </c>
      <c r="B451" s="3" t="s">
        <v>2492</v>
      </c>
      <c r="C451" s="3" t="s">
        <v>2497</v>
      </c>
      <c r="D451" s="3" t="s">
        <v>2492</v>
      </c>
      <c r="E451" s="3" t="str">
        <f t="shared" si="6"/>
        <v>UPDATE FORNECEDORES SET FILIAL_A_ENTREGAR = 'CD REGIS', FILIAL_COBRANCA = 'TATUAPE', FILIAL_A_FATURAR = 'CD REGIS' WHERE FORNECEDOR = 'MALU MACEDO'</v>
      </c>
    </row>
    <row r="452" spans="1:5" x14ac:dyDescent="0.25">
      <c r="A452" s="3" t="s">
        <v>1447</v>
      </c>
      <c r="B452" s="3" t="s">
        <v>443</v>
      </c>
      <c r="C452" s="3" t="s">
        <v>1497</v>
      </c>
      <c r="D452" s="3" t="s">
        <v>443</v>
      </c>
      <c r="E452" s="3" t="str">
        <f t="shared" si="6"/>
        <v>UPDATE FORNECEDORES SET FILIAL_A_ENTREGAR = 'CD ARAQUARI', FILIAL_COBRANCA = 'MATRIZ', FILIAL_A_FATURAR = 'CD ARAQUARI' WHERE FORNECEDOR = 'MALWEE MALHAS'</v>
      </c>
    </row>
    <row r="453" spans="1:5" x14ac:dyDescent="0.25">
      <c r="A453" s="3" t="s">
        <v>1452</v>
      </c>
      <c r="B453" s="3" t="s">
        <v>2494</v>
      </c>
      <c r="C453" s="3" t="s">
        <v>2494</v>
      </c>
      <c r="D453" s="3" t="s">
        <v>2494</v>
      </c>
      <c r="E453" s="3" t="str">
        <f t="shared" ref="E453:E516" si="7">"UPDATE FORNECEDORES SET FILIAL_A_ENTREGAR = '"&amp;B453&amp;"', FILIAL_COBRANCA = '"&amp;C453&amp;"', FILIAL_A_FATURAR = '"&amp;D453&amp;"' WHERE FORNECEDOR = '"&amp;A453&amp;"'"</f>
        <v>UPDATE FORNECEDORES SET FILIAL_A_ENTREGAR = 'ANPPLA', FILIAL_COBRANCA = 'ANPPLA', FILIAL_A_FATURAR = 'ANPPLA' WHERE FORNECEDOR = 'MANUTENCOES OLIVEIRA'</v>
      </c>
    </row>
    <row r="454" spans="1:5" x14ac:dyDescent="0.25">
      <c r="A454" s="3" t="s">
        <v>1455</v>
      </c>
      <c r="B454" s="3" t="s">
        <v>2492</v>
      </c>
      <c r="C454" s="3" t="s">
        <v>1497</v>
      </c>
      <c r="D454" s="3" t="s">
        <v>2492</v>
      </c>
      <c r="E454" s="3" t="str">
        <f t="shared" si="7"/>
        <v>UPDATE FORNECEDORES SET FILIAL_A_ENTREGAR = 'CD REGIS', FILIAL_COBRANCA = 'MATRIZ', FILIAL_A_FATURAR = 'CD REGIS' WHERE FORNECEDOR = 'MAR QUENTE(GANGSTER)'</v>
      </c>
    </row>
    <row r="455" spans="1:5" x14ac:dyDescent="0.25">
      <c r="A455" s="3" t="s">
        <v>1459</v>
      </c>
      <c r="B455" s="3" t="s">
        <v>2492</v>
      </c>
      <c r="C455" s="3" t="s">
        <v>2492</v>
      </c>
      <c r="D455" s="3" t="s">
        <v>2492</v>
      </c>
      <c r="E455" s="3" t="str">
        <f t="shared" si="7"/>
        <v>UPDATE FORNECEDORES SET FILIAL_A_ENTREGAR = 'CD REGIS', FILIAL_COBRANCA = 'CD REGIS', FILIAL_A_FATURAR = 'CD REGIS' WHERE FORNECEDOR = 'MARCIA ME'</v>
      </c>
    </row>
    <row r="456" spans="1:5" x14ac:dyDescent="0.25">
      <c r="A456" s="3" t="s">
        <v>1460</v>
      </c>
      <c r="B456" s="3" t="s">
        <v>2492</v>
      </c>
      <c r="C456" s="3" t="s">
        <v>2492</v>
      </c>
      <c r="D456" s="3" t="s">
        <v>2492</v>
      </c>
      <c r="E456" s="3" t="str">
        <f t="shared" si="7"/>
        <v>UPDATE FORNECEDORES SET FILIAL_A_ENTREGAR = 'CD REGIS', FILIAL_COBRANCA = 'CD REGIS', FILIAL_A_FATURAR = 'CD REGIS' WHERE FORNECEDOR = 'MARCILIO BANCHER'</v>
      </c>
    </row>
    <row r="457" spans="1:5" x14ac:dyDescent="0.25">
      <c r="A457" s="3" t="s">
        <v>1462</v>
      </c>
      <c r="B457" s="3" t="s">
        <v>2524</v>
      </c>
      <c r="C457" s="3" t="s">
        <v>2524</v>
      </c>
      <c r="D457" s="3" t="s">
        <v>2524</v>
      </c>
      <c r="E457" s="3" t="str">
        <f t="shared" si="7"/>
        <v>UPDATE FORNECEDORES SET FILIAL_A_ENTREGAR = 'COTIA', FILIAL_COBRANCA = 'COTIA', FILIAL_A_FATURAR = 'COTIA' WHERE FORNECEDOR = 'MARCOS BRUNO'</v>
      </c>
    </row>
    <row r="458" spans="1:5" x14ac:dyDescent="0.25">
      <c r="A458" s="3" t="s">
        <v>1466</v>
      </c>
      <c r="B458" s="3" t="s">
        <v>2492</v>
      </c>
      <c r="C458" s="3" t="s">
        <v>2497</v>
      </c>
      <c r="D458" s="3" t="s">
        <v>2492</v>
      </c>
      <c r="E458" s="3" t="str">
        <f t="shared" si="7"/>
        <v>UPDATE FORNECEDORES SET FILIAL_A_ENTREGAR = 'CD REGIS', FILIAL_COBRANCA = 'TATUAPE', FILIAL_A_FATURAR = 'CD REGIS' WHERE FORNECEDOR = 'MARFRAN'</v>
      </c>
    </row>
    <row r="459" spans="1:5" x14ac:dyDescent="0.25">
      <c r="A459" s="3" t="s">
        <v>1467</v>
      </c>
      <c r="B459" s="3" t="s">
        <v>1497</v>
      </c>
      <c r="C459" s="3" t="s">
        <v>1497</v>
      </c>
      <c r="D459" s="3" t="s">
        <v>1497</v>
      </c>
      <c r="E459" s="3" t="str">
        <f t="shared" si="7"/>
        <v>UPDATE FORNECEDORES SET FILIAL_A_ENTREGAR = 'MATRIZ', FILIAL_COBRANCA = 'MATRIZ', FILIAL_A_FATURAR = 'MATRIZ' WHERE FORNECEDOR = 'MARIA APARECIDA FAVARO'</v>
      </c>
    </row>
    <row r="460" spans="1:5" x14ac:dyDescent="0.25">
      <c r="A460" s="3" t="s">
        <v>1470</v>
      </c>
      <c r="B460" s="3" t="s">
        <v>2492</v>
      </c>
      <c r="C460" s="3" t="s">
        <v>2492</v>
      </c>
      <c r="D460" s="3" t="s">
        <v>2492</v>
      </c>
      <c r="E460" s="3" t="str">
        <f t="shared" si="7"/>
        <v>UPDATE FORNECEDORES SET FILIAL_A_ENTREGAR = 'CD REGIS', FILIAL_COBRANCA = 'CD REGIS', FILIAL_A_FATURAR = 'CD REGIS' WHERE FORNECEDOR = 'MARIA GERMANA MARTINS'</v>
      </c>
    </row>
    <row r="461" spans="1:5" x14ac:dyDescent="0.25">
      <c r="A461" s="3" t="s">
        <v>1474</v>
      </c>
      <c r="B461" s="3" t="s">
        <v>444</v>
      </c>
      <c r="C461" s="3" t="s">
        <v>1497</v>
      </c>
      <c r="D461" s="3" t="s">
        <v>444</v>
      </c>
      <c r="E461" s="3" t="str">
        <f t="shared" si="7"/>
        <v>UPDATE FORNECEDORES SET FILIAL_A_ENTREGAR = 'CD NAVEGANTES', FILIAL_COBRANCA = 'MATRIZ', FILIAL_A_FATURAR = 'CD NAVEGANTES' WHERE FORNECEDOR = 'MARIA MULHER'</v>
      </c>
    </row>
    <row r="462" spans="1:5" x14ac:dyDescent="0.25">
      <c r="A462" s="3" t="s">
        <v>1475</v>
      </c>
      <c r="B462" s="3" t="s">
        <v>1497</v>
      </c>
      <c r="C462" s="3" t="s">
        <v>1497</v>
      </c>
      <c r="D462" s="3" t="s">
        <v>1497</v>
      </c>
      <c r="E462" s="3" t="str">
        <f t="shared" si="7"/>
        <v>UPDATE FORNECEDORES SET FILIAL_A_ENTREGAR = 'MATRIZ', FILIAL_COBRANCA = 'MATRIZ', FILIAL_A_FATURAR = 'MATRIZ' WHERE FORNECEDOR = 'MARIANA KATO SILVA TELLES'</v>
      </c>
    </row>
    <row r="463" spans="1:5" x14ac:dyDescent="0.25">
      <c r="A463" s="3" t="s">
        <v>1481</v>
      </c>
      <c r="B463" s="3" t="s">
        <v>2494</v>
      </c>
      <c r="C463" s="3" t="s">
        <v>2494</v>
      </c>
      <c r="D463" s="3" t="s">
        <v>2494</v>
      </c>
      <c r="E463" s="3" t="str">
        <f t="shared" si="7"/>
        <v>UPDATE FORNECEDORES SET FILIAL_A_ENTREGAR = 'ANPPLA', FILIAL_COBRANCA = 'ANPPLA', FILIAL_A_FATURAR = 'ANPPLA' WHERE FORNECEDOR = 'MARIZA M DOS SANTOS ME'</v>
      </c>
    </row>
    <row r="464" spans="1:5" x14ac:dyDescent="0.25">
      <c r="A464" s="3" t="s">
        <v>1483</v>
      </c>
      <c r="B464" s="3" t="s">
        <v>443</v>
      </c>
      <c r="C464" s="3" t="s">
        <v>1497</v>
      </c>
      <c r="D464" s="3" t="s">
        <v>443</v>
      </c>
      <c r="E464" s="3" t="str">
        <f t="shared" si="7"/>
        <v>UPDATE FORNECEDORES SET FILIAL_A_ENTREGAR = 'CD ARAQUARI', FILIAL_COBRANCA = 'MATRIZ', FILIAL_A_FATURAR = 'CD ARAQUARI' WHERE FORNECEDOR = 'MARLAN'</v>
      </c>
    </row>
    <row r="465" spans="1:5" x14ac:dyDescent="0.25">
      <c r="A465" s="3" t="s">
        <v>1488</v>
      </c>
      <c r="B465" s="3" t="s">
        <v>2514</v>
      </c>
      <c r="C465" s="3" t="s">
        <v>2514</v>
      </c>
      <c r="D465" s="3" t="s">
        <v>2514</v>
      </c>
      <c r="E465" s="3" t="str">
        <f t="shared" si="7"/>
        <v>UPDATE FORNECEDORES SET FILIAL_A_ENTREGAR = 'PIRASSUNUNGA', FILIAL_COBRANCA = 'PIRASSUNUNGA', FILIAL_A_FATURAR = 'PIRASSUNUNGA' WHERE FORNECEDOR = 'MARTIN OFFICE'</v>
      </c>
    </row>
    <row r="466" spans="1:5" x14ac:dyDescent="0.25">
      <c r="A466" s="3" t="s">
        <v>1494</v>
      </c>
      <c r="B466" s="3" t="s">
        <v>2492</v>
      </c>
      <c r="C466" s="3" t="s">
        <v>2492</v>
      </c>
      <c r="D466" s="3" t="s">
        <v>2492</v>
      </c>
      <c r="E466" s="3" t="str">
        <f t="shared" si="7"/>
        <v>UPDATE FORNECEDORES SET FILIAL_A_ENTREGAR = 'CD REGIS', FILIAL_COBRANCA = 'CD REGIS', FILIAL_A_FATURAR = 'CD REGIS' WHERE FORNECEDOR = 'MASTER GRANDE CONF DE MAL'</v>
      </c>
    </row>
    <row r="467" spans="1:5" x14ac:dyDescent="0.25">
      <c r="A467" s="3" t="s">
        <v>1497</v>
      </c>
      <c r="B467" s="3" t="s">
        <v>444</v>
      </c>
      <c r="C467" s="3" t="s">
        <v>1497</v>
      </c>
      <c r="D467" s="3" t="s">
        <v>444</v>
      </c>
      <c r="E467" s="3" t="str">
        <f t="shared" si="7"/>
        <v>UPDATE FORNECEDORES SET FILIAL_A_ENTREGAR = 'CD NAVEGANTES', FILIAL_COBRANCA = 'MATRIZ', FILIAL_A_FATURAR = 'CD NAVEGANTES' WHERE FORNECEDOR = 'MATRIZ'</v>
      </c>
    </row>
    <row r="468" spans="1:5" x14ac:dyDescent="0.25">
      <c r="A468" s="3" t="s">
        <v>1514</v>
      </c>
      <c r="B468" s="3" t="s">
        <v>443</v>
      </c>
      <c r="C468" s="3" t="s">
        <v>1497</v>
      </c>
      <c r="D468" s="3" t="s">
        <v>443</v>
      </c>
      <c r="E468" s="3" t="str">
        <f t="shared" si="7"/>
        <v>UPDATE FORNECEDORES SET FILIAL_A_ENTREGAR = 'CD ARAQUARI', FILIAL_COBRANCA = 'MATRIZ', FILIAL_A_FATURAR = 'CD ARAQUARI' WHERE FORNECEDOR = 'MC JO'</v>
      </c>
    </row>
    <row r="469" spans="1:5" x14ac:dyDescent="0.25">
      <c r="A469" s="3" t="s">
        <v>1515</v>
      </c>
      <c r="B469" s="3" t="s">
        <v>443</v>
      </c>
      <c r="C469" s="3" t="s">
        <v>1497</v>
      </c>
      <c r="D469" s="3" t="s">
        <v>443</v>
      </c>
      <c r="E469" s="3" t="str">
        <f t="shared" si="7"/>
        <v>UPDATE FORNECEDORES SET FILIAL_A_ENTREGAR = 'CD ARAQUARI', FILIAL_COBRANCA = 'MATRIZ', FILIAL_A_FATURAR = 'CD ARAQUARI' WHERE FORNECEDOR = 'MC MALHAS'</v>
      </c>
    </row>
    <row r="470" spans="1:5" x14ac:dyDescent="0.25">
      <c r="A470" s="3" t="s">
        <v>1517</v>
      </c>
      <c r="B470" s="3" t="s">
        <v>2498</v>
      </c>
      <c r="C470" s="3" t="s">
        <v>2498</v>
      </c>
      <c r="D470" s="3" t="s">
        <v>2498</v>
      </c>
      <c r="E470" s="3" t="str">
        <f t="shared" si="7"/>
        <v>UPDATE FORNECEDORES SET FILIAL_A_ENTREGAR = 'SP - PARI', FILIAL_COBRANCA = 'SP - PARI', FILIAL_A_FATURAR = 'SP - PARI' WHERE FORNECEDOR = 'MD CARIMBOS'</v>
      </c>
    </row>
    <row r="471" spans="1:5" x14ac:dyDescent="0.25">
      <c r="A471" s="3" t="s">
        <v>1518</v>
      </c>
      <c r="B471" s="3" t="s">
        <v>1497</v>
      </c>
      <c r="C471" s="3" t="s">
        <v>1497</v>
      </c>
      <c r="D471" s="3" t="s">
        <v>1497</v>
      </c>
      <c r="E471" s="3" t="str">
        <f t="shared" si="7"/>
        <v>UPDATE FORNECEDORES SET FILIAL_A_ENTREGAR = 'MATRIZ', FILIAL_COBRANCA = 'MATRIZ', FILIAL_A_FATURAR = 'MATRIZ' WHERE FORNECEDOR = 'MD CARIMBOS COMERCIO'</v>
      </c>
    </row>
    <row r="472" spans="1:5" x14ac:dyDescent="0.25">
      <c r="A472" s="3" t="s">
        <v>1526</v>
      </c>
      <c r="B472" s="3" t="s">
        <v>2492</v>
      </c>
      <c r="C472" s="3" t="s">
        <v>1497</v>
      </c>
      <c r="D472" s="3" t="s">
        <v>2492</v>
      </c>
      <c r="E472" s="3" t="str">
        <f t="shared" si="7"/>
        <v>UPDATE FORNECEDORES SET FILIAL_A_ENTREGAR = 'CD REGIS', FILIAL_COBRANCA = 'MATRIZ', FILIAL_A_FATURAR = 'CD REGIS' WHERE FORNECEDOR = 'MELTEX'</v>
      </c>
    </row>
    <row r="473" spans="1:5" x14ac:dyDescent="0.25">
      <c r="A473" s="3" t="s">
        <v>1527</v>
      </c>
      <c r="B473" s="3" t="s">
        <v>2492</v>
      </c>
      <c r="C473" s="3" t="s">
        <v>1497</v>
      </c>
      <c r="D473" s="3" t="s">
        <v>2492</v>
      </c>
      <c r="E473" s="3" t="str">
        <f t="shared" si="7"/>
        <v>UPDATE FORNECEDORES SET FILIAL_A_ENTREGAR = 'CD REGIS', FILIAL_COBRANCA = 'MATRIZ', FILIAL_A_FATURAR = 'CD REGIS' WHERE FORNECEDOR = 'MELTEX 2'</v>
      </c>
    </row>
    <row r="474" spans="1:5" x14ac:dyDescent="0.25">
      <c r="A474" s="3" t="s">
        <v>1528</v>
      </c>
      <c r="B474" s="3" t="s">
        <v>2492</v>
      </c>
      <c r="C474" s="3" t="s">
        <v>1497</v>
      </c>
      <c r="D474" s="3" t="s">
        <v>2492</v>
      </c>
      <c r="E474" s="3" t="str">
        <f t="shared" si="7"/>
        <v>UPDATE FORNECEDORES SET FILIAL_A_ENTREGAR = 'CD REGIS', FILIAL_COBRANCA = 'MATRIZ', FILIAL_A_FATURAR = 'CD REGIS' WHERE FORNECEDOR = 'MENINA BONITA'</v>
      </c>
    </row>
    <row r="475" spans="1:5" x14ac:dyDescent="0.25">
      <c r="A475" s="3" t="s">
        <v>1536</v>
      </c>
      <c r="B475" s="3" t="s">
        <v>1497</v>
      </c>
      <c r="C475" s="3" t="s">
        <v>1497</v>
      </c>
      <c r="D475" s="3" t="s">
        <v>1497</v>
      </c>
      <c r="E475" s="3" t="str">
        <f t="shared" si="7"/>
        <v>UPDATE FORNECEDORES SET FILIAL_A_ENTREGAR = 'MATRIZ', FILIAL_COBRANCA = 'MATRIZ', FILIAL_A_FATURAR = 'MATRIZ' WHERE FORNECEDOR = 'MERCADO 13'</v>
      </c>
    </row>
    <row r="476" spans="1:5" x14ac:dyDescent="0.25">
      <c r="A476" s="3" t="s">
        <v>1538</v>
      </c>
      <c r="B476" s="3" t="s">
        <v>2492</v>
      </c>
      <c r="C476" s="3" t="s">
        <v>1497</v>
      </c>
      <c r="D476" s="3" t="s">
        <v>2492</v>
      </c>
      <c r="E476" s="3" t="str">
        <f t="shared" si="7"/>
        <v>UPDATE FORNECEDORES SET FILIAL_A_ENTREGAR = 'CD REGIS', FILIAL_COBRANCA = 'MATRIZ', FILIAL_A_FATURAR = 'CD REGIS' WHERE FORNECEDOR = 'MERCI'</v>
      </c>
    </row>
    <row r="477" spans="1:5" x14ac:dyDescent="0.25">
      <c r="A477" s="3" t="s">
        <v>1542</v>
      </c>
      <c r="B477" s="3" t="s">
        <v>2498</v>
      </c>
      <c r="C477" s="3" t="s">
        <v>2498</v>
      </c>
      <c r="D477" s="3" t="s">
        <v>2498</v>
      </c>
      <c r="E477" s="3" t="str">
        <f t="shared" si="7"/>
        <v>UPDATE FORNECEDORES SET FILIAL_A_ENTREGAR = 'SP - PARI', FILIAL_COBRANCA = 'SP - PARI', FILIAL_A_FATURAR = 'SP - PARI' WHERE FORNECEDOR = 'MG&amp;A CONSULTORES DE SOLO'</v>
      </c>
    </row>
    <row r="478" spans="1:5" x14ac:dyDescent="0.25">
      <c r="A478" s="3" t="s">
        <v>1551</v>
      </c>
      <c r="B478" s="3" t="s">
        <v>1497</v>
      </c>
      <c r="C478" s="3" t="s">
        <v>1497</v>
      </c>
      <c r="D478" s="3" t="s">
        <v>1497</v>
      </c>
      <c r="E478" s="3" t="str">
        <f t="shared" si="7"/>
        <v>UPDATE FORNECEDORES SET FILIAL_A_ENTREGAR = 'MATRIZ', FILIAL_COBRANCA = 'MATRIZ', FILIAL_A_FATURAR = 'MATRIZ' WHERE FORNECEDOR = 'MIDIA JA PROM E EVENTOS'</v>
      </c>
    </row>
    <row r="479" spans="1:5" x14ac:dyDescent="0.25">
      <c r="A479" s="3" t="s">
        <v>1553</v>
      </c>
      <c r="B479" s="3" t="s">
        <v>1497</v>
      </c>
      <c r="C479" s="3" t="s">
        <v>1497</v>
      </c>
      <c r="D479" s="3" t="s">
        <v>1497</v>
      </c>
      <c r="E479" s="3" t="str">
        <f t="shared" si="7"/>
        <v>UPDATE FORNECEDORES SET FILIAL_A_ENTREGAR = 'MATRIZ', FILIAL_COBRANCA = 'MATRIZ', FILIAL_A_FATURAR = 'MATRIZ' WHERE FORNECEDOR = 'MILAGRO COM IMP E EXP'</v>
      </c>
    </row>
    <row r="480" spans="1:5" x14ac:dyDescent="0.25">
      <c r="A480" s="3" t="s">
        <v>1558</v>
      </c>
      <c r="B480" s="3" t="s">
        <v>2492</v>
      </c>
      <c r="C480" s="3" t="s">
        <v>1497</v>
      </c>
      <c r="D480" s="3" t="s">
        <v>2492</v>
      </c>
      <c r="E480" s="3" t="str">
        <f t="shared" si="7"/>
        <v>UPDATE FORNECEDORES SET FILIAL_A_ENTREGAR = 'CD REGIS', FILIAL_COBRANCA = 'MATRIZ', FILIAL_A_FATURAR = 'CD REGIS' WHERE FORNECEDOR = 'MILLANIM'</v>
      </c>
    </row>
    <row r="481" spans="1:5" x14ac:dyDescent="0.25">
      <c r="A481" s="3" t="s">
        <v>1563</v>
      </c>
      <c r="B481" s="3" t="s">
        <v>2492</v>
      </c>
      <c r="C481" s="3" t="s">
        <v>1497</v>
      </c>
      <c r="D481" s="3" t="s">
        <v>2492</v>
      </c>
      <c r="E481" s="3" t="str">
        <f t="shared" si="7"/>
        <v>UPDATE FORNECEDORES SET FILIAL_A_ENTREGAR = 'CD REGIS', FILIAL_COBRANCA = 'MATRIZ', FILIAL_A_FATURAR = 'CD REGIS' WHERE FORNECEDOR = 'MISS BELLY'</v>
      </c>
    </row>
    <row r="482" spans="1:5" x14ac:dyDescent="0.25">
      <c r="A482" s="3" t="s">
        <v>1567</v>
      </c>
      <c r="B482" s="3" t="s">
        <v>2492</v>
      </c>
      <c r="C482" s="3" t="s">
        <v>1497</v>
      </c>
      <c r="D482" s="3" t="s">
        <v>2492</v>
      </c>
      <c r="E482" s="3" t="str">
        <f t="shared" si="7"/>
        <v>UPDATE FORNECEDORES SET FILIAL_A_ENTREGAR = 'CD REGIS', FILIAL_COBRANCA = 'MATRIZ', FILIAL_A_FATURAR = 'CD REGIS' WHERE FORNECEDOR = 'MISS PANDORA'</v>
      </c>
    </row>
    <row r="483" spans="1:5" x14ac:dyDescent="0.25">
      <c r="A483" s="3" t="s">
        <v>1571</v>
      </c>
      <c r="B483" s="3" t="s">
        <v>2492</v>
      </c>
      <c r="C483" s="3" t="s">
        <v>1497</v>
      </c>
      <c r="D483" s="3" t="s">
        <v>2492</v>
      </c>
      <c r="E483" s="3" t="str">
        <f t="shared" si="7"/>
        <v>UPDATE FORNECEDORES SET FILIAL_A_ENTREGAR = 'CD REGIS', FILIAL_COBRANCA = 'MATRIZ', FILIAL_A_FATURAR = 'CD REGIS' WHERE FORNECEDOR = 'MIX'</v>
      </c>
    </row>
    <row r="484" spans="1:5" x14ac:dyDescent="0.25">
      <c r="A484" s="3" t="s">
        <v>1572</v>
      </c>
      <c r="B484" s="3" t="s">
        <v>2492</v>
      </c>
      <c r="C484" s="3" t="s">
        <v>1497</v>
      </c>
      <c r="D484" s="3" t="s">
        <v>2492</v>
      </c>
      <c r="E484" s="3" t="str">
        <f t="shared" si="7"/>
        <v>UPDATE FORNECEDORES SET FILIAL_A_ENTREGAR = 'CD REGIS', FILIAL_COBRANCA = 'MATRIZ', FILIAL_A_FATURAR = 'CD REGIS' WHERE FORNECEDOR = 'MIX 2'</v>
      </c>
    </row>
    <row r="485" spans="1:5" x14ac:dyDescent="0.25">
      <c r="A485" s="3" t="s">
        <v>1575</v>
      </c>
      <c r="B485" s="3" t="s">
        <v>2492</v>
      </c>
      <c r="C485" s="3" t="s">
        <v>2492</v>
      </c>
      <c r="D485" s="3" t="s">
        <v>2492</v>
      </c>
      <c r="E485" s="3" t="str">
        <f t="shared" si="7"/>
        <v>UPDATE FORNECEDORES SET FILIAL_A_ENTREGAR = 'CD REGIS', FILIAL_COBRANCA = 'CD REGIS', FILIAL_A_FATURAR = 'CD REGIS' WHERE FORNECEDOR = 'MKGL IND E COM DE ARAME'</v>
      </c>
    </row>
    <row r="486" spans="1:5" x14ac:dyDescent="0.25">
      <c r="A486" s="3" t="s">
        <v>1576</v>
      </c>
      <c r="B486" s="3" t="s">
        <v>443</v>
      </c>
      <c r="C486" s="3" t="s">
        <v>2492</v>
      </c>
      <c r="D486" s="3" t="s">
        <v>443</v>
      </c>
      <c r="E486" s="3" t="str">
        <f t="shared" si="7"/>
        <v>UPDATE FORNECEDORES SET FILIAL_A_ENTREGAR = 'CD ARAQUARI', FILIAL_COBRANCA = 'CD REGIS', FILIAL_A_FATURAR = 'CD ARAQUARI' WHERE FORNECEDOR = 'MKR'</v>
      </c>
    </row>
    <row r="487" spans="1:5" x14ac:dyDescent="0.25">
      <c r="A487" s="3" t="s">
        <v>1578</v>
      </c>
      <c r="B487" s="3" t="s">
        <v>2494</v>
      </c>
      <c r="C487" s="3" t="s">
        <v>2494</v>
      </c>
      <c r="D487" s="3" t="s">
        <v>2494</v>
      </c>
      <c r="E487" s="3" t="str">
        <f t="shared" si="7"/>
        <v>UPDATE FORNECEDORES SET FILIAL_A_ENTREGAR = 'ANPPLA', FILIAL_COBRANCA = 'ANPPLA', FILIAL_A_FATURAR = 'ANPPLA' WHERE FORNECEDOR = 'MMCAFE SERVICOS'</v>
      </c>
    </row>
    <row r="488" spans="1:5" x14ac:dyDescent="0.25">
      <c r="A488" s="3" t="s">
        <v>1584</v>
      </c>
      <c r="B488" s="3" t="s">
        <v>2506</v>
      </c>
      <c r="C488" s="3" t="s">
        <v>2506</v>
      </c>
      <c r="D488" s="3" t="s">
        <v>2506</v>
      </c>
      <c r="E488" s="3" t="str">
        <f t="shared" si="7"/>
        <v>UPDATE FORNECEDORES SET FILIAL_A_ENTREGAR = 'POA', FILIAL_COBRANCA = 'POA', FILIAL_A_FATURAR = 'POA' WHERE FORNECEDOR = 'MODULAR'</v>
      </c>
    </row>
    <row r="489" spans="1:5" x14ac:dyDescent="0.25">
      <c r="A489" s="3" t="s">
        <v>1585</v>
      </c>
      <c r="B489" s="3" t="s">
        <v>443</v>
      </c>
      <c r="C489" s="3" t="s">
        <v>1497</v>
      </c>
      <c r="D489" s="3" t="s">
        <v>443</v>
      </c>
      <c r="E489" s="3" t="str">
        <f t="shared" si="7"/>
        <v>UPDATE FORNECEDORES SET FILIAL_A_ENTREGAR = 'CD ARAQUARI', FILIAL_COBRANCA = 'MATRIZ', FILIAL_A_FATURAR = 'CD ARAQUARI' WHERE FORNECEDOR = 'MOLEKADA INDUSTRIA E COM'</v>
      </c>
    </row>
    <row r="490" spans="1:5" x14ac:dyDescent="0.25">
      <c r="A490" s="3" t="s">
        <v>1586</v>
      </c>
      <c r="B490" s="3" t="s">
        <v>443</v>
      </c>
      <c r="C490" s="3" t="s">
        <v>1497</v>
      </c>
      <c r="D490" s="3" t="s">
        <v>443</v>
      </c>
      <c r="E490" s="3" t="str">
        <f t="shared" si="7"/>
        <v>UPDATE FORNECEDORES SET FILIAL_A_ENTREGAR = 'CD ARAQUARI', FILIAL_COBRANCA = 'MATRIZ', FILIAL_A_FATURAR = 'CD ARAQUARI' WHERE FORNECEDOR = 'MOMENTUS'</v>
      </c>
    </row>
    <row r="491" spans="1:5" x14ac:dyDescent="0.25">
      <c r="A491" s="3" t="s">
        <v>1592</v>
      </c>
      <c r="B491" s="3" t="s">
        <v>443</v>
      </c>
      <c r="C491" s="3" t="s">
        <v>1497</v>
      </c>
      <c r="D491" s="3" t="s">
        <v>443</v>
      </c>
      <c r="E491" s="3" t="str">
        <f t="shared" si="7"/>
        <v>UPDATE FORNECEDORES SET FILIAL_A_ENTREGAR = 'CD ARAQUARI', FILIAL_COBRANCA = 'MATRIZ', FILIAL_A_FATURAR = 'CD ARAQUARI' WHERE FORNECEDOR = 'MONOPOLIO'</v>
      </c>
    </row>
    <row r="492" spans="1:5" x14ac:dyDescent="0.25">
      <c r="A492" s="3" t="s">
        <v>1595</v>
      </c>
      <c r="B492" s="3" t="s">
        <v>2549</v>
      </c>
      <c r="C492" s="3" t="s">
        <v>2549</v>
      </c>
      <c r="D492" s="3" t="s">
        <v>2549</v>
      </c>
      <c r="E492" s="3" t="str">
        <f t="shared" si="7"/>
        <v>UPDATE FORNECEDORES SET FILIAL_A_ENTREGAR = 'TAUBATE', FILIAL_COBRANCA = 'TAUBATE', FILIAL_A_FATURAR = 'TAUBATE' WHERE FORNECEDOR = 'MORAES &amp; MORAES ESTACION'</v>
      </c>
    </row>
    <row r="493" spans="1:5" x14ac:dyDescent="0.25">
      <c r="A493" s="3" t="s">
        <v>1596</v>
      </c>
      <c r="B493" s="3" t="s">
        <v>2514</v>
      </c>
      <c r="C493" s="3" t="s">
        <v>2514</v>
      </c>
      <c r="D493" s="3" t="s">
        <v>2514</v>
      </c>
      <c r="E493" s="3" t="str">
        <f t="shared" si="7"/>
        <v>UPDATE FORNECEDORES SET FILIAL_A_ENTREGAR = 'PIRASSUNUNGA', FILIAL_COBRANCA = 'PIRASSUNUNGA', FILIAL_A_FATURAR = 'PIRASSUNUNGA' WHERE FORNECEDOR = 'MORIO ABE'</v>
      </c>
    </row>
    <row r="494" spans="1:5" x14ac:dyDescent="0.25">
      <c r="A494" s="3" t="s">
        <v>1597</v>
      </c>
      <c r="B494" s="3" t="s">
        <v>2498</v>
      </c>
      <c r="C494" s="3" t="s">
        <v>2498</v>
      </c>
      <c r="D494" s="3" t="s">
        <v>2498</v>
      </c>
      <c r="E494" s="3" t="str">
        <f t="shared" si="7"/>
        <v>UPDATE FORNECEDORES SET FILIAL_A_ENTREGAR = 'SP - PARI', FILIAL_COBRANCA = 'SP - PARI', FILIAL_A_FATURAR = 'SP - PARI' WHERE FORNECEDOR = 'MOS PUCCIARELLI'</v>
      </c>
    </row>
    <row r="495" spans="1:5" x14ac:dyDescent="0.25">
      <c r="A495" s="3" t="s">
        <v>1603</v>
      </c>
      <c r="B495" s="3" t="s">
        <v>2492</v>
      </c>
      <c r="C495" s="3" t="s">
        <v>1497</v>
      </c>
      <c r="D495" s="3" t="s">
        <v>2492</v>
      </c>
      <c r="E495" s="3" t="str">
        <f t="shared" si="7"/>
        <v>UPDATE FORNECEDORES SET FILIAL_A_ENTREGAR = 'CD REGIS', FILIAL_COBRANCA = 'MATRIZ', FILIAL_A_FATURAR = 'CD REGIS' WHERE FORNECEDOR = 'MUG CONFECCOES'</v>
      </c>
    </row>
    <row r="496" spans="1:5" x14ac:dyDescent="0.25">
      <c r="A496" s="3" t="s">
        <v>1604</v>
      </c>
      <c r="B496" s="3" t="s">
        <v>1497</v>
      </c>
      <c r="C496" s="3" t="s">
        <v>1497</v>
      </c>
      <c r="D496" s="3" t="s">
        <v>1497</v>
      </c>
      <c r="E496" s="3" t="str">
        <f t="shared" si="7"/>
        <v>UPDATE FORNECEDORES SET FILIAL_A_ENTREGAR = 'MATRIZ', FILIAL_COBRANCA = 'MATRIZ', FILIAL_A_FATURAR = 'MATRIZ' WHERE FORNECEDOR = 'MULTI DADOS INFORMATICA'</v>
      </c>
    </row>
    <row r="497" spans="1:5" x14ac:dyDescent="0.25">
      <c r="A497" s="3" t="s">
        <v>1606</v>
      </c>
      <c r="B497" s="3" t="s">
        <v>2552</v>
      </c>
      <c r="C497" s="3" t="s">
        <v>2552</v>
      </c>
      <c r="D497" s="3" t="s">
        <v>2552</v>
      </c>
      <c r="E497" s="3" t="str">
        <f t="shared" si="7"/>
        <v>UPDATE FORNECEDORES SET FILIAL_A_ENTREGAR = 'AVANTI', FILIAL_COBRANCA = 'AVANTI', FILIAL_A_FATURAR = 'AVANTI' WHERE FORNECEDOR = 'MULTIFORME'</v>
      </c>
    </row>
    <row r="498" spans="1:5" x14ac:dyDescent="0.25">
      <c r="A498" s="3" t="s">
        <v>1608</v>
      </c>
      <c r="B498" s="3" t="s">
        <v>2498</v>
      </c>
      <c r="C498" s="3" t="s">
        <v>2498</v>
      </c>
      <c r="D498" s="3" t="s">
        <v>2498</v>
      </c>
      <c r="E498" s="3" t="str">
        <f t="shared" si="7"/>
        <v>UPDATE FORNECEDORES SET FILIAL_A_ENTREGAR = 'SP - PARI', FILIAL_COBRANCA = 'SP - PARI', FILIAL_A_FATURAR = 'SP - PARI' WHERE FORNECEDOR = 'MULTILIXO REMOCOES'</v>
      </c>
    </row>
    <row r="499" spans="1:5" x14ac:dyDescent="0.25">
      <c r="A499" s="3" t="s">
        <v>1612</v>
      </c>
      <c r="B499" s="3" t="s">
        <v>2492</v>
      </c>
      <c r="C499" s="3" t="s">
        <v>1497</v>
      </c>
      <c r="D499" s="3" t="s">
        <v>2492</v>
      </c>
      <c r="E499" s="3" t="str">
        <f t="shared" si="7"/>
        <v>UPDATE FORNECEDORES SET FILIAL_A_ENTREGAR = 'CD REGIS', FILIAL_COBRANCA = 'MATRIZ', FILIAL_A_FATURAR = 'CD REGIS' WHERE FORNECEDOR = 'MUNDO INFANTIL'</v>
      </c>
    </row>
    <row r="500" spans="1:5" x14ac:dyDescent="0.25">
      <c r="A500" s="3" t="s">
        <v>1617</v>
      </c>
      <c r="B500" s="3" t="s">
        <v>2492</v>
      </c>
      <c r="C500" s="3" t="s">
        <v>1497</v>
      </c>
      <c r="D500" s="3" t="s">
        <v>2492</v>
      </c>
      <c r="E500" s="3" t="str">
        <f t="shared" si="7"/>
        <v>UPDATE FORNECEDORES SET FILIAL_A_ENTREGAR = 'CD REGIS', FILIAL_COBRANCA = 'MATRIZ', FILIAL_A_FATURAR = 'CD REGIS' WHERE FORNECEDOR = 'MX2'</v>
      </c>
    </row>
    <row r="501" spans="1:5" x14ac:dyDescent="0.25">
      <c r="A501" s="3" t="s">
        <v>1616</v>
      </c>
      <c r="B501" s="3" t="s">
        <v>2492</v>
      </c>
      <c r="C501" s="3" t="s">
        <v>1497</v>
      </c>
      <c r="D501" s="3" t="s">
        <v>2492</v>
      </c>
      <c r="E501" s="3" t="str">
        <f t="shared" si="7"/>
        <v>UPDATE FORNECEDORES SET FILIAL_A_ENTREGAR = 'CD REGIS', FILIAL_COBRANCA = 'MATRIZ', FILIAL_A_FATURAR = 'CD REGIS' WHERE FORNECEDOR = 'MX-72'</v>
      </c>
    </row>
    <row r="502" spans="1:5" x14ac:dyDescent="0.25">
      <c r="A502" s="3" t="s">
        <v>1618</v>
      </c>
      <c r="B502" s="3" t="s">
        <v>2492</v>
      </c>
      <c r="C502" s="3" t="s">
        <v>2497</v>
      </c>
      <c r="D502" s="3" t="s">
        <v>2492</v>
      </c>
      <c r="E502" s="3" t="str">
        <f t="shared" si="7"/>
        <v>UPDATE FORNECEDORES SET FILIAL_A_ENTREGAR = 'CD REGIS', FILIAL_COBRANCA = 'TATUAPE', FILIAL_A_FATURAR = 'CD REGIS' WHERE FORNECEDOR = 'MY BOLSAS'</v>
      </c>
    </row>
    <row r="503" spans="1:5" x14ac:dyDescent="0.25">
      <c r="A503" s="3" t="s">
        <v>1621</v>
      </c>
      <c r="B503" s="3" t="s">
        <v>444</v>
      </c>
      <c r="C503" s="3" t="s">
        <v>1497</v>
      </c>
      <c r="D503" s="3" t="s">
        <v>444</v>
      </c>
      <c r="E503" s="3" t="str">
        <f t="shared" si="7"/>
        <v>UPDATE FORNECEDORES SET FILIAL_A_ENTREGAR = 'CD NAVEGANTES', FILIAL_COBRANCA = 'MATRIZ', FILIAL_A_FATURAR = 'CD NAVEGANTES' WHERE FORNECEDOR = 'MYTHUS'</v>
      </c>
    </row>
    <row r="504" spans="1:5" x14ac:dyDescent="0.25">
      <c r="A504" s="3" t="s">
        <v>1622</v>
      </c>
      <c r="B504" s="3" t="s">
        <v>2492</v>
      </c>
      <c r="C504" s="3" t="s">
        <v>1497</v>
      </c>
      <c r="D504" s="3" t="s">
        <v>2492</v>
      </c>
      <c r="E504" s="3" t="str">
        <f t="shared" si="7"/>
        <v>UPDATE FORNECEDORES SET FILIAL_A_ENTREGAR = 'CD REGIS', FILIAL_COBRANCA = 'MATRIZ', FILIAL_A_FATURAR = 'CD REGIS' WHERE FORNECEDOR = 'MYX COMERCIAL'</v>
      </c>
    </row>
    <row r="505" spans="1:5" x14ac:dyDescent="0.25">
      <c r="A505" s="3" t="s">
        <v>1623</v>
      </c>
      <c r="B505" s="3" t="s">
        <v>1497</v>
      </c>
      <c r="C505" s="3" t="s">
        <v>1497</v>
      </c>
      <c r="D505" s="3" t="s">
        <v>1497</v>
      </c>
      <c r="E505" s="3" t="str">
        <f t="shared" si="7"/>
        <v>UPDATE FORNECEDORES SET FILIAL_A_ENTREGAR = 'MATRIZ', FILIAL_COBRANCA = 'MATRIZ', FILIAL_A_FATURAR = 'MATRIZ' WHERE FORNECEDOR = 'MZSOLUTION'</v>
      </c>
    </row>
    <row r="506" spans="1:5" x14ac:dyDescent="0.25">
      <c r="A506" s="3" t="s">
        <v>1625</v>
      </c>
      <c r="B506" s="3" t="s">
        <v>2493</v>
      </c>
      <c r="C506" s="3" t="s">
        <v>2493</v>
      </c>
      <c r="D506" s="3" t="s">
        <v>2493</v>
      </c>
      <c r="E506" s="3" t="str">
        <f t="shared" si="7"/>
        <v>UPDATE FORNECEDORES SET FILIAL_A_ENTREGAR = 'AVANTI- ADM C.CREDITO', FILIAL_COBRANCA = 'AVANTI- ADM C.CREDITO', FILIAL_A_FATURAR = 'AVANTI- ADM C.CREDITO' WHERE FORNECEDOR = 'N L ORMUNDO MOVEIS'</v>
      </c>
    </row>
    <row r="507" spans="1:5" x14ac:dyDescent="0.25">
      <c r="A507" s="3" t="s">
        <v>1631</v>
      </c>
      <c r="B507" s="3" t="s">
        <v>2492</v>
      </c>
      <c r="C507" s="3" t="s">
        <v>1497</v>
      </c>
      <c r="D507" s="3" t="s">
        <v>2492</v>
      </c>
      <c r="E507" s="3" t="str">
        <f t="shared" si="7"/>
        <v>UPDATE FORNECEDORES SET FILIAL_A_ENTREGAR = 'CD REGIS', FILIAL_COBRANCA = 'MATRIZ', FILIAL_A_FATURAR = 'CD REGIS' WHERE FORNECEDOR = 'NARDO PURO'</v>
      </c>
    </row>
    <row r="508" spans="1:5" x14ac:dyDescent="0.25">
      <c r="A508" s="3" t="s">
        <v>1632</v>
      </c>
      <c r="B508" s="3" t="s">
        <v>2492</v>
      </c>
      <c r="C508" s="3" t="s">
        <v>1497</v>
      </c>
      <c r="D508" s="3" t="s">
        <v>2492</v>
      </c>
      <c r="E508" s="3" t="str">
        <f t="shared" si="7"/>
        <v>UPDATE FORNECEDORES SET FILIAL_A_ENTREGAR = 'CD REGIS', FILIAL_COBRANCA = 'MATRIZ', FILIAL_A_FATURAR = 'CD REGIS' WHERE FORNECEDOR = 'NATHALIA MALHAS'</v>
      </c>
    </row>
    <row r="509" spans="1:5" x14ac:dyDescent="0.25">
      <c r="A509" s="3" t="s">
        <v>1633</v>
      </c>
      <c r="B509" s="3" t="s">
        <v>2492</v>
      </c>
      <c r="C509" s="3" t="s">
        <v>1497</v>
      </c>
      <c r="D509" s="3" t="s">
        <v>2492</v>
      </c>
      <c r="E509" s="3" t="str">
        <f t="shared" si="7"/>
        <v>UPDATE FORNECEDORES SET FILIAL_A_ENTREGAR = 'CD REGIS', FILIAL_COBRANCA = 'MATRIZ', FILIAL_A_FATURAR = 'CD REGIS' WHERE FORNECEDOR = 'NATIVO/BLUEWAVE'</v>
      </c>
    </row>
    <row r="510" spans="1:5" x14ac:dyDescent="0.25">
      <c r="A510" s="3" t="s">
        <v>1635</v>
      </c>
      <c r="B510" s="3" t="s">
        <v>444</v>
      </c>
      <c r="C510" s="3" t="s">
        <v>1497</v>
      </c>
      <c r="D510" s="3" t="s">
        <v>444</v>
      </c>
      <c r="E510" s="3" t="str">
        <f t="shared" si="7"/>
        <v>UPDATE FORNECEDORES SET FILIAL_A_ENTREGAR = 'CD NAVEGANTES', FILIAL_COBRANCA = 'MATRIZ', FILIAL_A_FATURAR = 'CD NAVEGANTES' WHERE FORNECEDOR = 'NAXOS'</v>
      </c>
    </row>
    <row r="511" spans="1:5" x14ac:dyDescent="0.25">
      <c r="A511" s="3" t="s">
        <v>1638</v>
      </c>
      <c r="B511" s="3" t="s">
        <v>2492</v>
      </c>
      <c r="C511" s="3" t="s">
        <v>2492</v>
      </c>
      <c r="D511" s="3" t="s">
        <v>2492</v>
      </c>
      <c r="E511" s="3" t="str">
        <f t="shared" si="7"/>
        <v>UPDATE FORNECEDORES SET FILIAL_A_ENTREGAR = 'CD REGIS', FILIAL_COBRANCA = 'CD REGIS', FILIAL_A_FATURAR = 'CD REGIS' WHERE FORNECEDOR = 'NELSON CHERUBIN IMPRESSOS'</v>
      </c>
    </row>
    <row r="512" spans="1:5" x14ac:dyDescent="0.25">
      <c r="A512" s="3" t="s">
        <v>1644</v>
      </c>
      <c r="B512" s="3" t="s">
        <v>2493</v>
      </c>
      <c r="C512" s="3" t="s">
        <v>2493</v>
      </c>
      <c r="D512" s="3" t="s">
        <v>2493</v>
      </c>
      <c r="E512" s="3" t="str">
        <f t="shared" si="7"/>
        <v>UPDATE FORNECEDORES SET FILIAL_A_ENTREGAR = 'AVANTI- ADM C.CREDITO', FILIAL_COBRANCA = 'AVANTI- ADM C.CREDITO', FILIAL_A_FATURAR = 'AVANTI- ADM C.CREDITO' WHERE FORNECEDOR = 'NEUROTECH'</v>
      </c>
    </row>
    <row r="513" spans="1:5" x14ac:dyDescent="0.25">
      <c r="A513" s="3" t="s">
        <v>1645</v>
      </c>
      <c r="B513" s="3" t="s">
        <v>2493</v>
      </c>
      <c r="C513" s="3" t="s">
        <v>2493</v>
      </c>
      <c r="D513" s="3" t="s">
        <v>2493</v>
      </c>
      <c r="E513" s="3" t="str">
        <f t="shared" si="7"/>
        <v>UPDATE FORNECEDORES SET FILIAL_A_ENTREGAR = 'AVANTI- ADM C.CREDITO', FILIAL_COBRANCA = 'AVANTI- ADM C.CREDITO', FILIAL_A_FATURAR = 'AVANTI- ADM C.CREDITO' WHERE FORNECEDOR = 'NEUS TECNOLOGIA DA INF'</v>
      </c>
    </row>
    <row r="514" spans="1:5" x14ac:dyDescent="0.25">
      <c r="A514" s="3" t="s">
        <v>1647</v>
      </c>
      <c r="B514" s="3" t="s">
        <v>2498</v>
      </c>
      <c r="C514" s="3" t="s">
        <v>2498</v>
      </c>
      <c r="D514" s="3" t="s">
        <v>2498</v>
      </c>
      <c r="E514" s="3" t="str">
        <f t="shared" si="7"/>
        <v>UPDATE FORNECEDORES SET FILIAL_A_ENTREGAR = 'SP - PARI', FILIAL_COBRANCA = 'SP - PARI', FILIAL_A_FATURAR = 'SP - PARI' WHERE FORNECEDOR = 'NEW ACO'</v>
      </c>
    </row>
    <row r="515" spans="1:5" x14ac:dyDescent="0.25">
      <c r="A515" s="3" t="s">
        <v>1648</v>
      </c>
      <c r="B515" s="3" t="s">
        <v>1497</v>
      </c>
      <c r="C515" s="3" t="s">
        <v>1497</v>
      </c>
      <c r="D515" s="3" t="s">
        <v>1497</v>
      </c>
      <c r="E515" s="3" t="str">
        <f t="shared" si="7"/>
        <v>UPDATE FORNECEDORES SET FILIAL_A_ENTREGAR = 'MATRIZ', FILIAL_COBRANCA = 'MATRIZ', FILIAL_A_FATURAR = 'MATRIZ' WHERE FORNECEDOR = 'NEW CO LTDA'</v>
      </c>
    </row>
    <row r="516" spans="1:5" x14ac:dyDescent="0.25">
      <c r="A516" s="3" t="s">
        <v>1657</v>
      </c>
      <c r="B516" s="3" t="s">
        <v>1497</v>
      </c>
      <c r="C516" s="3" t="s">
        <v>1497</v>
      </c>
      <c r="D516" s="3" t="s">
        <v>1497</v>
      </c>
      <c r="E516" s="3" t="str">
        <f t="shared" si="7"/>
        <v>UPDATE FORNECEDORES SET FILIAL_A_ENTREGAR = 'MATRIZ', FILIAL_COBRANCA = 'MATRIZ', FILIAL_A_FATURAR = 'MATRIZ' WHERE FORNECEDOR = 'NEXTEL TELECOMUNICACOES'</v>
      </c>
    </row>
    <row r="517" spans="1:5" x14ac:dyDescent="0.25">
      <c r="A517" s="3" t="s">
        <v>1658</v>
      </c>
      <c r="B517" s="3" t="s">
        <v>1497</v>
      </c>
      <c r="C517" s="3" t="s">
        <v>1497</v>
      </c>
      <c r="D517" s="3" t="s">
        <v>1497</v>
      </c>
      <c r="E517" s="3" t="str">
        <f t="shared" ref="E517:E580" si="8">"UPDATE FORNECEDORES SET FILIAL_A_ENTREGAR = '"&amp;B517&amp;"', FILIAL_COBRANCA = '"&amp;C517&amp;"', FILIAL_A_FATURAR = '"&amp;D517&amp;"' WHERE FORNECEDOR = '"&amp;A517&amp;"'"</f>
        <v>UPDATE FORNECEDORES SET FILIAL_A_ENTREGAR = 'MATRIZ', FILIAL_COBRANCA = 'MATRIZ', FILIAL_A_FATURAR = 'MATRIZ' WHERE FORNECEDOR = 'NEXTEL TELECOMUNICAÇÕES'</v>
      </c>
    </row>
    <row r="518" spans="1:5" x14ac:dyDescent="0.25">
      <c r="A518" s="3" t="s">
        <v>1662</v>
      </c>
      <c r="B518" s="3" t="s">
        <v>1497</v>
      </c>
      <c r="C518" s="3" t="s">
        <v>1497</v>
      </c>
      <c r="D518" s="3" t="s">
        <v>1497</v>
      </c>
      <c r="E518" s="3" t="str">
        <f t="shared" si="8"/>
        <v>UPDATE FORNECEDORES SET FILIAL_A_ENTREGAR = 'MATRIZ', FILIAL_COBRANCA = 'MATRIZ', FILIAL_A_FATURAR = 'MATRIZ' WHERE FORNECEDOR = 'NIC BR'</v>
      </c>
    </row>
    <row r="519" spans="1:5" x14ac:dyDescent="0.25">
      <c r="A519" s="3" t="s">
        <v>1663</v>
      </c>
      <c r="B519" s="3" t="s">
        <v>2492</v>
      </c>
      <c r="C519" s="3" t="s">
        <v>2497</v>
      </c>
      <c r="D519" s="3" t="s">
        <v>2492</v>
      </c>
      <c r="E519" s="3" t="str">
        <f t="shared" si="8"/>
        <v>UPDATE FORNECEDORES SET FILIAL_A_ENTREGAR = 'CD REGIS', FILIAL_COBRANCA = 'TATUAPE', FILIAL_A_FATURAR = 'CD REGIS' WHERE FORNECEDOR = 'NICE BRASIL'</v>
      </c>
    </row>
    <row r="520" spans="1:5" x14ac:dyDescent="0.25">
      <c r="A520" s="3" t="s">
        <v>1665</v>
      </c>
      <c r="B520" s="3" t="s">
        <v>444</v>
      </c>
      <c r="C520" s="3" t="s">
        <v>1497</v>
      </c>
      <c r="D520" s="3" t="s">
        <v>444</v>
      </c>
      <c r="E520" s="3" t="str">
        <f t="shared" si="8"/>
        <v>UPDATE FORNECEDORES SET FILIAL_A_ENTREGAR = 'CD NAVEGANTES', FILIAL_COBRANCA = 'MATRIZ', FILIAL_A_FATURAR = 'CD NAVEGANTES' WHERE FORNECEDOR = 'NILCATEX TEXTIL'</v>
      </c>
    </row>
    <row r="521" spans="1:5" x14ac:dyDescent="0.25">
      <c r="A521" s="3" t="s">
        <v>1666</v>
      </c>
      <c r="B521" s="3" t="s">
        <v>2494</v>
      </c>
      <c r="C521" s="3" t="s">
        <v>2494</v>
      </c>
      <c r="D521" s="3" t="s">
        <v>2494</v>
      </c>
      <c r="E521" s="3" t="str">
        <f t="shared" si="8"/>
        <v>UPDATE FORNECEDORES SET FILIAL_A_ENTREGAR = 'ANPPLA', FILIAL_COBRANCA = 'ANPPLA', FILIAL_A_FATURAR = 'ANPPLA' WHERE FORNECEDOR = 'NILTON VIEIRA'</v>
      </c>
    </row>
    <row r="522" spans="1:5" x14ac:dyDescent="0.25">
      <c r="A522" s="3" t="s">
        <v>1671</v>
      </c>
      <c r="B522" s="3" t="s">
        <v>1497</v>
      </c>
      <c r="C522" s="3" t="s">
        <v>1497</v>
      </c>
      <c r="D522" s="3" t="s">
        <v>1497</v>
      </c>
      <c r="E522" s="3" t="str">
        <f t="shared" si="8"/>
        <v>UPDATE FORNECEDORES SET FILIAL_A_ENTREGAR = 'MATRIZ', FILIAL_COBRANCA = 'MATRIZ', FILIAL_A_FATURAR = 'MATRIZ' WHERE FORNECEDOR = 'NOROESTE CONSTRUCOES'</v>
      </c>
    </row>
    <row r="523" spans="1:5" x14ac:dyDescent="0.25">
      <c r="A523" s="3" t="s">
        <v>1673</v>
      </c>
      <c r="B523" s="3" t="s">
        <v>2492</v>
      </c>
      <c r="C523" s="3" t="s">
        <v>1497</v>
      </c>
      <c r="D523" s="3" t="s">
        <v>2492</v>
      </c>
      <c r="E523" s="3" t="str">
        <f t="shared" si="8"/>
        <v>UPDATE FORNECEDORES SET FILIAL_A_ENTREGAR = 'CD REGIS', FILIAL_COBRANCA = 'MATRIZ', FILIAL_A_FATURAR = 'CD REGIS' WHERE FORNECEDOR = 'NOUK INDUSTRIA E COMERCIO'</v>
      </c>
    </row>
    <row r="524" spans="1:5" x14ac:dyDescent="0.25">
      <c r="A524" s="3" t="s">
        <v>1674</v>
      </c>
      <c r="B524" s="3" t="s">
        <v>2492</v>
      </c>
      <c r="C524" s="3" t="s">
        <v>2492</v>
      </c>
      <c r="D524" s="3" t="s">
        <v>2492</v>
      </c>
      <c r="E524" s="3" t="str">
        <f t="shared" si="8"/>
        <v>UPDATE FORNECEDORES SET FILIAL_A_ENTREGAR = 'CD REGIS', FILIAL_COBRANCA = 'CD REGIS', FILIAL_A_FATURAR = 'CD REGIS' WHERE FORNECEDOR = 'NOVA COMERCIO'</v>
      </c>
    </row>
    <row r="525" spans="1:5" x14ac:dyDescent="0.25">
      <c r="A525" s="3" t="s">
        <v>1683</v>
      </c>
      <c r="B525" s="3" t="s">
        <v>2492</v>
      </c>
      <c r="C525" s="3" t="s">
        <v>2497</v>
      </c>
      <c r="D525" s="3" t="s">
        <v>2492</v>
      </c>
      <c r="E525" s="3" t="str">
        <f t="shared" si="8"/>
        <v>UPDATE FORNECEDORES SET FILIAL_A_ENTREGAR = 'CD REGIS', FILIAL_COBRANCA = 'TATUAPE', FILIAL_A_FATURAR = 'CD REGIS' WHERE FORNECEDOR = 'NOW BUCK'</v>
      </c>
    </row>
    <row r="526" spans="1:5" x14ac:dyDescent="0.25">
      <c r="A526" s="3" t="s">
        <v>1686</v>
      </c>
      <c r="B526" s="3" t="s">
        <v>443</v>
      </c>
      <c r="C526" s="3" t="s">
        <v>1497</v>
      </c>
      <c r="D526" s="3" t="s">
        <v>443</v>
      </c>
      <c r="E526" s="3" t="str">
        <f t="shared" si="8"/>
        <v>UPDATE FORNECEDORES SET FILIAL_A_ENTREGAR = 'CD ARAQUARI', FILIAL_COBRANCA = 'MATRIZ', FILIAL_A_FATURAR = 'CD ARAQUARI' WHERE FORNECEDOR = 'NUCLEO INDUSTRIA TEXTIL'</v>
      </c>
    </row>
    <row r="527" spans="1:5" x14ac:dyDescent="0.25">
      <c r="A527" s="3" t="s">
        <v>1687</v>
      </c>
      <c r="B527" s="3" t="s">
        <v>2492</v>
      </c>
      <c r="C527" s="3" t="s">
        <v>1497</v>
      </c>
      <c r="D527" s="3" t="s">
        <v>2492</v>
      </c>
      <c r="E527" s="3" t="str">
        <f t="shared" si="8"/>
        <v>UPDATE FORNECEDORES SET FILIAL_A_ENTREGAR = 'CD REGIS', FILIAL_COBRANCA = 'MATRIZ', FILIAL_A_FATURAR = 'CD REGIS' WHERE FORNECEDOR = 'NURIA TRICOT'</v>
      </c>
    </row>
    <row r="528" spans="1:5" x14ac:dyDescent="0.25">
      <c r="A528" s="3" t="s">
        <v>1688</v>
      </c>
      <c r="B528" s="3" t="s">
        <v>2492</v>
      </c>
      <c r="C528" s="3" t="s">
        <v>1497</v>
      </c>
      <c r="D528" s="3" t="s">
        <v>2492</v>
      </c>
      <c r="E528" s="3" t="str">
        <f t="shared" si="8"/>
        <v>UPDATE FORNECEDORES SET FILIAL_A_ENTREGAR = 'CD REGIS', FILIAL_COBRANCA = 'MATRIZ', FILIAL_A_FATURAR = 'CD REGIS' WHERE FORNECEDOR = 'NYTRON'</v>
      </c>
    </row>
    <row r="529" spans="1:5" x14ac:dyDescent="0.25">
      <c r="A529" s="3" t="s">
        <v>1692</v>
      </c>
      <c r="B529" s="3" t="s">
        <v>443</v>
      </c>
      <c r="C529" s="3" t="s">
        <v>1497</v>
      </c>
      <c r="D529" s="3" t="s">
        <v>443</v>
      </c>
      <c r="E529" s="3" t="str">
        <f t="shared" si="8"/>
        <v>UPDATE FORNECEDORES SET FILIAL_A_ENTREGAR = 'CD ARAQUARI', FILIAL_COBRANCA = 'MATRIZ', FILIAL_A_FATURAR = 'CD ARAQUARI' WHERE FORNECEDOR = 'OBJETO BRASIL'</v>
      </c>
    </row>
    <row r="530" spans="1:5" x14ac:dyDescent="0.25">
      <c r="A530" s="3" t="s">
        <v>1694</v>
      </c>
      <c r="B530" s="3" t="s">
        <v>1497</v>
      </c>
      <c r="C530" s="3" t="s">
        <v>1497</v>
      </c>
      <c r="D530" s="3" t="s">
        <v>1497</v>
      </c>
      <c r="E530" s="3" t="str">
        <f t="shared" si="8"/>
        <v>UPDATE FORNECEDORES SET FILIAL_A_ENTREGAR = 'MATRIZ', FILIAL_COBRANCA = 'MATRIZ', FILIAL_A_FATURAR = 'MATRIZ' WHERE FORNECEDOR = 'OCA MODELS AGENCIA DE MOD'</v>
      </c>
    </row>
    <row r="531" spans="1:5" x14ac:dyDescent="0.25">
      <c r="A531" s="3" t="s">
        <v>1695</v>
      </c>
      <c r="B531" s="3" t="s">
        <v>2492</v>
      </c>
      <c r="C531" s="3" t="s">
        <v>1497</v>
      </c>
      <c r="D531" s="3" t="s">
        <v>2492</v>
      </c>
      <c r="E531" s="3" t="str">
        <f t="shared" si="8"/>
        <v>UPDATE FORNECEDORES SET FILIAL_A_ENTREGAR = 'CD REGIS', FILIAL_COBRANCA = 'MATRIZ', FILIAL_A_FATURAR = 'CD REGIS' WHERE FORNECEDOR = 'OCCY'</v>
      </c>
    </row>
    <row r="532" spans="1:5" x14ac:dyDescent="0.25">
      <c r="A532" s="3" t="s">
        <v>1700</v>
      </c>
      <c r="B532" s="3" t="s">
        <v>444</v>
      </c>
      <c r="C532" s="3" t="s">
        <v>1497</v>
      </c>
      <c r="D532" s="3" t="s">
        <v>444</v>
      </c>
      <c r="E532" s="3" t="str">
        <f t="shared" si="8"/>
        <v>UPDATE FORNECEDORES SET FILIAL_A_ENTREGAR = 'CD NAVEGANTES', FILIAL_COBRANCA = 'MATRIZ', FILIAL_A_FATURAR = 'CD NAVEGANTES' WHERE FORNECEDOR = 'ODYMALHAS'</v>
      </c>
    </row>
    <row r="533" spans="1:5" x14ac:dyDescent="0.25">
      <c r="A533" s="3" t="s">
        <v>1701</v>
      </c>
      <c r="B533" s="3" t="s">
        <v>1497</v>
      </c>
      <c r="C533" s="3" t="s">
        <v>1497</v>
      </c>
      <c r="D533" s="3" t="s">
        <v>1497</v>
      </c>
      <c r="E533" s="3" t="str">
        <f t="shared" si="8"/>
        <v>UPDATE FORNECEDORES SET FILIAL_A_ENTREGAR = 'MATRIZ', FILIAL_COBRANCA = 'MATRIZ', FILIAL_A_FATURAR = 'MATRIZ' WHERE FORNECEDOR = 'OFFCER DISTRIB'</v>
      </c>
    </row>
    <row r="534" spans="1:5" x14ac:dyDescent="0.25">
      <c r="A534" s="3" t="s">
        <v>1703</v>
      </c>
      <c r="B534" s="3" t="s">
        <v>2514</v>
      </c>
      <c r="C534" s="3" t="s">
        <v>2514</v>
      </c>
      <c r="D534" s="3" t="s">
        <v>2514</v>
      </c>
      <c r="E534" s="3" t="str">
        <f t="shared" si="8"/>
        <v>UPDATE FORNECEDORES SET FILIAL_A_ENTREGAR = 'PIRASSUNUNGA', FILIAL_COBRANCA = 'PIRASSUNUNGA', FILIAL_A_FATURAR = 'PIRASSUNUNGA' WHERE FORNECEDOR = 'OFFICER DISTRIBUIDORA -ES'</v>
      </c>
    </row>
    <row r="535" spans="1:5" x14ac:dyDescent="0.25">
      <c r="A535" s="3" t="s">
        <v>1706</v>
      </c>
      <c r="B535" s="3" t="s">
        <v>2492</v>
      </c>
      <c r="C535" s="3" t="s">
        <v>2497</v>
      </c>
      <c r="D535" s="3" t="s">
        <v>2492</v>
      </c>
      <c r="E535" s="3" t="str">
        <f t="shared" si="8"/>
        <v>UPDATE FORNECEDORES SET FILIAL_A_ENTREGAR = 'CD REGIS', FILIAL_COBRANCA = 'TATUAPE', FILIAL_A_FATURAR = 'CD REGIS' WHERE FORNECEDOR = 'OLINDA FRANCISCA'</v>
      </c>
    </row>
    <row r="536" spans="1:5" x14ac:dyDescent="0.25">
      <c r="A536" s="3" t="s">
        <v>1707</v>
      </c>
      <c r="B536" s="3" t="s">
        <v>2492</v>
      </c>
      <c r="C536" s="3" t="s">
        <v>1497</v>
      </c>
      <c r="D536" s="3" t="s">
        <v>2492</v>
      </c>
      <c r="E536" s="3" t="str">
        <f t="shared" si="8"/>
        <v>UPDATE FORNECEDORES SET FILIAL_A_ENTREGAR = 'CD REGIS', FILIAL_COBRANCA = 'MATRIZ', FILIAL_A_FATURAR = 'CD REGIS' WHERE FORNECEDOR = 'OLIVEIRA CRIACOES'</v>
      </c>
    </row>
    <row r="537" spans="1:5" x14ac:dyDescent="0.25">
      <c r="A537" s="3" t="s">
        <v>1709</v>
      </c>
      <c r="B537" s="3" t="s">
        <v>1497</v>
      </c>
      <c r="C537" s="3" t="s">
        <v>1497</v>
      </c>
      <c r="D537" s="3" t="s">
        <v>1497</v>
      </c>
      <c r="E537" s="3" t="str">
        <f t="shared" si="8"/>
        <v>UPDATE FORNECEDORES SET FILIAL_A_ENTREGAR = 'MATRIZ', FILIAL_COBRANCA = 'MATRIZ', FILIAL_A_FATURAR = 'MATRIZ' WHERE FORNECEDOR = 'OLIVEIRA PRADO MARCAS'</v>
      </c>
    </row>
    <row r="538" spans="1:5" x14ac:dyDescent="0.25">
      <c r="A538" s="3" t="s">
        <v>1716</v>
      </c>
      <c r="B538" s="3" t="s">
        <v>2506</v>
      </c>
      <c r="C538" s="3" t="s">
        <v>2506</v>
      </c>
      <c r="D538" s="3" t="s">
        <v>2506</v>
      </c>
      <c r="E538" s="3" t="str">
        <f t="shared" si="8"/>
        <v>UPDATE FORNECEDORES SET FILIAL_A_ENTREGAR = 'POA', FILIAL_COBRANCA = 'POA', FILIAL_A_FATURAR = 'POA' WHERE FORNECEDOR = 'ONIX TELEINFORMATICA'</v>
      </c>
    </row>
    <row r="539" spans="1:5" x14ac:dyDescent="0.25">
      <c r="A539" s="3" t="s">
        <v>1718</v>
      </c>
      <c r="B539" s="3" t="s">
        <v>1497</v>
      </c>
      <c r="C539" s="3" t="s">
        <v>1497</v>
      </c>
      <c r="D539" s="3" t="s">
        <v>1497</v>
      </c>
      <c r="E539" s="3" t="str">
        <f t="shared" si="8"/>
        <v>UPDATE FORNECEDORES SET FILIAL_A_ENTREGAR = 'MATRIZ', FILIAL_COBRANCA = 'MATRIZ', FILIAL_A_FATURAR = 'MATRIZ' WHERE FORNECEDOR = 'OPÇÃO GRAFICA EDITORA LTD'</v>
      </c>
    </row>
    <row r="540" spans="1:5" x14ac:dyDescent="0.25">
      <c r="A540" s="3" t="s">
        <v>1719</v>
      </c>
      <c r="B540" s="3" t="s">
        <v>2492</v>
      </c>
      <c r="C540" s="3" t="s">
        <v>1497</v>
      </c>
      <c r="D540" s="3" t="s">
        <v>2492</v>
      </c>
      <c r="E540" s="3" t="str">
        <f t="shared" si="8"/>
        <v>UPDATE FORNECEDORES SET FILIAL_A_ENTREGAR = 'CD REGIS', FILIAL_COBRANCA = 'MATRIZ', FILIAL_A_FATURAR = 'CD REGIS' WHERE FORNECEDOR = 'OPEN COUNTRY'</v>
      </c>
    </row>
    <row r="541" spans="1:5" x14ac:dyDescent="0.25">
      <c r="A541" s="3" t="s">
        <v>1720</v>
      </c>
      <c r="B541" s="3" t="s">
        <v>443</v>
      </c>
      <c r="C541" s="3" t="s">
        <v>443</v>
      </c>
      <c r="D541" s="3" t="s">
        <v>443</v>
      </c>
      <c r="E541" s="3" t="str">
        <f t="shared" si="8"/>
        <v>UPDATE FORNECEDORES SET FILIAL_A_ENTREGAR = 'CD ARAQUARI', FILIAL_COBRANCA = 'CD ARAQUARI', FILIAL_A_FATURAR = 'CD ARAQUARI' WHERE FORNECEDOR = 'OPEN DAY (MH)'</v>
      </c>
    </row>
    <row r="542" spans="1:5" x14ac:dyDescent="0.25">
      <c r="A542" s="3" t="s">
        <v>1722</v>
      </c>
      <c r="B542" s="3" t="s">
        <v>2498</v>
      </c>
      <c r="C542" s="3" t="s">
        <v>2498</v>
      </c>
      <c r="D542" s="3" t="s">
        <v>2498</v>
      </c>
      <c r="E542" s="3" t="str">
        <f t="shared" si="8"/>
        <v>UPDATE FORNECEDORES SET FILIAL_A_ENTREGAR = 'SP - PARI', FILIAL_COBRANCA = 'SP - PARI', FILIAL_A_FATURAR = 'SP - PARI' WHERE FORNECEDOR = 'OPUS DESIGN LTDA'</v>
      </c>
    </row>
    <row r="543" spans="1:5" x14ac:dyDescent="0.25">
      <c r="A543" s="3" t="s">
        <v>1725</v>
      </c>
      <c r="B543" s="3" t="s">
        <v>2538</v>
      </c>
      <c r="C543" s="3" t="s">
        <v>2538</v>
      </c>
      <c r="D543" s="3" t="s">
        <v>2538</v>
      </c>
      <c r="E543" s="3" t="str">
        <f t="shared" si="8"/>
        <v>UPDATE FORNECEDORES SET FILIAL_A_ENTREGAR = 'VILA DIRCE', FILIAL_COBRANCA = 'VILA DIRCE', FILIAL_A_FATURAR = 'VILA DIRCE' WHERE FORNECEDOR = 'ORIGINAL ENGENHARIA E CON'</v>
      </c>
    </row>
    <row r="544" spans="1:5" x14ac:dyDescent="0.25">
      <c r="A544" s="3" t="s">
        <v>1726</v>
      </c>
      <c r="B544" s="3" t="s">
        <v>2492</v>
      </c>
      <c r="C544" s="3" t="s">
        <v>2492</v>
      </c>
      <c r="D544" s="3" t="s">
        <v>2492</v>
      </c>
      <c r="E544" s="3" t="str">
        <f t="shared" si="8"/>
        <v>UPDATE FORNECEDORES SET FILIAL_A_ENTREGAR = 'CD REGIS', FILIAL_COBRANCA = 'CD REGIS', FILIAL_A_FATURAR = 'CD REGIS' WHERE FORNECEDOR = 'ORTUNHO'</v>
      </c>
    </row>
    <row r="545" spans="1:5" x14ac:dyDescent="0.25">
      <c r="A545" s="3" t="s">
        <v>1729</v>
      </c>
      <c r="B545" s="3" t="s">
        <v>2492</v>
      </c>
      <c r="C545" s="3" t="s">
        <v>2492</v>
      </c>
      <c r="D545" s="3" t="s">
        <v>2492</v>
      </c>
      <c r="E545" s="3" t="str">
        <f t="shared" si="8"/>
        <v>UPDATE FORNECEDORES SET FILIAL_A_ENTREGAR = 'CD REGIS', FILIAL_COBRANCA = 'CD REGIS', FILIAL_A_FATURAR = 'CD REGIS' WHERE FORNECEDOR = 'OSTENSIVA ELETRONICA'</v>
      </c>
    </row>
    <row r="546" spans="1:5" x14ac:dyDescent="0.25">
      <c r="A546" s="3" t="s">
        <v>1730</v>
      </c>
      <c r="B546" s="3" t="s">
        <v>1497</v>
      </c>
      <c r="C546" s="3" t="s">
        <v>1497</v>
      </c>
      <c r="D546" s="3" t="s">
        <v>1497</v>
      </c>
      <c r="E546" s="3" t="str">
        <f t="shared" si="8"/>
        <v>UPDATE FORNECEDORES SET FILIAL_A_ENTREGAR = 'MATRIZ', FILIAL_COBRANCA = 'MATRIZ', FILIAL_A_FATURAR = 'MATRIZ' WHERE FORNECEDOR = 'OSVALDO - FIORI'</v>
      </c>
    </row>
    <row r="547" spans="1:5" x14ac:dyDescent="0.25">
      <c r="A547" s="3" t="s">
        <v>1731</v>
      </c>
      <c r="B547" s="3" t="s">
        <v>1497</v>
      </c>
      <c r="C547" s="3" t="s">
        <v>1497</v>
      </c>
      <c r="D547" s="3" t="s">
        <v>1497</v>
      </c>
      <c r="E547" s="3" t="str">
        <f t="shared" si="8"/>
        <v>UPDATE FORNECEDORES SET FILIAL_A_ENTREGAR = 'MATRIZ', FILIAL_COBRANCA = 'MATRIZ', FILIAL_A_FATURAR = 'MATRIZ' WHERE FORNECEDOR = 'OTK SISTEMAS DE INFOR'</v>
      </c>
    </row>
    <row r="548" spans="1:5" x14ac:dyDescent="0.25">
      <c r="A548" s="3" t="s">
        <v>1734</v>
      </c>
      <c r="B548" s="3" t="s">
        <v>2492</v>
      </c>
      <c r="C548" s="3" t="s">
        <v>2492</v>
      </c>
      <c r="D548" s="3" t="s">
        <v>2492</v>
      </c>
      <c r="E548" s="3" t="str">
        <f t="shared" si="8"/>
        <v>UPDATE FORNECEDORES SET FILIAL_A_ENTREGAR = 'CD REGIS', FILIAL_COBRANCA = 'CD REGIS', FILIAL_A_FATURAR = 'CD REGIS' WHERE FORNECEDOR = 'OZNES'</v>
      </c>
    </row>
    <row r="549" spans="1:5" x14ac:dyDescent="0.25">
      <c r="A549" s="3" t="s">
        <v>1736</v>
      </c>
      <c r="B549" s="3" t="s">
        <v>2494</v>
      </c>
      <c r="C549" s="3" t="s">
        <v>2494</v>
      </c>
      <c r="D549" s="3" t="s">
        <v>2494</v>
      </c>
      <c r="E549" s="3" t="str">
        <f t="shared" si="8"/>
        <v>UPDATE FORNECEDORES SET FILIAL_A_ENTREGAR = 'ANPPLA', FILIAL_COBRANCA = 'ANPPLA', FILIAL_A_FATURAR = 'ANPPLA' WHERE FORNECEDOR = 'P.DAS S. GRACINDO'</v>
      </c>
    </row>
    <row r="550" spans="1:5" x14ac:dyDescent="0.25">
      <c r="A550" s="3" t="s">
        <v>1737</v>
      </c>
      <c r="B550" s="3" t="s">
        <v>2494</v>
      </c>
      <c r="C550" s="3" t="s">
        <v>2494</v>
      </c>
      <c r="D550" s="3" t="s">
        <v>2494</v>
      </c>
      <c r="E550" s="3" t="str">
        <f t="shared" si="8"/>
        <v>UPDATE FORNECEDORES SET FILIAL_A_ENTREGAR = 'ANPPLA', FILIAL_COBRANCA = 'ANPPLA', FILIAL_A_FATURAR = 'ANPPLA' WHERE FORNECEDOR = 'PABST ENGENHARIA'</v>
      </c>
    </row>
    <row r="551" spans="1:5" x14ac:dyDescent="0.25">
      <c r="A551" s="3" t="s">
        <v>1740</v>
      </c>
      <c r="B551" s="3" t="s">
        <v>2492</v>
      </c>
      <c r="C551" s="3" t="s">
        <v>2492</v>
      </c>
      <c r="D551" s="3" t="s">
        <v>2492</v>
      </c>
      <c r="E551" s="3" t="str">
        <f t="shared" si="8"/>
        <v>UPDATE FORNECEDORES SET FILIAL_A_ENTREGAR = 'CD REGIS', FILIAL_COBRANCA = 'CD REGIS', FILIAL_A_FATURAR = 'CD REGIS' WHERE FORNECEDOR = 'PACKSEVEN IND E COM LTDA'</v>
      </c>
    </row>
    <row r="552" spans="1:5" x14ac:dyDescent="0.25">
      <c r="A552" s="3" t="s">
        <v>1741</v>
      </c>
      <c r="B552" s="3" t="s">
        <v>2492</v>
      </c>
      <c r="C552" s="3" t="s">
        <v>2492</v>
      </c>
      <c r="D552" s="3" t="s">
        <v>2492</v>
      </c>
      <c r="E552" s="3" t="str">
        <f t="shared" si="8"/>
        <v>UPDATE FORNECEDORES SET FILIAL_A_ENTREGAR = 'CD REGIS', FILIAL_COBRANCA = 'CD REGIS', FILIAL_A_FATURAR = 'CD REGIS' WHERE FORNECEDOR = 'PACKSEVEN INDÚSTRIA'</v>
      </c>
    </row>
    <row r="553" spans="1:5" x14ac:dyDescent="0.25">
      <c r="A553" s="3" t="s">
        <v>1745</v>
      </c>
      <c r="B553" s="3" t="s">
        <v>2498</v>
      </c>
      <c r="C553" s="3" t="s">
        <v>2498</v>
      </c>
      <c r="D553" s="3" t="s">
        <v>2498</v>
      </c>
      <c r="E553" s="3" t="str">
        <f t="shared" si="8"/>
        <v>UPDATE FORNECEDORES SET FILIAL_A_ENTREGAR = 'SP - PARI', FILIAL_COBRANCA = 'SP - PARI', FILIAL_A_FATURAR = 'SP - PARI' WHERE FORNECEDOR = 'PAES SETE DE SETEMBRO'</v>
      </c>
    </row>
    <row r="554" spans="1:5" x14ac:dyDescent="0.25">
      <c r="A554" s="3" t="s">
        <v>1746</v>
      </c>
      <c r="B554" s="3" t="s">
        <v>2492</v>
      </c>
      <c r="C554" s="3" t="s">
        <v>1497</v>
      </c>
      <c r="D554" s="3" t="s">
        <v>2492</v>
      </c>
      <c r="E554" s="3" t="str">
        <f t="shared" si="8"/>
        <v>UPDATE FORNECEDORES SET FILIAL_A_ENTREGAR = 'CD REGIS', FILIAL_COBRANCA = 'MATRIZ', FILIAL_A_FATURAR = 'CD REGIS' WHERE FORNECEDOR = 'PAGIO'</v>
      </c>
    </row>
    <row r="555" spans="1:5" x14ac:dyDescent="0.25">
      <c r="A555" s="3" t="s">
        <v>1749</v>
      </c>
      <c r="B555" s="3" t="s">
        <v>2492</v>
      </c>
      <c r="C555" s="3" t="s">
        <v>1497</v>
      </c>
      <c r="D555" s="3" t="s">
        <v>2492</v>
      </c>
      <c r="E555" s="3" t="str">
        <f t="shared" si="8"/>
        <v>UPDATE FORNECEDORES SET FILIAL_A_ENTREGAR = 'CD REGIS', FILIAL_COBRANCA = 'MATRIZ', FILIAL_A_FATURAR = 'CD REGIS' WHERE FORNECEDOR = 'PALLAS'</v>
      </c>
    </row>
    <row r="556" spans="1:5" x14ac:dyDescent="0.25">
      <c r="A556" s="3" t="s">
        <v>1754</v>
      </c>
      <c r="B556" s="3" t="s">
        <v>2492</v>
      </c>
      <c r="C556" s="3" t="s">
        <v>2497</v>
      </c>
      <c r="D556" s="3" t="s">
        <v>2492</v>
      </c>
      <c r="E556" s="3" t="str">
        <f t="shared" si="8"/>
        <v>UPDATE FORNECEDORES SET FILIAL_A_ENTREGAR = 'CD REGIS', FILIAL_COBRANCA = 'TATUAPE', FILIAL_A_FATURAR = 'CD REGIS' WHERE FORNECEDOR = 'PANDARECOS'</v>
      </c>
    </row>
    <row r="557" spans="1:5" x14ac:dyDescent="0.25">
      <c r="A557" s="3" t="s">
        <v>1758</v>
      </c>
      <c r="B557" s="3" t="s">
        <v>2492</v>
      </c>
      <c r="C557" s="3" t="s">
        <v>2497</v>
      </c>
      <c r="D557" s="3" t="s">
        <v>2492</v>
      </c>
      <c r="E557" s="3" t="str">
        <f t="shared" si="8"/>
        <v>UPDATE FORNECEDORES SET FILIAL_A_ENTREGAR = 'CD REGIS', FILIAL_COBRANCA = 'TATUAPE', FILIAL_A_FATURAR = 'CD REGIS' WHERE FORNECEDOR = 'PAPARREL'</v>
      </c>
    </row>
    <row r="558" spans="1:5" x14ac:dyDescent="0.25">
      <c r="A558" s="3" t="s">
        <v>1761</v>
      </c>
      <c r="B558" s="3" t="s">
        <v>2498</v>
      </c>
      <c r="C558" s="3" t="s">
        <v>2498</v>
      </c>
      <c r="D558" s="3" t="s">
        <v>2498</v>
      </c>
      <c r="E558" s="3" t="str">
        <f t="shared" si="8"/>
        <v>UPDATE FORNECEDORES SET FILIAL_A_ENTREGAR = 'SP - PARI', FILIAL_COBRANCA = 'SP - PARI', FILIAL_A_FATURAR = 'SP - PARI' WHERE FORNECEDOR = 'PARAFUSOS RUDGE RAMOS'</v>
      </c>
    </row>
    <row r="559" spans="1:5" x14ac:dyDescent="0.25">
      <c r="A559" s="3" t="s">
        <v>1763</v>
      </c>
      <c r="B559" s="3" t="s">
        <v>444</v>
      </c>
      <c r="C559" s="3" t="s">
        <v>1497</v>
      </c>
      <c r="D559" s="3" t="s">
        <v>444</v>
      </c>
      <c r="E559" s="3" t="str">
        <f t="shared" si="8"/>
        <v>UPDATE FORNECEDORES SET FILIAL_A_ENTREGAR = 'CD NAVEGANTES', FILIAL_COBRANCA = 'MATRIZ', FILIAL_A_FATURAR = 'CD NAVEGANTES' WHERE FORNECEDOR = 'PARIGI CONFECCOES'</v>
      </c>
    </row>
    <row r="560" spans="1:5" x14ac:dyDescent="0.25">
      <c r="A560" s="3" t="s">
        <v>1766</v>
      </c>
      <c r="B560" s="3" t="s">
        <v>2492</v>
      </c>
      <c r="C560" s="3" t="s">
        <v>1497</v>
      </c>
      <c r="D560" s="3" t="s">
        <v>2492</v>
      </c>
      <c r="E560" s="3" t="str">
        <f t="shared" si="8"/>
        <v>UPDATE FORNECEDORES SET FILIAL_A_ENTREGAR = 'CD REGIS', FILIAL_COBRANCA = 'MATRIZ', FILIAL_A_FATURAR = 'CD REGIS' WHERE FORNECEDOR = 'PASHMINA'</v>
      </c>
    </row>
    <row r="561" spans="1:5" x14ac:dyDescent="0.25">
      <c r="A561" s="3" t="s">
        <v>1767</v>
      </c>
      <c r="B561" s="3" t="s">
        <v>2492</v>
      </c>
      <c r="C561" s="3" t="s">
        <v>2497</v>
      </c>
      <c r="D561" s="3" t="s">
        <v>2492</v>
      </c>
      <c r="E561" s="3" t="str">
        <f t="shared" si="8"/>
        <v>UPDATE FORNECEDORES SET FILIAL_A_ENTREGAR = 'CD REGIS', FILIAL_COBRANCA = 'TATUAPE', FILIAL_A_FATURAR = 'CD REGIS' WHERE FORNECEDOR = 'PASSIONATA'</v>
      </c>
    </row>
    <row r="562" spans="1:5" x14ac:dyDescent="0.25">
      <c r="A562" s="3" t="s">
        <v>1771</v>
      </c>
      <c r="B562" s="3" t="s">
        <v>2498</v>
      </c>
      <c r="C562" s="3" t="s">
        <v>2498</v>
      </c>
      <c r="D562" s="3" t="s">
        <v>2498</v>
      </c>
      <c r="E562" s="3" t="str">
        <f t="shared" si="8"/>
        <v>UPDATE FORNECEDORES SET FILIAL_A_ENTREGAR = 'SP - PARI', FILIAL_COBRANCA = 'SP - PARI', FILIAL_A_FATURAR = 'SP - PARI' WHERE FORNECEDOR = 'PAULO EDUARDO LACERDA'</v>
      </c>
    </row>
    <row r="563" spans="1:5" x14ac:dyDescent="0.25">
      <c r="A563" s="3" t="s">
        <v>1776</v>
      </c>
      <c r="B563" s="3" t="s">
        <v>1497</v>
      </c>
      <c r="C563" s="3" t="s">
        <v>1497</v>
      </c>
      <c r="D563" s="3" t="s">
        <v>1497</v>
      </c>
      <c r="E563" s="3" t="str">
        <f t="shared" si="8"/>
        <v>UPDATE FORNECEDORES SET FILIAL_A_ENTREGAR = 'MATRIZ', FILIAL_COBRANCA = 'MATRIZ', FILIAL_A_FATURAR = 'MATRIZ' WHERE FORNECEDOR = 'PAVA MOLDURAS'</v>
      </c>
    </row>
    <row r="564" spans="1:5" x14ac:dyDescent="0.25">
      <c r="A564" s="3" t="s">
        <v>1777</v>
      </c>
      <c r="B564" s="3" t="s">
        <v>443</v>
      </c>
      <c r="C564" s="3" t="s">
        <v>1497</v>
      </c>
      <c r="D564" s="3" t="s">
        <v>443</v>
      </c>
      <c r="E564" s="3" t="str">
        <f t="shared" si="8"/>
        <v>UPDATE FORNECEDORES SET FILIAL_A_ENTREGAR = 'CD ARAQUARI', FILIAL_COBRANCA = 'MATRIZ', FILIAL_A_FATURAR = 'CD ARAQUARI' WHERE FORNECEDOR = 'PAXA'</v>
      </c>
    </row>
    <row r="565" spans="1:5" x14ac:dyDescent="0.25">
      <c r="A565" s="3" t="s">
        <v>1778</v>
      </c>
      <c r="B565" s="3" t="s">
        <v>1497</v>
      </c>
      <c r="C565" s="3" t="s">
        <v>1497</v>
      </c>
      <c r="D565" s="3" t="s">
        <v>1497</v>
      </c>
      <c r="E565" s="3" t="str">
        <f t="shared" si="8"/>
        <v>UPDATE FORNECEDORES SET FILIAL_A_ENTREGAR = 'MATRIZ', FILIAL_COBRANCA = 'MATRIZ', FILIAL_A_FATURAR = 'MATRIZ' WHERE FORNECEDOR = 'PDA SOLUÇÕES EM INFORM'</v>
      </c>
    </row>
    <row r="566" spans="1:5" x14ac:dyDescent="0.25">
      <c r="A566" s="3" t="s">
        <v>1781</v>
      </c>
      <c r="B566" s="3" t="s">
        <v>2514</v>
      </c>
      <c r="C566" s="3" t="s">
        <v>2514</v>
      </c>
      <c r="D566" s="3" t="s">
        <v>2514</v>
      </c>
      <c r="E566" s="3" t="str">
        <f t="shared" si="8"/>
        <v>UPDATE FORNECEDORES SET FILIAL_A_ENTREGAR = 'PIRASSUNUNGA', FILIAL_COBRANCA = 'PIRASSUNUNGA', FILIAL_A_FATURAR = 'PIRASSUNUNGA' WHERE FORNECEDOR = 'PECINI INDUSTRIA'</v>
      </c>
    </row>
    <row r="567" spans="1:5" x14ac:dyDescent="0.25">
      <c r="A567" s="3" t="s">
        <v>1784</v>
      </c>
      <c r="B567" s="3" t="s">
        <v>2494</v>
      </c>
      <c r="C567" s="3" t="s">
        <v>2494</v>
      </c>
      <c r="D567" s="3" t="s">
        <v>2494</v>
      </c>
      <c r="E567" s="3" t="str">
        <f t="shared" si="8"/>
        <v>UPDATE FORNECEDORES SET FILIAL_A_ENTREGAR = 'ANPPLA', FILIAL_COBRANCA = 'ANPPLA', FILIAL_A_FATURAR = 'ANPPLA' WHERE FORNECEDOR = 'PEIXOTO E CURY ADVOGADOS'</v>
      </c>
    </row>
    <row r="568" spans="1:5" x14ac:dyDescent="0.25">
      <c r="A568" s="3" t="s">
        <v>1788</v>
      </c>
      <c r="B568" s="3" t="s">
        <v>2492</v>
      </c>
      <c r="C568" s="3" t="s">
        <v>2497</v>
      </c>
      <c r="D568" s="3" t="s">
        <v>2492</v>
      </c>
      <c r="E568" s="3" t="str">
        <f t="shared" si="8"/>
        <v>UPDATE FORNECEDORES SET FILIAL_A_ENTREGAR = 'CD REGIS', FILIAL_COBRANCA = 'TATUAPE', FILIAL_A_FATURAR = 'CD REGIS' WHERE FORNECEDOR = 'PEPTUCHY'</v>
      </c>
    </row>
    <row r="569" spans="1:5" x14ac:dyDescent="0.25">
      <c r="A569" s="3" t="s">
        <v>1808</v>
      </c>
      <c r="B569" s="3" t="s">
        <v>2492</v>
      </c>
      <c r="C569" s="3" t="s">
        <v>2492</v>
      </c>
      <c r="D569" s="3" t="s">
        <v>2492</v>
      </c>
      <c r="E569" s="3" t="str">
        <f t="shared" si="8"/>
        <v>UPDATE FORNECEDORES SET FILIAL_A_ENTREGAR = 'CD REGIS', FILIAL_COBRANCA = 'CD REGIS', FILIAL_A_FATURAR = 'CD REGIS' WHERE FORNECEDOR = 'PIVESSO'</v>
      </c>
    </row>
    <row r="570" spans="1:5" x14ac:dyDescent="0.25">
      <c r="A570" s="3" t="s">
        <v>1810</v>
      </c>
      <c r="B570" s="3" t="s">
        <v>444</v>
      </c>
      <c r="C570" s="3" t="s">
        <v>1497</v>
      </c>
      <c r="D570" s="3" t="s">
        <v>444</v>
      </c>
      <c r="E570" s="3" t="str">
        <f t="shared" si="8"/>
        <v>UPDATE FORNECEDORES SET FILIAL_A_ENTREGAR = 'CD NAVEGANTES', FILIAL_COBRANCA = 'MATRIZ', FILIAL_A_FATURAR = 'CD NAVEGANTES' WHERE FORNECEDOR = 'PK7'</v>
      </c>
    </row>
    <row r="571" spans="1:5" x14ac:dyDescent="0.25">
      <c r="A571" s="3" t="s">
        <v>1811</v>
      </c>
      <c r="B571" s="3" t="s">
        <v>2498</v>
      </c>
      <c r="C571" s="3" t="s">
        <v>2498</v>
      </c>
      <c r="D571" s="3" t="s">
        <v>2498</v>
      </c>
      <c r="E571" s="3" t="str">
        <f t="shared" si="8"/>
        <v>UPDATE FORNECEDORES SET FILIAL_A_ENTREGAR = 'SP - PARI', FILIAL_COBRANCA = 'SP - PARI', FILIAL_A_FATURAR = 'SP - PARI' WHERE FORNECEDOR = 'PLAC COLOR'</v>
      </c>
    </row>
    <row r="572" spans="1:5" x14ac:dyDescent="0.25">
      <c r="A572" s="3" t="s">
        <v>1817</v>
      </c>
      <c r="B572" s="3" t="s">
        <v>2492</v>
      </c>
      <c r="C572" s="3" t="s">
        <v>2497</v>
      </c>
      <c r="D572" s="3" t="s">
        <v>2492</v>
      </c>
      <c r="E572" s="3" t="str">
        <f t="shared" si="8"/>
        <v>UPDATE FORNECEDORES SET FILIAL_A_ENTREGAR = 'CD REGIS', FILIAL_COBRANCA = 'TATUAPE', FILIAL_A_FATURAR = 'CD REGIS' WHERE FORNECEDOR = 'PLANTAO INTIMUS'</v>
      </c>
    </row>
    <row r="573" spans="1:5" x14ac:dyDescent="0.25">
      <c r="A573" s="3" t="s">
        <v>1818</v>
      </c>
      <c r="B573" s="3" t="s">
        <v>2492</v>
      </c>
      <c r="C573" s="3" t="s">
        <v>1497</v>
      </c>
      <c r="D573" s="3" t="s">
        <v>2492</v>
      </c>
      <c r="E573" s="3" t="str">
        <f t="shared" si="8"/>
        <v>UPDATE FORNECEDORES SET FILIAL_A_ENTREGAR = 'CD REGIS', FILIAL_COBRANCA = 'MATRIZ', FILIAL_A_FATURAR = 'CD REGIS' WHERE FORNECEDOR = 'POA TEXTIL'</v>
      </c>
    </row>
    <row r="574" spans="1:5" x14ac:dyDescent="0.25">
      <c r="A574" s="3" t="s">
        <v>1821</v>
      </c>
      <c r="B574" s="3" t="s">
        <v>2501</v>
      </c>
      <c r="C574" s="3" t="s">
        <v>2501</v>
      </c>
      <c r="D574" s="3" t="s">
        <v>2501</v>
      </c>
      <c r="E574" s="3" t="str">
        <f t="shared" si="8"/>
        <v>UPDATE FORNECEDORES SET FILIAL_A_ENTREGAR = 'IPIRANGA', FILIAL_COBRANCA = 'IPIRANGA', FILIAL_A_FATURAR = 'IPIRANGA' WHERE FORNECEDOR = 'POLIFORM INDUSTRIA'</v>
      </c>
    </row>
    <row r="575" spans="1:5" x14ac:dyDescent="0.25">
      <c r="A575" s="3" t="s">
        <v>1828</v>
      </c>
      <c r="B575" s="3" t="s">
        <v>1497</v>
      </c>
      <c r="C575" s="3" t="s">
        <v>1497</v>
      </c>
      <c r="D575" s="3" t="s">
        <v>1497</v>
      </c>
      <c r="E575" s="3" t="str">
        <f t="shared" si="8"/>
        <v>UPDATE FORNECEDORES SET FILIAL_A_ENTREGAR = 'MATRIZ', FILIAL_COBRANCA = 'MATRIZ', FILIAL_A_FATURAR = 'MATRIZ' WHERE FORNECEDOR = 'PONTICELLI'</v>
      </c>
    </row>
    <row r="576" spans="1:5" x14ac:dyDescent="0.25">
      <c r="A576" s="3" t="s">
        <v>1842</v>
      </c>
      <c r="B576" s="3" t="s">
        <v>2492</v>
      </c>
      <c r="C576" s="3" t="s">
        <v>1497</v>
      </c>
      <c r="D576" s="3" t="s">
        <v>2492</v>
      </c>
      <c r="E576" s="3" t="str">
        <f t="shared" si="8"/>
        <v>UPDATE FORNECEDORES SET FILIAL_A_ENTREGAR = 'CD REGIS', FILIAL_COBRANCA = 'MATRIZ', FILIAL_A_FATURAR = 'CD REGIS' WHERE FORNECEDOR = 'PRESTON'</v>
      </c>
    </row>
    <row r="577" spans="1:5" x14ac:dyDescent="0.25">
      <c r="A577" s="3" t="s">
        <v>1843</v>
      </c>
      <c r="B577" s="3" t="s">
        <v>2500</v>
      </c>
      <c r="C577" s="3" t="s">
        <v>2500</v>
      </c>
      <c r="D577" s="3" t="s">
        <v>2500</v>
      </c>
      <c r="E577" s="3" t="str">
        <f t="shared" si="8"/>
        <v>UPDATE FORNECEDORES SET FILIAL_A_ENTREGAR = 'CARAPICUIBA', FILIAL_COBRANCA = 'CARAPICUIBA', FILIAL_A_FATURAR = 'CARAPICUIBA' WHERE FORNECEDOR = 'PRIMA SERV DE CONS LTDA'</v>
      </c>
    </row>
    <row r="578" spans="1:5" x14ac:dyDescent="0.25">
      <c r="A578" s="3" t="s">
        <v>1848</v>
      </c>
      <c r="B578" s="3" t="s">
        <v>443</v>
      </c>
      <c r="C578" s="3" t="s">
        <v>2492</v>
      </c>
      <c r="D578" s="3" t="s">
        <v>443</v>
      </c>
      <c r="E578" s="3" t="str">
        <f t="shared" si="8"/>
        <v>UPDATE FORNECEDORES SET FILIAL_A_ENTREGAR = 'CD ARAQUARI', FILIAL_COBRANCA = 'CD REGIS', FILIAL_A_FATURAR = 'CD ARAQUARI' WHERE FORNECEDOR = 'PRO ATIVO'</v>
      </c>
    </row>
    <row r="579" spans="1:5" x14ac:dyDescent="0.25">
      <c r="A579" s="3" t="s">
        <v>1850</v>
      </c>
      <c r="B579" s="3" t="s">
        <v>1497</v>
      </c>
      <c r="C579" s="3" t="s">
        <v>1497</v>
      </c>
      <c r="D579" s="3" t="s">
        <v>1497</v>
      </c>
      <c r="E579" s="3" t="str">
        <f t="shared" si="8"/>
        <v>UPDATE FORNECEDORES SET FILIAL_A_ENTREGAR = 'MATRIZ', FILIAL_COBRANCA = 'MATRIZ', FILIAL_A_FATURAR = 'MATRIZ' WHERE FORNECEDOR = 'PRO SELVI PROJETOS'</v>
      </c>
    </row>
    <row r="580" spans="1:5" x14ac:dyDescent="0.25">
      <c r="A580" s="3" t="s">
        <v>1857</v>
      </c>
      <c r="B580" s="3" t="s">
        <v>1497</v>
      </c>
      <c r="C580" s="3" t="s">
        <v>1497</v>
      </c>
      <c r="D580" s="3" t="s">
        <v>1497</v>
      </c>
      <c r="E580" s="3" t="str">
        <f t="shared" si="8"/>
        <v>UPDATE FORNECEDORES SET FILIAL_A_ENTREGAR = 'MATRIZ', FILIAL_COBRANCA = 'MATRIZ', FILIAL_A_FATURAR = 'MATRIZ' WHERE FORNECEDOR = 'PROENG'</v>
      </c>
    </row>
    <row r="581" spans="1:5" x14ac:dyDescent="0.25">
      <c r="A581" s="3" t="s">
        <v>1860</v>
      </c>
      <c r="B581" s="3" t="s">
        <v>1497</v>
      </c>
      <c r="C581" s="3" t="s">
        <v>1497</v>
      </c>
      <c r="D581" s="3" t="s">
        <v>1497</v>
      </c>
      <c r="E581" s="3" t="str">
        <f t="shared" ref="E581:E644" si="9">"UPDATE FORNECEDORES SET FILIAL_A_ENTREGAR = '"&amp;B581&amp;"', FILIAL_COBRANCA = '"&amp;C581&amp;"', FILIAL_A_FATURAR = '"&amp;D581&amp;"' WHERE FORNECEDOR = '"&amp;A581&amp;"'"</f>
        <v>UPDATE FORNECEDORES SET FILIAL_A_ENTREGAR = 'MATRIZ', FILIAL_COBRANCA = 'MATRIZ', FILIAL_A_FATURAR = 'MATRIZ' WHERE FORNECEDOR = 'PROJETO 1 DECORACOES'</v>
      </c>
    </row>
    <row r="582" spans="1:5" x14ac:dyDescent="0.25">
      <c r="A582" s="3" t="s">
        <v>1853</v>
      </c>
      <c r="B582" s="3" t="s">
        <v>2550</v>
      </c>
      <c r="C582" s="3" t="s">
        <v>2550</v>
      </c>
      <c r="D582" s="3" t="s">
        <v>2550</v>
      </c>
      <c r="E582" s="3" t="str">
        <f t="shared" si="9"/>
        <v>UPDATE FORNECEDORES SET FILIAL_A_ENTREGAR = 'SP - GRAJAU', FILIAL_COBRANCA = 'SP - GRAJAU', FILIAL_A_FATURAR = 'SP - GRAJAU' WHERE FORNECEDOR = 'PRO-SSESSO'</v>
      </c>
    </row>
    <row r="583" spans="1:5" x14ac:dyDescent="0.25">
      <c r="A583" s="3" t="s">
        <v>1868</v>
      </c>
      <c r="B583" s="3" t="s">
        <v>2492</v>
      </c>
      <c r="C583" s="3" t="s">
        <v>1497</v>
      </c>
      <c r="D583" s="3" t="s">
        <v>2492</v>
      </c>
      <c r="E583" s="3" t="str">
        <f t="shared" si="9"/>
        <v>UPDATE FORNECEDORES SET FILIAL_A_ENTREGAR = 'CD REGIS', FILIAL_COBRANCA = 'MATRIZ', FILIAL_A_FATURAR = 'CD REGIS' WHERE FORNECEDOR = 'PSA'</v>
      </c>
    </row>
    <row r="584" spans="1:5" x14ac:dyDescent="0.25">
      <c r="A584" s="3" t="s">
        <v>1872</v>
      </c>
      <c r="B584" s="3" t="s">
        <v>2492</v>
      </c>
      <c r="C584" s="3" t="s">
        <v>1497</v>
      </c>
      <c r="D584" s="3" t="s">
        <v>2492</v>
      </c>
      <c r="E584" s="3" t="str">
        <f t="shared" si="9"/>
        <v>UPDATE FORNECEDORES SET FILIAL_A_ENTREGAR = 'CD REGIS', FILIAL_COBRANCA = 'MATRIZ', FILIAL_A_FATURAR = 'CD REGIS' WHERE FORNECEDOR = 'PUKET'</v>
      </c>
    </row>
    <row r="585" spans="1:5" x14ac:dyDescent="0.25">
      <c r="A585" s="3" t="s">
        <v>1876</v>
      </c>
      <c r="B585" s="3" t="s">
        <v>1497</v>
      </c>
      <c r="C585" s="3" t="s">
        <v>1497</v>
      </c>
      <c r="D585" s="3" t="s">
        <v>1497</v>
      </c>
      <c r="E585" s="3" t="str">
        <f t="shared" si="9"/>
        <v>UPDATE FORNECEDORES SET FILIAL_A_ENTREGAR = 'MATRIZ', FILIAL_COBRANCA = 'MATRIZ', FILIAL_A_FATURAR = 'MATRIZ' WHERE FORNECEDOR = 'QUALICORP'</v>
      </c>
    </row>
    <row r="586" spans="1:5" x14ac:dyDescent="0.25">
      <c r="A586" s="3" t="s">
        <v>1879</v>
      </c>
      <c r="B586" s="3" t="s">
        <v>2492</v>
      </c>
      <c r="C586" s="3" t="s">
        <v>1497</v>
      </c>
      <c r="D586" s="3" t="s">
        <v>2492</v>
      </c>
      <c r="E586" s="3" t="str">
        <f t="shared" si="9"/>
        <v>UPDATE FORNECEDORES SET FILIAL_A_ENTREGAR = 'CD REGIS', FILIAL_COBRANCA = 'MATRIZ', FILIAL_A_FATURAR = 'CD REGIS' WHERE FORNECEDOR = 'QUEEN'</v>
      </c>
    </row>
    <row r="587" spans="1:5" x14ac:dyDescent="0.25">
      <c r="A587" s="3" t="s">
        <v>1880</v>
      </c>
      <c r="B587" s="3" t="s">
        <v>443</v>
      </c>
      <c r="C587" s="3" t="s">
        <v>1497</v>
      </c>
      <c r="D587" s="3" t="s">
        <v>443</v>
      </c>
      <c r="E587" s="3" t="str">
        <f t="shared" si="9"/>
        <v>UPDATE FORNECEDORES SET FILIAL_A_ENTREGAR = 'CD ARAQUARI', FILIAL_COBRANCA = 'MATRIZ', FILIAL_A_FATURAR = 'CD ARAQUARI' WHERE FORNECEDOR = 'QUEENS'</v>
      </c>
    </row>
    <row r="588" spans="1:5" x14ac:dyDescent="0.25">
      <c r="A588" s="3" t="s">
        <v>1888</v>
      </c>
      <c r="B588" s="3" t="s">
        <v>2492</v>
      </c>
      <c r="C588" s="3" t="s">
        <v>2497</v>
      </c>
      <c r="D588" s="3" t="s">
        <v>2492</v>
      </c>
      <c r="E588" s="3" t="str">
        <f t="shared" si="9"/>
        <v>UPDATE FORNECEDORES SET FILIAL_A_ENTREGAR = 'CD REGIS', FILIAL_COBRANCA = 'TATUAPE', FILIAL_A_FATURAR = 'CD REGIS' WHERE FORNECEDOR = 'R &amp; R MALHAS LTDA - ME'</v>
      </c>
    </row>
    <row r="589" spans="1:5" x14ac:dyDescent="0.25">
      <c r="A589" s="3" t="s">
        <v>1890</v>
      </c>
      <c r="B589" s="3" t="s">
        <v>2498</v>
      </c>
      <c r="C589" s="3" t="s">
        <v>2498</v>
      </c>
      <c r="D589" s="3" t="s">
        <v>2498</v>
      </c>
      <c r="E589" s="3" t="str">
        <f t="shared" si="9"/>
        <v>UPDATE FORNECEDORES SET FILIAL_A_ENTREGAR = 'SP - PARI', FILIAL_COBRANCA = 'SP - PARI', FILIAL_A_FATURAR = 'SP - PARI' WHERE FORNECEDOR = 'R N INSTALACOES'</v>
      </c>
    </row>
    <row r="590" spans="1:5" x14ac:dyDescent="0.25">
      <c r="A590" s="3" t="s">
        <v>1891</v>
      </c>
      <c r="B590" s="3" t="s">
        <v>2492</v>
      </c>
      <c r="C590" s="3" t="s">
        <v>2492</v>
      </c>
      <c r="D590" s="3" t="s">
        <v>2492</v>
      </c>
      <c r="E590" s="3" t="str">
        <f t="shared" si="9"/>
        <v>UPDATE FORNECEDORES SET FILIAL_A_ENTREGAR = 'CD REGIS', FILIAL_COBRANCA = 'CD REGIS', FILIAL_A_FATURAR = 'CD REGIS' WHERE FORNECEDOR = 'R&amp;I SOLUTIONS'</v>
      </c>
    </row>
    <row r="591" spans="1:5" x14ac:dyDescent="0.25">
      <c r="A591" s="3" t="s">
        <v>1895</v>
      </c>
      <c r="B591" s="3" t="s">
        <v>2493</v>
      </c>
      <c r="C591" s="3" t="s">
        <v>2493</v>
      </c>
      <c r="D591" s="3" t="s">
        <v>2493</v>
      </c>
      <c r="E591" s="3" t="str">
        <f t="shared" si="9"/>
        <v>UPDATE FORNECEDORES SET FILIAL_A_ENTREGAR = 'AVANTI- ADM C.CREDITO', FILIAL_COBRANCA = 'AVANTI- ADM C.CREDITO', FILIAL_A_FATURAR = 'AVANTI- ADM C.CREDITO' WHERE FORNECEDOR = 'R.B. QUALITY COMERCIO'</v>
      </c>
    </row>
    <row r="592" spans="1:5" x14ac:dyDescent="0.25">
      <c r="A592" s="3" t="s">
        <v>1897</v>
      </c>
      <c r="B592" s="3" t="s">
        <v>2498</v>
      </c>
      <c r="C592" s="3" t="s">
        <v>2498</v>
      </c>
      <c r="D592" s="3" t="s">
        <v>2498</v>
      </c>
      <c r="E592" s="3" t="str">
        <f t="shared" si="9"/>
        <v>UPDATE FORNECEDORES SET FILIAL_A_ENTREGAR = 'SP - PARI', FILIAL_COBRANCA = 'SP - PARI', FILIAL_A_FATURAR = 'SP - PARI' WHERE FORNECEDOR = 'RA ATIVACAO LTDA'</v>
      </c>
    </row>
    <row r="593" spans="1:5" x14ac:dyDescent="0.25">
      <c r="A593" s="3" t="s">
        <v>1900</v>
      </c>
      <c r="B593" s="3" t="s">
        <v>2492</v>
      </c>
      <c r="C593" s="3" t="s">
        <v>1497</v>
      </c>
      <c r="D593" s="3" t="s">
        <v>2492</v>
      </c>
      <c r="E593" s="3" t="str">
        <f t="shared" si="9"/>
        <v>UPDATE FORNECEDORES SET FILIAL_A_ENTREGAR = 'CD REGIS', FILIAL_COBRANCA = 'MATRIZ', FILIAL_A_FATURAR = 'CD REGIS' WHERE FORNECEDOR = 'RACHELTEX'</v>
      </c>
    </row>
    <row r="594" spans="1:5" x14ac:dyDescent="0.25">
      <c r="A594" s="3" t="s">
        <v>1910</v>
      </c>
      <c r="B594" s="3" t="s">
        <v>2492</v>
      </c>
      <c r="C594" s="3" t="s">
        <v>2497</v>
      </c>
      <c r="D594" s="3" t="s">
        <v>2492</v>
      </c>
      <c r="E594" s="3" t="str">
        <f t="shared" si="9"/>
        <v>UPDATE FORNECEDORES SET FILIAL_A_ENTREGAR = 'CD REGIS', FILIAL_COBRANCA = 'TATUAPE', FILIAL_A_FATURAR = 'CD REGIS' WHERE FORNECEDOR = 'RAFIMEX'</v>
      </c>
    </row>
    <row r="595" spans="1:5" x14ac:dyDescent="0.25">
      <c r="A595" s="3" t="s">
        <v>1911</v>
      </c>
      <c r="B595" s="3" t="s">
        <v>1497</v>
      </c>
      <c r="C595" s="3" t="s">
        <v>1497</v>
      </c>
      <c r="D595" s="3" t="s">
        <v>1497</v>
      </c>
      <c r="E595" s="3" t="str">
        <f t="shared" si="9"/>
        <v>UPDATE FORNECEDORES SET FILIAL_A_ENTREGAR = 'MATRIZ', FILIAL_COBRANCA = 'MATRIZ', FILIAL_A_FATURAR = 'MATRIZ' WHERE FORNECEDOR = 'RAI PUBLICIDADE'</v>
      </c>
    </row>
    <row r="596" spans="1:5" x14ac:dyDescent="0.25">
      <c r="A596" s="3" t="s">
        <v>1912</v>
      </c>
      <c r="B596" s="3" t="s">
        <v>2492</v>
      </c>
      <c r="C596" s="3" t="s">
        <v>1497</v>
      </c>
      <c r="D596" s="3" t="s">
        <v>2492</v>
      </c>
      <c r="E596" s="3" t="str">
        <f t="shared" si="9"/>
        <v>UPDATE FORNECEDORES SET FILIAL_A_ENTREGAR = 'CD REGIS', FILIAL_COBRANCA = 'MATRIZ', FILIAL_A_FATURAR = 'CD REGIS' WHERE FORNECEDOR = 'RAIANY CONFECÇÕES'</v>
      </c>
    </row>
    <row r="597" spans="1:5" x14ac:dyDescent="0.25">
      <c r="A597" s="3" t="s">
        <v>1916</v>
      </c>
      <c r="B597" s="3" t="s">
        <v>2492</v>
      </c>
      <c r="C597" s="3" t="s">
        <v>1497</v>
      </c>
      <c r="D597" s="3" t="s">
        <v>2492</v>
      </c>
      <c r="E597" s="3" t="str">
        <f t="shared" si="9"/>
        <v>UPDATE FORNECEDORES SET FILIAL_A_ENTREGAR = 'CD REGIS', FILIAL_COBRANCA = 'MATRIZ', FILIAL_A_FATURAR = 'CD REGIS' WHERE FORNECEDOR = 'RAISSA RAMOS DIAS - ME'</v>
      </c>
    </row>
    <row r="598" spans="1:5" x14ac:dyDescent="0.25">
      <c r="A598" s="3" t="s">
        <v>1919</v>
      </c>
      <c r="B598" s="3" t="s">
        <v>443</v>
      </c>
      <c r="C598" s="3" t="s">
        <v>1497</v>
      </c>
      <c r="D598" s="3" t="s">
        <v>443</v>
      </c>
      <c r="E598" s="3" t="str">
        <f t="shared" si="9"/>
        <v>UPDATE FORNECEDORES SET FILIAL_A_ENTREGAR = 'CD ARAQUARI', FILIAL_COBRANCA = 'MATRIZ', FILIAL_A_FATURAR = 'CD ARAQUARI' WHERE FORNECEDOR = 'RALA KIDS 2'</v>
      </c>
    </row>
    <row r="599" spans="1:5" x14ac:dyDescent="0.25">
      <c r="A599" s="3" t="s">
        <v>1920</v>
      </c>
      <c r="B599" s="3" t="s">
        <v>1497</v>
      </c>
      <c r="C599" s="3" t="s">
        <v>1497</v>
      </c>
      <c r="D599" s="3" t="s">
        <v>1497</v>
      </c>
      <c r="E599" s="3" t="str">
        <f t="shared" si="9"/>
        <v>UPDATE FORNECEDORES SET FILIAL_A_ENTREGAR = 'MATRIZ', FILIAL_COBRANCA = 'MATRIZ', FILIAL_A_FATURAR = 'MATRIZ' WHERE FORNECEDOR = 'RALCOH ASSESSORIA'</v>
      </c>
    </row>
    <row r="600" spans="1:5" x14ac:dyDescent="0.25">
      <c r="A600" s="3" t="s">
        <v>1921</v>
      </c>
      <c r="B600" s="3" t="s">
        <v>1497</v>
      </c>
      <c r="C600" s="3" t="s">
        <v>1497</v>
      </c>
      <c r="D600" s="3" t="s">
        <v>1497</v>
      </c>
      <c r="E600" s="3" t="str">
        <f t="shared" si="9"/>
        <v>UPDATE FORNECEDORES SET FILIAL_A_ENTREGAR = 'MATRIZ', FILIAL_COBRANCA = 'MATRIZ', FILIAL_A_FATURAR = 'MATRIZ' WHERE FORNECEDOR = 'RAMATEL COMERCIO E SERV'</v>
      </c>
    </row>
    <row r="601" spans="1:5" x14ac:dyDescent="0.25">
      <c r="A601" s="3" t="s">
        <v>1923</v>
      </c>
      <c r="B601" s="3" t="s">
        <v>2514</v>
      </c>
      <c r="C601" s="3" t="s">
        <v>2514</v>
      </c>
      <c r="D601" s="3" t="s">
        <v>2514</v>
      </c>
      <c r="E601" s="3" t="str">
        <f t="shared" si="9"/>
        <v>UPDATE FORNECEDORES SET FILIAL_A_ENTREGAR = 'PIRASSUNUNGA', FILIAL_COBRANCA = 'PIRASSUNUNGA', FILIAL_A_FATURAR = 'PIRASSUNUNGA' WHERE FORNECEDOR = 'RAMOSKA &amp; CASTELLANI PROJ'</v>
      </c>
    </row>
    <row r="602" spans="1:5" x14ac:dyDescent="0.25">
      <c r="A602" s="3" t="s">
        <v>1925</v>
      </c>
      <c r="B602" s="3" t="s">
        <v>2498</v>
      </c>
      <c r="C602" s="3" t="s">
        <v>2498</v>
      </c>
      <c r="D602" s="3" t="s">
        <v>2498</v>
      </c>
      <c r="E602" s="3" t="str">
        <f t="shared" si="9"/>
        <v>UPDATE FORNECEDORES SET FILIAL_A_ENTREGAR = 'SP - PARI', FILIAL_COBRANCA = 'SP - PARI', FILIAL_A_FATURAR = 'SP - PARI' WHERE FORNECEDOR = 'RARV COM MATS ELETRICOS'</v>
      </c>
    </row>
    <row r="603" spans="1:5" x14ac:dyDescent="0.25">
      <c r="A603" s="3" t="s">
        <v>1932</v>
      </c>
      <c r="B603" s="3" t="s">
        <v>2498</v>
      </c>
      <c r="C603" s="3" t="s">
        <v>2498</v>
      </c>
      <c r="D603" s="3" t="s">
        <v>2498</v>
      </c>
      <c r="E603" s="3" t="str">
        <f t="shared" si="9"/>
        <v>UPDATE FORNECEDORES SET FILIAL_A_ENTREGAR = 'SP - PARI', FILIAL_COBRANCA = 'SP - PARI', FILIAL_A_FATURAR = 'SP - PARI' WHERE FORNECEDOR = 'REALTIME COMERCIO'</v>
      </c>
    </row>
    <row r="604" spans="1:5" x14ac:dyDescent="0.25">
      <c r="A604" s="3" t="s">
        <v>1933</v>
      </c>
      <c r="B604" s="3" t="s">
        <v>443</v>
      </c>
      <c r="C604" s="3" t="s">
        <v>2497</v>
      </c>
      <c r="D604" s="3" t="s">
        <v>443</v>
      </c>
      <c r="E604" s="3" t="str">
        <f t="shared" si="9"/>
        <v>UPDATE FORNECEDORES SET FILIAL_A_ENTREGAR = 'CD ARAQUARI', FILIAL_COBRANCA = 'TATUAPE', FILIAL_A_FATURAR = 'CD ARAQUARI' WHERE FORNECEDOR = 'REATIVA'</v>
      </c>
    </row>
    <row r="605" spans="1:5" x14ac:dyDescent="0.25">
      <c r="A605" s="3" t="s">
        <v>1935</v>
      </c>
      <c r="B605" s="3" t="s">
        <v>2492</v>
      </c>
      <c r="C605" s="3" t="s">
        <v>1497</v>
      </c>
      <c r="D605" s="3" t="s">
        <v>2492</v>
      </c>
      <c r="E605" s="3" t="str">
        <f t="shared" si="9"/>
        <v>UPDATE FORNECEDORES SET FILIAL_A_ENTREGAR = 'CD REGIS', FILIAL_COBRANCA = 'MATRIZ', FILIAL_A_FATURAR = 'CD REGIS' WHERE FORNECEDOR = 'RECORDI REPRESENTACAO COM'</v>
      </c>
    </row>
    <row r="606" spans="1:5" x14ac:dyDescent="0.25">
      <c r="A606" s="3" t="s">
        <v>1941</v>
      </c>
      <c r="B606" s="3" t="s">
        <v>2492</v>
      </c>
      <c r="C606" s="3" t="s">
        <v>1497</v>
      </c>
      <c r="D606" s="3" t="s">
        <v>2492</v>
      </c>
      <c r="E606" s="3" t="str">
        <f t="shared" si="9"/>
        <v>UPDATE FORNECEDORES SET FILIAL_A_ENTREGAR = 'CD REGIS', FILIAL_COBRANCA = 'MATRIZ', FILIAL_A_FATURAR = 'CD REGIS' WHERE FORNECEDOR = 'REGINALDO FERNANDES FERRE'</v>
      </c>
    </row>
    <row r="607" spans="1:5" x14ac:dyDescent="0.25">
      <c r="A607" s="3" t="s">
        <v>1943</v>
      </c>
      <c r="B607" s="3" t="s">
        <v>443</v>
      </c>
      <c r="C607" s="3" t="s">
        <v>1497</v>
      </c>
      <c r="D607" s="3" t="s">
        <v>443</v>
      </c>
      <c r="E607" s="3" t="str">
        <f t="shared" si="9"/>
        <v>UPDATE FORNECEDORES SET FILIAL_A_ENTREGAR = 'CD ARAQUARI', FILIAL_COBRANCA = 'MATRIZ', FILIAL_A_FATURAR = 'CD ARAQUARI' WHERE FORNECEDOR = 'REISUL'</v>
      </c>
    </row>
    <row r="608" spans="1:5" x14ac:dyDescent="0.25">
      <c r="A608" s="3" t="s">
        <v>1944</v>
      </c>
      <c r="B608" s="3" t="s">
        <v>2492</v>
      </c>
      <c r="C608" s="3" t="s">
        <v>1497</v>
      </c>
      <c r="D608" s="3" t="s">
        <v>2492</v>
      </c>
      <c r="E608" s="3" t="str">
        <f t="shared" si="9"/>
        <v>UPDATE FORNECEDORES SET FILIAL_A_ENTREGAR = 'CD REGIS', FILIAL_COBRANCA = 'MATRIZ', FILIAL_A_FATURAR = 'CD REGIS' WHERE FORNECEDOR = 'RELUANA'</v>
      </c>
    </row>
    <row r="609" spans="1:5" x14ac:dyDescent="0.25">
      <c r="A609" s="3" t="s">
        <v>1946</v>
      </c>
      <c r="B609" s="3" t="s">
        <v>2494</v>
      </c>
      <c r="C609" s="3" t="s">
        <v>2494</v>
      </c>
      <c r="D609" s="3" t="s">
        <v>2494</v>
      </c>
      <c r="E609" s="3" t="str">
        <f t="shared" si="9"/>
        <v>UPDATE FORNECEDORES SET FILIAL_A_ENTREGAR = 'ANPPLA', FILIAL_COBRANCA = 'ANPPLA', FILIAL_A_FATURAR = 'ANPPLA' WHERE FORNECEDOR = 'RENACAR SERV DE ORG LTDA'</v>
      </c>
    </row>
    <row r="610" spans="1:5" x14ac:dyDescent="0.25">
      <c r="A610" s="3" t="s">
        <v>1952</v>
      </c>
      <c r="B610" s="3" t="s">
        <v>2492</v>
      </c>
      <c r="C610" s="3" t="s">
        <v>1497</v>
      </c>
      <c r="D610" s="3" t="s">
        <v>2492</v>
      </c>
      <c r="E610" s="3" t="str">
        <f t="shared" si="9"/>
        <v>UPDATE FORNECEDORES SET FILIAL_A_ENTREGAR = 'CD REGIS', FILIAL_COBRANCA = 'MATRIZ', FILIAL_A_FATURAR = 'CD REGIS' WHERE FORNECEDOR = 'REPUBLICA DO SOL'</v>
      </c>
    </row>
    <row r="611" spans="1:5" x14ac:dyDescent="0.25">
      <c r="A611" s="3" t="s">
        <v>1955</v>
      </c>
      <c r="B611" s="3" t="s">
        <v>2498</v>
      </c>
      <c r="C611" s="3" t="s">
        <v>2498</v>
      </c>
      <c r="D611" s="3" t="s">
        <v>2498</v>
      </c>
      <c r="E611" s="3" t="str">
        <f t="shared" si="9"/>
        <v>UPDATE FORNECEDORES SET FILIAL_A_ENTREGAR = 'SP - PARI', FILIAL_COBRANCA = 'SP - PARI', FILIAL_A_FATURAR = 'SP - PARI' WHERE FORNECEDOR = 'RESTAURANTE CAMPESTRE'</v>
      </c>
    </row>
    <row r="612" spans="1:5" x14ac:dyDescent="0.25">
      <c r="A612" s="3" t="s">
        <v>1964</v>
      </c>
      <c r="B612" s="3" t="s">
        <v>2492</v>
      </c>
      <c r="C612" s="3" t="s">
        <v>2492</v>
      </c>
      <c r="D612" s="3" t="s">
        <v>2492</v>
      </c>
      <c r="E612" s="3" t="str">
        <f t="shared" si="9"/>
        <v>UPDATE FORNECEDORES SET FILIAL_A_ENTREGAR = 'CD REGIS', FILIAL_COBRANCA = 'CD REGIS', FILIAL_A_FATURAR = 'CD REGIS' WHERE FORNECEDOR = 'RIO BRANCO'</v>
      </c>
    </row>
    <row r="613" spans="1:5" x14ac:dyDescent="0.25">
      <c r="A613" s="3" t="s">
        <v>1965</v>
      </c>
      <c r="B613" s="3" t="s">
        <v>2492</v>
      </c>
      <c r="C613" s="3" t="s">
        <v>2492</v>
      </c>
      <c r="D613" s="3" t="s">
        <v>2492</v>
      </c>
      <c r="E613" s="3" t="str">
        <f t="shared" si="9"/>
        <v>UPDATE FORNECEDORES SET FILIAL_A_ENTREGAR = 'CD REGIS', FILIAL_COBRANCA = 'CD REGIS', FILIAL_A_FATURAR = 'CD REGIS' WHERE FORNECEDOR = 'RIO BRANCO COM DE PAPEIS'</v>
      </c>
    </row>
    <row r="614" spans="1:5" x14ac:dyDescent="0.25">
      <c r="A614" s="3" t="s">
        <v>1966</v>
      </c>
      <c r="B614" s="3" t="s">
        <v>2492</v>
      </c>
      <c r="C614" s="3" t="s">
        <v>2492</v>
      </c>
      <c r="D614" s="3" t="s">
        <v>2492</v>
      </c>
      <c r="E614" s="3" t="str">
        <f t="shared" si="9"/>
        <v>UPDATE FORNECEDORES SET FILIAL_A_ENTREGAR = 'CD REGIS', FILIAL_COBRANCA = 'CD REGIS', FILIAL_A_FATURAR = 'CD REGIS' WHERE FORNECEDOR = 'RIO BRANCO PAPEIS'</v>
      </c>
    </row>
    <row r="615" spans="1:5" x14ac:dyDescent="0.25">
      <c r="A615" s="3" t="s">
        <v>1968</v>
      </c>
      <c r="B615" s="3" t="s">
        <v>2492</v>
      </c>
      <c r="C615" s="3" t="s">
        <v>2492</v>
      </c>
      <c r="D615" s="3" t="s">
        <v>2492</v>
      </c>
      <c r="E615" s="3" t="str">
        <f t="shared" si="9"/>
        <v>UPDATE FORNECEDORES SET FILIAL_A_ENTREGAR = 'CD REGIS', FILIAL_COBRANCA = 'CD REGIS', FILIAL_A_FATURAR = 'CD REGIS' WHERE FORNECEDOR = 'RIOPACK INDUSTRIA'</v>
      </c>
    </row>
    <row r="616" spans="1:5" x14ac:dyDescent="0.25">
      <c r="A616" s="3" t="s">
        <v>1969</v>
      </c>
      <c r="B616" s="3" t="s">
        <v>2492</v>
      </c>
      <c r="C616" s="3" t="s">
        <v>2492</v>
      </c>
      <c r="D616" s="3" t="s">
        <v>2492</v>
      </c>
      <c r="E616" s="3" t="str">
        <f t="shared" si="9"/>
        <v>UPDATE FORNECEDORES SET FILIAL_A_ENTREGAR = 'CD REGIS', FILIAL_COBRANCA = 'CD REGIS', FILIAL_A_FATURAR = 'CD REGIS' WHERE FORNECEDOR = 'RIOPLASTIC'</v>
      </c>
    </row>
    <row r="617" spans="1:5" x14ac:dyDescent="0.25">
      <c r="A617" s="3" t="s">
        <v>1970</v>
      </c>
      <c r="B617" s="3" t="s">
        <v>2492</v>
      </c>
      <c r="C617" s="3" t="s">
        <v>2497</v>
      </c>
      <c r="D617" s="3" t="s">
        <v>2492</v>
      </c>
      <c r="E617" s="3" t="str">
        <f t="shared" si="9"/>
        <v>UPDATE FORNECEDORES SET FILIAL_A_ENTREGAR = 'CD REGIS', FILIAL_COBRANCA = 'TATUAPE', FILIAL_A_FATURAR = 'CD REGIS' WHERE FORNECEDOR = 'RIPSEA'</v>
      </c>
    </row>
    <row r="618" spans="1:5" x14ac:dyDescent="0.25">
      <c r="A618" s="3" t="s">
        <v>1975</v>
      </c>
      <c r="B618" s="3" t="s">
        <v>2492</v>
      </c>
      <c r="C618" s="3" t="s">
        <v>2492</v>
      </c>
      <c r="D618" s="3" t="s">
        <v>2492</v>
      </c>
      <c r="E618" s="3" t="str">
        <f t="shared" si="9"/>
        <v>UPDATE FORNECEDORES SET FILIAL_A_ENTREGAR = 'CD REGIS', FILIAL_COBRANCA = 'CD REGIS', FILIAL_A_FATURAR = 'CD REGIS' WHERE FORNECEDOR = 'RME - TANAKA'</v>
      </c>
    </row>
    <row r="619" spans="1:5" x14ac:dyDescent="0.25">
      <c r="A619" s="3" t="s">
        <v>1981</v>
      </c>
      <c r="B619" s="3" t="s">
        <v>2492</v>
      </c>
      <c r="C619" s="3" t="s">
        <v>1497</v>
      </c>
      <c r="D619" s="3" t="s">
        <v>2492</v>
      </c>
      <c r="E619" s="3" t="str">
        <f t="shared" si="9"/>
        <v>UPDATE FORNECEDORES SET FILIAL_A_ENTREGAR = 'CD REGIS', FILIAL_COBRANCA = 'MATRIZ', FILIAL_A_FATURAR = 'CD REGIS' WHERE FORNECEDOR = 'ROCKFORD'</v>
      </c>
    </row>
    <row r="620" spans="1:5" x14ac:dyDescent="0.25">
      <c r="A620" s="3" t="s">
        <v>1982</v>
      </c>
      <c r="B620" s="3" t="s">
        <v>2492</v>
      </c>
      <c r="C620" s="3" t="s">
        <v>2492</v>
      </c>
      <c r="D620" s="3" t="s">
        <v>2492</v>
      </c>
      <c r="E620" s="3" t="str">
        <f t="shared" si="9"/>
        <v>UPDATE FORNECEDORES SET FILIAL_A_ENTREGAR = 'CD REGIS', FILIAL_COBRANCA = 'CD REGIS', FILIAL_A_FATURAR = 'CD REGIS' WHERE FORNECEDOR = 'RODOLFO BELLEZZA JUNIOR'</v>
      </c>
    </row>
    <row r="621" spans="1:5" x14ac:dyDescent="0.25">
      <c r="A621" s="3" t="s">
        <v>1984</v>
      </c>
      <c r="B621" s="3" t="s">
        <v>1497</v>
      </c>
      <c r="C621" s="3" t="s">
        <v>1497</v>
      </c>
      <c r="D621" s="3" t="s">
        <v>1497</v>
      </c>
      <c r="E621" s="3" t="str">
        <f t="shared" si="9"/>
        <v>UPDATE FORNECEDORES SET FILIAL_A_ENTREGAR = 'MATRIZ', FILIAL_COBRANCA = 'MATRIZ', FILIAL_A_FATURAR = 'MATRIZ' WHERE FORNECEDOR = 'RODRIGUES SISTEMAS'</v>
      </c>
    </row>
    <row r="622" spans="1:5" x14ac:dyDescent="0.25">
      <c r="A622" s="3" t="s">
        <v>1987</v>
      </c>
      <c r="B622" s="3" t="s">
        <v>2492</v>
      </c>
      <c r="C622" s="3" t="s">
        <v>2492</v>
      </c>
      <c r="D622" s="3" t="s">
        <v>2492</v>
      </c>
      <c r="E622" s="3" t="str">
        <f t="shared" si="9"/>
        <v>UPDATE FORNECEDORES SET FILIAL_A_ENTREGAR = 'CD REGIS', FILIAL_COBRANCA = 'CD REGIS', FILIAL_A_FATURAR = 'CD REGIS' WHERE FORNECEDOR = 'ROMAPAK'</v>
      </c>
    </row>
    <row r="623" spans="1:5" x14ac:dyDescent="0.25">
      <c r="A623" s="3" t="s">
        <v>1992</v>
      </c>
      <c r="B623" s="3" t="s">
        <v>2492</v>
      </c>
      <c r="C623" s="3" t="s">
        <v>2492</v>
      </c>
      <c r="D623" s="3" t="s">
        <v>2492</v>
      </c>
      <c r="E623" s="3" t="str">
        <f t="shared" si="9"/>
        <v>UPDATE FORNECEDORES SET FILIAL_A_ENTREGAR = 'CD REGIS', FILIAL_COBRANCA = 'CD REGIS', FILIAL_A_FATURAR = 'CD REGIS' WHERE FORNECEDOR = 'ROSA EMILIA'</v>
      </c>
    </row>
    <row r="624" spans="1:5" x14ac:dyDescent="0.25">
      <c r="A624" s="3" t="s">
        <v>1993</v>
      </c>
      <c r="B624" s="3" t="s">
        <v>444</v>
      </c>
      <c r="C624" s="3" t="s">
        <v>1497</v>
      </c>
      <c r="D624" s="3" t="s">
        <v>444</v>
      </c>
      <c r="E624" s="3" t="str">
        <f t="shared" si="9"/>
        <v>UPDATE FORNECEDORES SET FILIAL_A_ENTREGAR = 'CD NAVEGANTES', FILIAL_COBRANCA = 'MATRIZ', FILIAL_A_FATURAR = 'CD NAVEGANTES' WHERE FORNECEDOR = 'ROSA MARIA'</v>
      </c>
    </row>
    <row r="625" spans="1:5" x14ac:dyDescent="0.25">
      <c r="A625" s="3" t="s">
        <v>1997</v>
      </c>
      <c r="B625" s="3" t="s">
        <v>2492</v>
      </c>
      <c r="C625" s="3" t="s">
        <v>2497</v>
      </c>
      <c r="D625" s="3" t="s">
        <v>2492</v>
      </c>
      <c r="E625" s="3" t="str">
        <f t="shared" si="9"/>
        <v>UPDATE FORNECEDORES SET FILIAL_A_ENTREGAR = 'CD REGIS', FILIAL_COBRANCA = 'TATUAPE', FILIAL_A_FATURAR = 'CD REGIS' WHERE FORNECEDOR = 'ROSE FEIJAO'</v>
      </c>
    </row>
    <row r="626" spans="1:5" x14ac:dyDescent="0.25">
      <c r="A626" s="3" t="s">
        <v>2002</v>
      </c>
      <c r="B626" s="3" t="s">
        <v>1497</v>
      </c>
      <c r="C626" s="3" t="s">
        <v>1497</v>
      </c>
      <c r="D626" s="3" t="s">
        <v>1497</v>
      </c>
      <c r="E626" s="3" t="str">
        <f t="shared" si="9"/>
        <v>UPDATE FORNECEDORES SET FILIAL_A_ENTREGAR = 'MATRIZ', FILIAL_COBRANCA = 'MATRIZ', FILIAL_A_FATURAR = 'MATRIZ' WHERE FORNECEDOR = 'ROTEC'</v>
      </c>
    </row>
    <row r="627" spans="1:5" x14ac:dyDescent="0.25">
      <c r="A627" s="3" t="s">
        <v>2005</v>
      </c>
      <c r="B627" s="3" t="s">
        <v>2493</v>
      </c>
      <c r="C627" s="3" t="s">
        <v>2493</v>
      </c>
      <c r="D627" s="3" t="s">
        <v>2493</v>
      </c>
      <c r="E627" s="3" t="str">
        <f t="shared" si="9"/>
        <v>UPDATE FORNECEDORES SET FILIAL_A_ENTREGAR = 'AVANTI- ADM C.CREDITO', FILIAL_COBRANCA = 'AVANTI- ADM C.CREDITO', FILIAL_A_FATURAR = 'AVANTI- ADM C.CREDITO' WHERE FORNECEDOR = 'RR COBRANCA'</v>
      </c>
    </row>
    <row r="628" spans="1:5" x14ac:dyDescent="0.25">
      <c r="A628" s="3" t="s">
        <v>2008</v>
      </c>
      <c r="B628" s="3" t="s">
        <v>2520</v>
      </c>
      <c r="C628" s="3" t="s">
        <v>2520</v>
      </c>
      <c r="D628" s="3" t="s">
        <v>2520</v>
      </c>
      <c r="E628" s="3" t="str">
        <f t="shared" si="9"/>
        <v>UPDATE FORNECEDORES SET FILIAL_A_ENTREGAR = 'CARAGUATATUBA', FILIAL_COBRANCA = 'CARAGUATATUBA', FILIAL_A_FATURAR = 'CARAGUATATUBA' WHERE FORNECEDOR = 'RTA AR CONDICIONADO'</v>
      </c>
    </row>
    <row r="629" spans="1:5" x14ac:dyDescent="0.25">
      <c r="A629" s="3" t="s">
        <v>2010</v>
      </c>
      <c r="B629" s="3" t="s">
        <v>2498</v>
      </c>
      <c r="C629" s="3" t="s">
        <v>2498</v>
      </c>
      <c r="D629" s="3" t="s">
        <v>2498</v>
      </c>
      <c r="E629" s="3" t="str">
        <f t="shared" si="9"/>
        <v>UPDATE FORNECEDORES SET FILIAL_A_ENTREGAR = 'SP - PARI', FILIAL_COBRANCA = 'SP - PARI', FILIAL_A_FATURAR = 'SP - PARI' WHERE FORNECEDOR = 'S M &amp; R ARQUITETOS'</v>
      </c>
    </row>
    <row r="630" spans="1:5" x14ac:dyDescent="0.25">
      <c r="A630" s="3" t="s">
        <v>2012</v>
      </c>
      <c r="B630" s="3" t="s">
        <v>443</v>
      </c>
      <c r="C630" s="3" t="s">
        <v>1497</v>
      </c>
      <c r="D630" s="3" t="s">
        <v>443</v>
      </c>
      <c r="E630" s="3" t="str">
        <f t="shared" si="9"/>
        <v>UPDATE FORNECEDORES SET FILIAL_A_ENTREGAR = 'CD ARAQUARI', FILIAL_COBRANCA = 'MATRIZ', FILIAL_A_FATURAR = 'CD ARAQUARI' WHERE FORNECEDOR = 'S4 CONFECÇÕES LTDA ME'</v>
      </c>
    </row>
    <row r="631" spans="1:5" x14ac:dyDescent="0.25">
      <c r="A631" s="3" t="s">
        <v>2013</v>
      </c>
      <c r="B631" s="3" t="s">
        <v>2526</v>
      </c>
      <c r="C631" s="3" t="s">
        <v>2526</v>
      </c>
      <c r="D631" s="3" t="s">
        <v>2526</v>
      </c>
      <c r="E631" s="3" t="str">
        <f t="shared" si="9"/>
        <v>UPDATE FORNECEDORES SET FILIAL_A_ENTREGAR = 'FRANCISCO MORATO', FILIAL_COBRANCA = 'FRANCISCO MORATO', FILIAL_A_FATURAR = 'FRANCISCO MORATO' WHERE FORNECEDOR = 'SABESP'</v>
      </c>
    </row>
    <row r="632" spans="1:5" x14ac:dyDescent="0.25">
      <c r="A632" s="3" t="s">
        <v>2014</v>
      </c>
      <c r="B632" s="3" t="s">
        <v>2492</v>
      </c>
      <c r="C632" s="3" t="s">
        <v>1497</v>
      </c>
      <c r="D632" s="3" t="s">
        <v>2492</v>
      </c>
      <c r="E632" s="3" t="str">
        <f t="shared" si="9"/>
        <v>UPDATE FORNECEDORES SET FILIAL_A_ENTREGAR = 'CD REGIS', FILIAL_COBRANCA = 'MATRIZ', FILIAL_A_FATURAR = 'CD REGIS' WHERE FORNECEDOR = 'SAES &amp; CIA TRICO'</v>
      </c>
    </row>
    <row r="633" spans="1:5" x14ac:dyDescent="0.25">
      <c r="A633" s="3" t="s">
        <v>2016</v>
      </c>
      <c r="B633" s="3" t="s">
        <v>2492</v>
      </c>
      <c r="C633" s="3" t="s">
        <v>1497</v>
      </c>
      <c r="D633" s="3" t="s">
        <v>2492</v>
      </c>
      <c r="E633" s="3" t="str">
        <f t="shared" si="9"/>
        <v>UPDATE FORNECEDORES SET FILIAL_A_ENTREGAR = 'CD REGIS', FILIAL_COBRANCA = 'MATRIZ', FILIAL_A_FATURAR = 'CD REGIS' WHERE FORNECEDOR = 'SAINT MARIE'</v>
      </c>
    </row>
    <row r="634" spans="1:5" x14ac:dyDescent="0.25">
      <c r="A634" s="3" t="s">
        <v>2022</v>
      </c>
      <c r="B634" s="3" t="s">
        <v>2492</v>
      </c>
      <c r="C634" s="3" t="s">
        <v>1497</v>
      </c>
      <c r="D634" s="3" t="s">
        <v>2492</v>
      </c>
      <c r="E634" s="3" t="str">
        <f t="shared" si="9"/>
        <v>UPDATE FORNECEDORES SET FILIAL_A_ENTREGAR = 'CD REGIS', FILIAL_COBRANCA = 'MATRIZ', FILIAL_A_FATURAR = 'CD REGIS' WHERE FORNECEDOR = 'SAMGY'</v>
      </c>
    </row>
    <row r="635" spans="1:5" x14ac:dyDescent="0.25">
      <c r="A635" s="3" t="s">
        <v>2025</v>
      </c>
      <c r="B635" s="3" t="s">
        <v>2492</v>
      </c>
      <c r="C635" s="3" t="s">
        <v>1497</v>
      </c>
      <c r="D635" s="3" t="s">
        <v>2492</v>
      </c>
      <c r="E635" s="3" t="str">
        <f t="shared" si="9"/>
        <v>UPDATE FORNECEDORES SET FILIAL_A_ENTREGAR = 'CD REGIS', FILIAL_COBRANCA = 'MATRIZ', FILIAL_A_FATURAR = 'CD REGIS' WHERE FORNECEDOR = 'SANDER CONF.'</v>
      </c>
    </row>
    <row r="636" spans="1:5" x14ac:dyDescent="0.25">
      <c r="A636" s="3" t="s">
        <v>2027</v>
      </c>
      <c r="B636" s="3" t="s">
        <v>1497</v>
      </c>
      <c r="C636" s="3" t="s">
        <v>1497</v>
      </c>
      <c r="D636" s="3" t="s">
        <v>1497</v>
      </c>
      <c r="E636" s="3" t="str">
        <f t="shared" si="9"/>
        <v>UPDATE FORNECEDORES SET FILIAL_A_ENTREGAR = 'MATRIZ', FILIAL_COBRANCA = 'MATRIZ', FILIAL_A_FATURAR = 'MATRIZ' WHERE FORNECEDOR = 'SANDRA YAYOI ONO INF LTDA'</v>
      </c>
    </row>
    <row r="637" spans="1:5" x14ac:dyDescent="0.25">
      <c r="A637" s="3" t="s">
        <v>2034</v>
      </c>
      <c r="B637" s="3" t="s">
        <v>2492</v>
      </c>
      <c r="C637" s="3" t="s">
        <v>1497</v>
      </c>
      <c r="D637" s="3" t="s">
        <v>2492</v>
      </c>
      <c r="E637" s="3" t="str">
        <f t="shared" si="9"/>
        <v>UPDATE FORNECEDORES SET FILIAL_A_ENTREGAR = 'CD REGIS', FILIAL_COBRANCA = 'MATRIZ', FILIAL_A_FATURAR = 'CD REGIS' WHERE FORNECEDOR = 'SANTO EXPEDITO'</v>
      </c>
    </row>
    <row r="638" spans="1:5" x14ac:dyDescent="0.25">
      <c r="A638" s="3" t="s">
        <v>2040</v>
      </c>
      <c r="B638" s="3" t="s">
        <v>2492</v>
      </c>
      <c r="C638" s="3" t="s">
        <v>1497</v>
      </c>
      <c r="D638" s="3" t="s">
        <v>2492</v>
      </c>
      <c r="E638" s="3" t="str">
        <f t="shared" si="9"/>
        <v>UPDATE FORNECEDORES SET FILIAL_A_ENTREGAR = 'CD REGIS', FILIAL_COBRANCA = 'MATRIZ', FILIAL_A_FATURAR = 'CD REGIS' WHERE FORNECEDOR = 'SARA'</v>
      </c>
    </row>
    <row r="639" spans="1:5" x14ac:dyDescent="0.25">
      <c r="A639" s="3" t="s">
        <v>2042</v>
      </c>
      <c r="B639" s="3" t="s">
        <v>2492</v>
      </c>
      <c r="C639" s="3" t="s">
        <v>2492</v>
      </c>
      <c r="D639" s="3" t="s">
        <v>2492</v>
      </c>
      <c r="E639" s="3" t="str">
        <f t="shared" si="9"/>
        <v>UPDATE FORNECEDORES SET FILIAL_A_ENTREGAR = 'CD REGIS', FILIAL_COBRANCA = 'CD REGIS', FILIAL_A_FATURAR = 'CD REGIS' WHERE FORNECEDOR = 'SARPLAST'</v>
      </c>
    </row>
    <row r="640" spans="1:5" x14ac:dyDescent="0.25">
      <c r="A640" s="3" t="s">
        <v>2044</v>
      </c>
      <c r="B640" s="3" t="s">
        <v>2492</v>
      </c>
      <c r="C640" s="3" t="s">
        <v>2497</v>
      </c>
      <c r="D640" s="3" t="s">
        <v>2492</v>
      </c>
      <c r="E640" s="3" t="str">
        <f t="shared" si="9"/>
        <v>UPDATE FORNECEDORES SET FILIAL_A_ENTREGAR = 'CD REGIS', FILIAL_COBRANCA = 'TATUAPE', FILIAL_A_FATURAR = 'CD REGIS' WHERE FORNECEDOR = 'SAWARY'</v>
      </c>
    </row>
    <row r="641" spans="1:5" x14ac:dyDescent="0.25">
      <c r="A641" s="3" t="s">
        <v>2045</v>
      </c>
      <c r="B641" s="3" t="s">
        <v>2492</v>
      </c>
      <c r="C641" s="3" t="s">
        <v>1497</v>
      </c>
      <c r="D641" s="3" t="s">
        <v>2492</v>
      </c>
      <c r="E641" s="3" t="str">
        <f t="shared" si="9"/>
        <v>UPDATE FORNECEDORES SET FILIAL_A_ENTREGAR = 'CD REGIS', FILIAL_COBRANCA = 'MATRIZ', FILIAL_A_FATURAR = 'CD REGIS' WHERE FORNECEDOR = 'SAWARY 2'</v>
      </c>
    </row>
    <row r="642" spans="1:5" x14ac:dyDescent="0.25">
      <c r="A642" s="3" t="s">
        <v>2046</v>
      </c>
      <c r="B642" s="3" t="s">
        <v>2492</v>
      </c>
      <c r="C642" s="3" t="s">
        <v>2497</v>
      </c>
      <c r="D642" s="3" t="s">
        <v>2492</v>
      </c>
      <c r="E642" s="3" t="str">
        <f t="shared" si="9"/>
        <v>UPDATE FORNECEDORES SET FILIAL_A_ENTREGAR = 'CD REGIS', FILIAL_COBRANCA = 'TATUAPE', FILIAL_A_FATURAR = 'CD REGIS' WHERE FORNECEDOR = 'SBA'</v>
      </c>
    </row>
    <row r="643" spans="1:5" x14ac:dyDescent="0.25">
      <c r="A643" s="3" t="s">
        <v>2047</v>
      </c>
      <c r="B643" s="3" t="s">
        <v>1497</v>
      </c>
      <c r="C643" s="3" t="s">
        <v>1497</v>
      </c>
      <c r="D643" s="3" t="s">
        <v>1497</v>
      </c>
      <c r="E643" s="3" t="str">
        <f t="shared" si="9"/>
        <v>UPDATE FORNECEDORES SET FILIAL_A_ENTREGAR = 'MATRIZ', FILIAL_COBRANCA = 'MATRIZ', FILIAL_A_FATURAR = 'MATRIZ' WHERE FORNECEDOR = 'SCAN SOURCE PR'</v>
      </c>
    </row>
    <row r="644" spans="1:5" x14ac:dyDescent="0.25">
      <c r="A644" s="3" t="s">
        <v>2056</v>
      </c>
      <c r="B644" s="3" t="s">
        <v>443</v>
      </c>
      <c r="C644" s="3" t="s">
        <v>1497</v>
      </c>
      <c r="D644" s="3" t="s">
        <v>443</v>
      </c>
      <c r="E644" s="3" t="str">
        <f t="shared" si="9"/>
        <v>UPDATE FORNECEDORES SET FILIAL_A_ENTREGAR = 'CD ARAQUARI', FILIAL_COBRANCA = 'MATRIZ', FILIAL_A_FATURAR = 'CD ARAQUARI' WHERE FORNECEDOR = 'SEA BRAZIL'</v>
      </c>
    </row>
    <row r="645" spans="1:5" x14ac:dyDescent="0.25">
      <c r="A645" s="3" t="s">
        <v>2058</v>
      </c>
      <c r="B645" s="3" t="s">
        <v>2492</v>
      </c>
      <c r="C645" s="3" t="s">
        <v>1497</v>
      </c>
      <c r="D645" s="3" t="s">
        <v>2492</v>
      </c>
      <c r="E645" s="3" t="str">
        <f t="shared" ref="E645:E708" si="10">"UPDATE FORNECEDORES SET FILIAL_A_ENTREGAR = '"&amp;B645&amp;"', FILIAL_COBRANCA = '"&amp;C645&amp;"', FILIAL_A_FATURAR = '"&amp;D645&amp;"' WHERE FORNECEDOR = '"&amp;A645&amp;"'"</f>
        <v>UPDATE FORNECEDORES SET FILIAL_A_ENTREGAR = 'CD REGIS', FILIAL_COBRANCA = 'MATRIZ', FILIAL_A_FATURAR = 'CD REGIS' WHERE FORNECEDOR = 'SEA MONG'</v>
      </c>
    </row>
    <row r="646" spans="1:5" x14ac:dyDescent="0.25">
      <c r="A646" s="3" t="s">
        <v>2059</v>
      </c>
      <c r="B646" s="3" t="s">
        <v>2492</v>
      </c>
      <c r="C646" s="3" t="s">
        <v>1497</v>
      </c>
      <c r="D646" s="3" t="s">
        <v>2492</v>
      </c>
      <c r="E646" s="3" t="str">
        <f t="shared" si="10"/>
        <v>UPDATE FORNECEDORES SET FILIAL_A_ENTREGAR = 'CD REGIS', FILIAL_COBRANCA = 'MATRIZ', FILIAL_A_FATURAR = 'CD REGIS' WHERE FORNECEDOR = 'SEA PORT'</v>
      </c>
    </row>
    <row r="647" spans="1:5" x14ac:dyDescent="0.25">
      <c r="A647" s="3" t="s">
        <v>2060</v>
      </c>
      <c r="B647" s="3" t="s">
        <v>443</v>
      </c>
      <c r="C647" s="3" t="s">
        <v>1497</v>
      </c>
      <c r="D647" s="3" t="s">
        <v>443</v>
      </c>
      <c r="E647" s="3" t="str">
        <f t="shared" si="10"/>
        <v>UPDATE FORNECEDORES SET FILIAL_A_ENTREGAR = 'CD ARAQUARI', FILIAL_COBRANCA = 'MATRIZ', FILIAL_A_FATURAR = 'CD ARAQUARI' WHERE FORNECEDOR = 'SEA TEXTIL'</v>
      </c>
    </row>
    <row r="648" spans="1:5" x14ac:dyDescent="0.25">
      <c r="A648" s="3" t="s">
        <v>2062</v>
      </c>
      <c r="B648" s="3" t="s">
        <v>2498</v>
      </c>
      <c r="C648" s="3" t="s">
        <v>2498</v>
      </c>
      <c r="D648" s="3" t="s">
        <v>2498</v>
      </c>
      <c r="E648" s="3" t="str">
        <f t="shared" si="10"/>
        <v>UPDATE FORNECEDORES SET FILIAL_A_ENTREGAR = 'SP - PARI', FILIAL_COBRANCA = 'SP - PARI', FILIAL_A_FATURAR = 'SP - PARI' WHERE FORNECEDOR = 'SECOND DESIGN DIGITAL'</v>
      </c>
    </row>
    <row r="649" spans="1:5" x14ac:dyDescent="0.25">
      <c r="A649" s="3" t="s">
        <v>2065</v>
      </c>
      <c r="B649" s="3" t="s">
        <v>2492</v>
      </c>
      <c r="C649" s="3" t="s">
        <v>1497</v>
      </c>
      <c r="D649" s="3" t="s">
        <v>2492</v>
      </c>
      <c r="E649" s="3" t="str">
        <f t="shared" si="10"/>
        <v>UPDATE FORNECEDORES SET FILIAL_A_ENTREGAR = 'CD REGIS', FILIAL_COBRANCA = 'MATRIZ', FILIAL_A_FATURAR = 'CD REGIS' WHERE FORNECEDOR = 'SELENE'</v>
      </c>
    </row>
    <row r="650" spans="1:5" x14ac:dyDescent="0.25">
      <c r="A650" s="3" t="s">
        <v>2068</v>
      </c>
      <c r="B650" s="3" t="s">
        <v>1497</v>
      </c>
      <c r="C650" s="3" t="s">
        <v>1497</v>
      </c>
      <c r="D650" s="3" t="s">
        <v>1497</v>
      </c>
      <c r="E650" s="3" t="str">
        <f t="shared" si="10"/>
        <v>UPDATE FORNECEDORES SET FILIAL_A_ENTREGAR = 'MATRIZ', FILIAL_COBRANCA = 'MATRIZ', FILIAL_A_FATURAR = 'MATRIZ' WHERE FORNECEDOR = 'SEMPRE JOIAS'</v>
      </c>
    </row>
    <row r="651" spans="1:5" x14ac:dyDescent="0.25">
      <c r="A651" s="3" t="s">
        <v>2072</v>
      </c>
      <c r="B651" s="3" t="s">
        <v>2492</v>
      </c>
      <c r="C651" s="3" t="s">
        <v>2492</v>
      </c>
      <c r="D651" s="3" t="s">
        <v>2492</v>
      </c>
      <c r="E651" s="3" t="str">
        <f t="shared" si="10"/>
        <v>UPDATE FORNECEDORES SET FILIAL_A_ENTREGAR = 'CD REGIS', FILIAL_COBRANCA = 'CD REGIS', FILIAL_A_FATURAR = 'CD REGIS' WHERE FORNECEDOR = 'SERASA EXPERIAN'</v>
      </c>
    </row>
    <row r="652" spans="1:5" x14ac:dyDescent="0.25">
      <c r="A652" s="3" t="s">
        <v>2073</v>
      </c>
      <c r="B652" s="3" t="s">
        <v>2493</v>
      </c>
      <c r="C652" s="3" t="s">
        <v>2493</v>
      </c>
      <c r="D652" s="3" t="s">
        <v>2493</v>
      </c>
      <c r="E652" s="3" t="str">
        <f t="shared" si="10"/>
        <v>UPDATE FORNECEDORES SET FILIAL_A_ENTREGAR = 'AVANTI- ADM C.CREDITO', FILIAL_COBRANCA = 'AVANTI- ADM C.CREDITO', FILIAL_A_FATURAR = 'AVANTI- ADM C.CREDITO' WHERE FORNECEDOR = 'SERASA SA'</v>
      </c>
    </row>
    <row r="653" spans="1:5" x14ac:dyDescent="0.25">
      <c r="A653" s="3" t="s">
        <v>2080</v>
      </c>
      <c r="B653" s="3" t="s">
        <v>2494</v>
      </c>
      <c r="C653" s="3" t="s">
        <v>2494</v>
      </c>
      <c r="D653" s="3" t="s">
        <v>2494</v>
      </c>
      <c r="E653" s="3" t="str">
        <f t="shared" si="10"/>
        <v>UPDATE FORNECEDORES SET FILIAL_A_ENTREGAR = 'ANPPLA', FILIAL_COBRANCA = 'ANPPLA', FILIAL_A_FATURAR = 'ANPPLA' WHERE FORNECEDOR = 'SERRALHERIA TESE LTDA ME'</v>
      </c>
    </row>
    <row r="654" spans="1:5" x14ac:dyDescent="0.25">
      <c r="A654" s="3" t="s">
        <v>2084</v>
      </c>
      <c r="B654" s="3" t="s">
        <v>2492</v>
      </c>
      <c r="C654" s="3" t="s">
        <v>2497</v>
      </c>
      <c r="D654" s="3" t="s">
        <v>2492</v>
      </c>
      <c r="E654" s="3" t="str">
        <f t="shared" si="10"/>
        <v>UPDATE FORNECEDORES SET FILIAL_A_ENTREGAR = 'CD REGIS', FILIAL_COBRANCA = 'TATUAPE', FILIAL_A_FATURAR = 'CD REGIS' WHERE FORNECEDOR = 'SETOR INTIMO'</v>
      </c>
    </row>
    <row r="655" spans="1:5" x14ac:dyDescent="0.25">
      <c r="A655" s="3" t="s">
        <v>2086</v>
      </c>
      <c r="B655" s="3" t="s">
        <v>2506</v>
      </c>
      <c r="C655" s="3" t="s">
        <v>2506</v>
      </c>
      <c r="D655" s="3" t="s">
        <v>2506</v>
      </c>
      <c r="E655" s="3" t="str">
        <f t="shared" si="10"/>
        <v>UPDATE FORNECEDORES SET FILIAL_A_ENTREGAR = 'POA', FILIAL_COBRANCA = 'POA', FILIAL_A_FATURAR = 'POA' WHERE FORNECEDOR = 'SG TOPOGRAFIA'</v>
      </c>
    </row>
    <row r="656" spans="1:5" x14ac:dyDescent="0.25">
      <c r="A656" s="3" t="s">
        <v>2088</v>
      </c>
      <c r="B656" s="3" t="s">
        <v>2492</v>
      </c>
      <c r="C656" s="3" t="s">
        <v>2497</v>
      </c>
      <c r="D656" s="3" t="s">
        <v>2492</v>
      </c>
      <c r="E656" s="3" t="str">
        <f t="shared" si="10"/>
        <v>UPDATE FORNECEDORES SET FILIAL_A_ENTREGAR = 'CD REGIS', FILIAL_COBRANCA = 'TATUAPE', FILIAL_A_FATURAR = 'CD REGIS' WHERE FORNECEDOR = 'SH INDUSTRIA TEXTIL'</v>
      </c>
    </row>
    <row r="657" spans="1:5" x14ac:dyDescent="0.25">
      <c r="A657" s="3" t="s">
        <v>2090</v>
      </c>
      <c r="B657" s="3" t="s">
        <v>2498</v>
      </c>
      <c r="C657" s="3" t="s">
        <v>2498</v>
      </c>
      <c r="D657" s="3" t="s">
        <v>2498</v>
      </c>
      <c r="E657" s="3" t="str">
        <f t="shared" si="10"/>
        <v>UPDATE FORNECEDORES SET FILIAL_A_ENTREGAR = 'SP - PARI', FILIAL_COBRANCA = 'SP - PARI', FILIAL_A_FATURAR = 'SP - PARI' WHERE FORNECEDOR = 'SHAMMAH SERVICOS GERAIS'</v>
      </c>
    </row>
    <row r="658" spans="1:5" x14ac:dyDescent="0.25">
      <c r="A658" s="3" t="s">
        <v>2095</v>
      </c>
      <c r="B658" s="3" t="s">
        <v>2492</v>
      </c>
      <c r="C658" s="3" t="s">
        <v>2497</v>
      </c>
      <c r="D658" s="3" t="s">
        <v>2492</v>
      </c>
      <c r="E658" s="3" t="str">
        <f t="shared" si="10"/>
        <v>UPDATE FORNECEDORES SET FILIAL_A_ENTREGAR = 'CD REGIS', FILIAL_COBRANCA = 'TATUAPE', FILIAL_A_FATURAR = 'CD REGIS' WHERE FORNECEDOR = 'SHOP MIX 2'</v>
      </c>
    </row>
    <row r="659" spans="1:5" x14ac:dyDescent="0.25">
      <c r="A659" s="3" t="s">
        <v>2097</v>
      </c>
      <c r="B659" s="3" t="s">
        <v>2492</v>
      </c>
      <c r="C659" s="3" t="s">
        <v>2497</v>
      </c>
      <c r="D659" s="3" t="s">
        <v>2492</v>
      </c>
      <c r="E659" s="3" t="str">
        <f t="shared" si="10"/>
        <v>UPDATE FORNECEDORES SET FILIAL_A_ENTREGAR = 'CD REGIS', FILIAL_COBRANCA = 'TATUAPE', FILIAL_A_FATURAR = 'CD REGIS' WHERE FORNECEDOR = 'SHOWA'</v>
      </c>
    </row>
    <row r="660" spans="1:5" x14ac:dyDescent="0.25">
      <c r="A660" s="3" t="s">
        <v>2102</v>
      </c>
      <c r="B660" s="3" t="s">
        <v>2499</v>
      </c>
      <c r="C660" s="3" t="s">
        <v>2499</v>
      </c>
      <c r="D660" s="3" t="s">
        <v>2499</v>
      </c>
      <c r="E660" s="3" t="str">
        <f t="shared" si="10"/>
        <v>UPDATE FORNECEDORES SET FILIAL_A_ENTREGAR = 'BARUERI', FILIAL_COBRANCA = 'BARUERI', FILIAL_A_FATURAR = 'BARUERI' WHERE FORNECEDOR = 'SIEMENS'</v>
      </c>
    </row>
    <row r="661" spans="1:5" x14ac:dyDescent="0.25">
      <c r="A661" s="3" t="s">
        <v>2106</v>
      </c>
      <c r="B661" s="3" t="s">
        <v>2492</v>
      </c>
      <c r="C661" s="3" t="s">
        <v>2492</v>
      </c>
      <c r="D661" s="3" t="s">
        <v>2492</v>
      </c>
      <c r="E661" s="3" t="str">
        <f t="shared" si="10"/>
        <v>UPDATE FORNECEDORES SET FILIAL_A_ENTREGAR = 'CD REGIS', FILIAL_COBRANCA = 'CD REGIS', FILIAL_A_FATURAR = 'CD REGIS' WHERE FORNECEDOR = 'SILK SCREEN IDEAL'</v>
      </c>
    </row>
    <row r="662" spans="1:5" x14ac:dyDescent="0.25">
      <c r="A662" s="3" t="s">
        <v>2108</v>
      </c>
      <c r="B662" s="3" t="s">
        <v>2492</v>
      </c>
      <c r="C662" s="3" t="s">
        <v>2497</v>
      </c>
      <c r="D662" s="3" t="s">
        <v>2492</v>
      </c>
      <c r="E662" s="3" t="str">
        <f t="shared" si="10"/>
        <v>UPDATE FORNECEDORES SET FILIAL_A_ENTREGAR = 'CD REGIS', FILIAL_COBRANCA = 'TATUAPE', FILIAL_A_FATURAR = 'CD REGIS' WHERE FORNECEDOR = 'SILO DA MODA'</v>
      </c>
    </row>
    <row r="663" spans="1:5" x14ac:dyDescent="0.25">
      <c r="A663" s="3" t="s">
        <v>2116</v>
      </c>
      <c r="B663" s="3" t="s">
        <v>444</v>
      </c>
      <c r="C663" s="3" t="s">
        <v>1497</v>
      </c>
      <c r="D663" s="3" t="s">
        <v>444</v>
      </c>
      <c r="E663" s="3" t="str">
        <f t="shared" si="10"/>
        <v>UPDATE FORNECEDORES SET FILIAL_A_ENTREGAR = 'CD NAVEGANTES', FILIAL_COBRANCA = 'MATRIZ', FILIAL_A_FATURAR = 'CD NAVEGANTES' WHERE FORNECEDOR = 'SINERGIA CONFECCOES'</v>
      </c>
    </row>
    <row r="664" spans="1:5" x14ac:dyDescent="0.25">
      <c r="A664" s="3" t="s">
        <v>2121</v>
      </c>
      <c r="B664" s="3" t="s">
        <v>2493</v>
      </c>
      <c r="C664" s="3" t="s">
        <v>2493</v>
      </c>
      <c r="D664" s="3" t="s">
        <v>2493</v>
      </c>
      <c r="E664" s="3" t="str">
        <f t="shared" si="10"/>
        <v>UPDATE FORNECEDORES SET FILIAL_A_ENTREGAR = 'AVANTI- ADM C.CREDITO', FILIAL_COBRANCA = 'AVANTI- ADM C.CREDITO', FILIAL_A_FATURAR = 'AVANTI- ADM C.CREDITO' WHERE FORNECEDOR = 'SISTEMAS TH INFORMATICA'</v>
      </c>
    </row>
    <row r="665" spans="1:5" x14ac:dyDescent="0.25">
      <c r="A665" s="3" t="s">
        <v>2123</v>
      </c>
      <c r="B665" s="3" t="s">
        <v>2492</v>
      </c>
      <c r="C665" s="3" t="s">
        <v>2497</v>
      </c>
      <c r="D665" s="3" t="s">
        <v>2492</v>
      </c>
      <c r="E665" s="3" t="str">
        <f t="shared" si="10"/>
        <v>UPDATE FORNECEDORES SET FILIAL_A_ENTREGAR = 'CD REGIS', FILIAL_COBRANCA = 'TATUAPE', FILIAL_A_FATURAR = 'CD REGIS' WHERE FORNECEDOR = 'SKALIBUR'</v>
      </c>
    </row>
    <row r="666" spans="1:5" x14ac:dyDescent="0.25">
      <c r="A666" s="3" t="s">
        <v>2124</v>
      </c>
      <c r="B666" s="3" t="s">
        <v>2492</v>
      </c>
      <c r="C666" s="3" t="s">
        <v>1497</v>
      </c>
      <c r="D666" s="3" t="s">
        <v>2492</v>
      </c>
      <c r="E666" s="3" t="str">
        <f t="shared" si="10"/>
        <v>UPDATE FORNECEDORES SET FILIAL_A_ENTREGAR = 'CD REGIS', FILIAL_COBRANCA = 'MATRIZ', FILIAL_A_FATURAR = 'CD REGIS' WHERE FORNECEDOR = 'SKALIBUR 2'</v>
      </c>
    </row>
    <row r="667" spans="1:5" x14ac:dyDescent="0.25">
      <c r="A667" s="3" t="s">
        <v>2129</v>
      </c>
      <c r="B667" s="3" t="s">
        <v>2492</v>
      </c>
      <c r="C667" s="3" t="s">
        <v>1497</v>
      </c>
      <c r="D667" s="3" t="s">
        <v>2492</v>
      </c>
      <c r="E667" s="3" t="str">
        <f t="shared" si="10"/>
        <v>UPDATE FORNECEDORES SET FILIAL_A_ENTREGAR = 'CD REGIS', FILIAL_COBRANCA = 'MATRIZ', FILIAL_A_FATURAR = 'CD REGIS' WHERE FORNECEDOR = 'SLAP'</v>
      </c>
    </row>
    <row r="668" spans="1:5" x14ac:dyDescent="0.25">
      <c r="A668" s="3" t="s">
        <v>2134</v>
      </c>
      <c r="B668" s="3" t="s">
        <v>2514</v>
      </c>
      <c r="C668" s="3" t="s">
        <v>2514</v>
      </c>
      <c r="D668" s="3" t="s">
        <v>2514</v>
      </c>
      <c r="E668" s="3" t="str">
        <f t="shared" si="10"/>
        <v>UPDATE FORNECEDORES SET FILIAL_A_ENTREGAR = 'PIRASSUNUNGA', FILIAL_COBRANCA = 'PIRASSUNUNGA', FILIAL_A_FATURAR = 'PIRASSUNUNGA' WHERE FORNECEDOR = 'SND DISTR DE PROD INF'</v>
      </c>
    </row>
    <row r="669" spans="1:5" x14ac:dyDescent="0.25">
      <c r="A669" s="3" t="s">
        <v>2136</v>
      </c>
      <c r="B669" s="3" t="s">
        <v>443</v>
      </c>
      <c r="C669" s="3" t="s">
        <v>1497</v>
      </c>
      <c r="D669" s="3" t="s">
        <v>443</v>
      </c>
      <c r="E669" s="3" t="str">
        <f t="shared" si="10"/>
        <v>UPDATE FORNECEDORES SET FILIAL_A_ENTREGAR = 'CD ARAQUARI', FILIAL_COBRANCA = 'MATRIZ', FILIAL_A_FATURAR = 'CD ARAQUARI' WHERE FORNECEDOR = 'SO VESTIR'</v>
      </c>
    </row>
    <row r="670" spans="1:5" x14ac:dyDescent="0.25">
      <c r="A670" s="3" t="s">
        <v>2139</v>
      </c>
      <c r="B670" s="3" t="s">
        <v>1497</v>
      </c>
      <c r="C670" s="3" t="s">
        <v>1497</v>
      </c>
      <c r="D670" s="3" t="s">
        <v>1497</v>
      </c>
      <c r="E670" s="3" t="str">
        <f t="shared" si="10"/>
        <v>UPDATE FORNECEDORES SET FILIAL_A_ENTREGAR = 'MATRIZ', FILIAL_COBRANCA = 'MATRIZ', FILIAL_A_FATURAR = 'MATRIZ' WHERE FORNECEDOR = 'SOFTLINE'</v>
      </c>
    </row>
    <row r="671" spans="1:5" x14ac:dyDescent="0.25">
      <c r="A671" s="3" t="s">
        <v>2140</v>
      </c>
      <c r="B671" s="3" t="s">
        <v>1497</v>
      </c>
      <c r="C671" s="3" t="s">
        <v>1497</v>
      </c>
      <c r="D671" s="3" t="s">
        <v>1497</v>
      </c>
      <c r="E671" s="3" t="str">
        <f t="shared" si="10"/>
        <v>UPDATE FORNECEDORES SET FILIAL_A_ENTREGAR = 'MATRIZ', FILIAL_COBRANCA = 'MATRIZ', FILIAL_A_FATURAR = 'MATRIZ' WHERE FORNECEDOR = 'SOFTWARE EXPRESS'</v>
      </c>
    </row>
    <row r="672" spans="1:5" x14ac:dyDescent="0.25">
      <c r="A672" s="3" t="s">
        <v>2141</v>
      </c>
      <c r="B672" s="3" t="s">
        <v>2494</v>
      </c>
      <c r="C672" s="3" t="s">
        <v>2494</v>
      </c>
      <c r="D672" s="3" t="s">
        <v>2494</v>
      </c>
      <c r="E672" s="3" t="str">
        <f t="shared" si="10"/>
        <v>UPDATE FORNECEDORES SET FILIAL_A_ENTREGAR = 'ANPPLA', FILIAL_COBRANCA = 'ANPPLA', FILIAL_A_FATURAR = 'ANPPLA' WHERE FORNECEDOR = 'SOL DIESEL'</v>
      </c>
    </row>
    <row r="673" spans="1:5" x14ac:dyDescent="0.25">
      <c r="A673" s="3" t="s">
        <v>2145</v>
      </c>
      <c r="B673" s="3" t="s">
        <v>2492</v>
      </c>
      <c r="C673" s="3" t="s">
        <v>2492</v>
      </c>
      <c r="D673" s="3" t="s">
        <v>2492</v>
      </c>
      <c r="E673" s="3" t="str">
        <f t="shared" si="10"/>
        <v>UPDATE FORNECEDORES SET FILIAL_A_ENTREGAR = 'CD REGIS', FILIAL_COBRANCA = 'CD REGIS', FILIAL_A_FATURAR = 'CD REGIS' WHERE FORNECEDOR = 'SOLENE SABOR'</v>
      </c>
    </row>
    <row r="674" spans="1:5" x14ac:dyDescent="0.25">
      <c r="A674" s="3" t="s">
        <v>2147</v>
      </c>
      <c r="B674" s="3" t="s">
        <v>2492</v>
      </c>
      <c r="C674" s="3" t="s">
        <v>1497</v>
      </c>
      <c r="D674" s="3" t="s">
        <v>2492</v>
      </c>
      <c r="E674" s="3" t="str">
        <f t="shared" si="10"/>
        <v>UPDATE FORNECEDORES SET FILIAL_A_ENTREGAR = 'CD REGIS', FILIAL_COBRANCA = 'MATRIZ', FILIAL_A_FATURAR = 'CD REGIS' WHERE FORNECEDOR = 'SOLMARE RIO'</v>
      </c>
    </row>
    <row r="675" spans="1:5" x14ac:dyDescent="0.25">
      <c r="A675" s="3" t="s">
        <v>2149</v>
      </c>
      <c r="B675" s="3" t="s">
        <v>1497</v>
      </c>
      <c r="C675" s="3" t="s">
        <v>1497</v>
      </c>
      <c r="D675" s="3" t="s">
        <v>1497</v>
      </c>
      <c r="E675" s="3" t="str">
        <f t="shared" si="10"/>
        <v>UPDATE FORNECEDORES SET FILIAL_A_ENTREGAR = 'MATRIZ', FILIAL_COBRANCA = 'MATRIZ', FILIAL_A_FATURAR = 'MATRIZ' WHERE FORNECEDOR = 'SOLON RIBEIRO'</v>
      </c>
    </row>
    <row r="676" spans="1:5" x14ac:dyDescent="0.25">
      <c r="A676" s="3" t="s">
        <v>2154</v>
      </c>
      <c r="B676" s="3" t="s">
        <v>2492</v>
      </c>
      <c r="C676" s="3" t="s">
        <v>1497</v>
      </c>
      <c r="D676" s="3" t="s">
        <v>2492</v>
      </c>
      <c r="E676" s="3" t="str">
        <f t="shared" si="10"/>
        <v>UPDATE FORNECEDORES SET FILIAL_A_ENTREGAR = 'CD REGIS', FILIAL_COBRANCA = 'MATRIZ', FILIAL_A_FATURAR = 'CD REGIS' WHERE FORNECEDOR = 'SONHO DE AMOR'</v>
      </c>
    </row>
    <row r="677" spans="1:5" x14ac:dyDescent="0.25">
      <c r="A677" s="3" t="s">
        <v>2160</v>
      </c>
      <c r="B677" s="3" t="s">
        <v>1497</v>
      </c>
      <c r="C677" s="3" t="s">
        <v>1497</v>
      </c>
      <c r="D677" s="3" t="s">
        <v>1497</v>
      </c>
      <c r="E677" s="3" t="str">
        <f t="shared" si="10"/>
        <v>UPDATE FORNECEDORES SET FILIAL_A_ENTREGAR = 'MATRIZ', FILIAL_COBRANCA = 'MATRIZ', FILIAL_A_FATURAR = 'MATRIZ' WHERE FORNECEDOR = 'SONIA REGINA AP PINAFI'</v>
      </c>
    </row>
    <row r="678" spans="1:5" x14ac:dyDescent="0.25">
      <c r="A678" s="3" t="s">
        <v>2163</v>
      </c>
      <c r="B678" s="3" t="s">
        <v>2492</v>
      </c>
      <c r="C678" s="3" t="s">
        <v>2492</v>
      </c>
      <c r="D678" s="3" t="s">
        <v>2492</v>
      </c>
      <c r="E678" s="3" t="str">
        <f t="shared" si="10"/>
        <v>UPDATE FORNECEDORES SET FILIAL_A_ENTREGAR = 'CD REGIS', FILIAL_COBRANCA = 'CD REGIS', FILIAL_A_FATURAR = 'CD REGIS' WHERE FORNECEDOR = 'SOUZA LIMA'</v>
      </c>
    </row>
    <row r="679" spans="1:5" x14ac:dyDescent="0.25">
      <c r="A679" s="3" t="s">
        <v>2164</v>
      </c>
      <c r="B679" s="3" t="s">
        <v>2492</v>
      </c>
      <c r="C679" s="3" t="s">
        <v>2492</v>
      </c>
      <c r="D679" s="3" t="s">
        <v>2492</v>
      </c>
      <c r="E679" s="3" t="str">
        <f t="shared" si="10"/>
        <v>UPDATE FORNECEDORES SET FILIAL_A_ENTREGAR = 'CD REGIS', FILIAL_COBRANCA = 'CD REGIS', FILIAL_A_FATURAR = 'CD REGIS' WHERE FORNECEDOR = 'SOUZA LIMA SEGURANCA'</v>
      </c>
    </row>
    <row r="680" spans="1:5" x14ac:dyDescent="0.25">
      <c r="A680" s="3" t="s">
        <v>2168</v>
      </c>
      <c r="B680" s="3" t="s">
        <v>444</v>
      </c>
      <c r="C680" s="3" t="s">
        <v>1497</v>
      </c>
      <c r="D680" s="3" t="s">
        <v>444</v>
      </c>
      <c r="E680" s="3" t="str">
        <f t="shared" si="10"/>
        <v>UPDATE FORNECEDORES SET FILIAL_A_ENTREGAR = 'CD NAVEGANTES', FILIAL_COBRANCA = 'MATRIZ', FILIAL_A_FATURAR = 'CD NAVEGANTES' WHERE FORNECEDOR = 'SPIO MALHAS'</v>
      </c>
    </row>
    <row r="681" spans="1:5" x14ac:dyDescent="0.25">
      <c r="A681" s="3" t="s">
        <v>2169</v>
      </c>
      <c r="B681" s="3" t="s">
        <v>443</v>
      </c>
      <c r="C681" s="3" t="s">
        <v>1497</v>
      </c>
      <c r="D681" s="3" t="s">
        <v>443</v>
      </c>
      <c r="E681" s="3" t="str">
        <f t="shared" si="10"/>
        <v>UPDATE FORNECEDORES SET FILIAL_A_ENTREGAR = 'CD ARAQUARI', FILIAL_COBRANCA = 'MATRIZ', FILIAL_A_FATURAR = 'CD ARAQUARI' WHERE FORNECEDOR = 'SPORT SUL'</v>
      </c>
    </row>
    <row r="682" spans="1:5" x14ac:dyDescent="0.25">
      <c r="A682" s="3" t="s">
        <v>2171</v>
      </c>
      <c r="B682" s="3" t="s">
        <v>2492</v>
      </c>
      <c r="C682" s="3" t="s">
        <v>2497</v>
      </c>
      <c r="D682" s="3" t="s">
        <v>2492</v>
      </c>
      <c r="E682" s="3" t="str">
        <f t="shared" si="10"/>
        <v>UPDATE FORNECEDORES SET FILIAL_A_ENTREGAR = 'CD REGIS', FILIAL_COBRANCA = 'TATUAPE', FILIAL_A_FATURAR = 'CD REGIS' WHERE FORNECEDOR = 'SPR INDUSTRIA (MG)'</v>
      </c>
    </row>
    <row r="683" spans="1:5" x14ac:dyDescent="0.25">
      <c r="A683" s="3" t="s">
        <v>2173</v>
      </c>
      <c r="B683" s="3" t="s">
        <v>2492</v>
      </c>
      <c r="C683" s="3" t="s">
        <v>1497</v>
      </c>
      <c r="D683" s="3" t="s">
        <v>2492</v>
      </c>
      <c r="E683" s="3" t="str">
        <f t="shared" si="10"/>
        <v>UPDATE FORNECEDORES SET FILIAL_A_ENTREGAR = 'CD REGIS', FILIAL_COBRANCA = 'MATRIZ', FILIAL_A_FATURAR = 'CD REGIS' WHERE FORNECEDOR = 'SRJ'</v>
      </c>
    </row>
    <row r="684" spans="1:5" x14ac:dyDescent="0.25">
      <c r="A684" s="3" t="s">
        <v>2178</v>
      </c>
      <c r="B684" s="3" t="s">
        <v>443</v>
      </c>
      <c r="C684" s="3" t="s">
        <v>1497</v>
      </c>
      <c r="D684" s="3" t="s">
        <v>443</v>
      </c>
      <c r="E684" s="3" t="str">
        <f t="shared" si="10"/>
        <v>UPDATE FORNECEDORES SET FILIAL_A_ENTREGAR = 'CD ARAQUARI', FILIAL_COBRANCA = 'MATRIZ', FILIAL_A_FATURAR = 'CD ARAQUARI' WHERE FORNECEDOR = 'STARK FITNESS'</v>
      </c>
    </row>
    <row r="685" spans="1:5" x14ac:dyDescent="0.25">
      <c r="A685" s="3" t="s">
        <v>2179</v>
      </c>
      <c r="B685" s="3" t="s">
        <v>443</v>
      </c>
      <c r="C685" s="3" t="s">
        <v>2492</v>
      </c>
      <c r="D685" s="3" t="s">
        <v>443</v>
      </c>
      <c r="E685" s="3" t="str">
        <f t="shared" si="10"/>
        <v>UPDATE FORNECEDORES SET FILIAL_A_ENTREGAR = 'CD ARAQUARI', FILIAL_COBRANCA = 'CD REGIS', FILIAL_A_FATURAR = 'CD ARAQUARI' WHERE FORNECEDOR = 'STARKFEST'</v>
      </c>
    </row>
    <row r="686" spans="1:5" x14ac:dyDescent="0.25">
      <c r="A686" s="3" t="s">
        <v>2181</v>
      </c>
      <c r="B686" s="3" t="s">
        <v>1497</v>
      </c>
      <c r="C686" s="3" t="s">
        <v>1497</v>
      </c>
      <c r="D686" s="3" t="s">
        <v>1497</v>
      </c>
      <c r="E686" s="3" t="str">
        <f t="shared" si="10"/>
        <v>UPDATE FORNECEDORES SET FILIAL_A_ENTREGAR = 'MATRIZ', FILIAL_COBRANCA = 'MATRIZ', FILIAL_A_FATURAR = 'MATRIZ' WHERE FORNECEDOR = 'STARQ SERVIÇOS DE TRATAM'</v>
      </c>
    </row>
    <row r="687" spans="1:5" x14ac:dyDescent="0.25">
      <c r="A687" s="3" t="s">
        <v>2186</v>
      </c>
      <c r="B687" s="3" t="s">
        <v>2492</v>
      </c>
      <c r="C687" s="3" t="s">
        <v>2492</v>
      </c>
      <c r="D687" s="3" t="s">
        <v>2492</v>
      </c>
      <c r="E687" s="3" t="str">
        <f t="shared" si="10"/>
        <v>UPDATE FORNECEDORES SET FILIAL_A_ENTREGAR = 'CD REGIS', FILIAL_COBRANCA = 'CD REGIS', FILIAL_A_FATURAR = 'CD REGIS' WHERE FORNECEDOR = 'STILGRAF ARTES GRAFICAS'</v>
      </c>
    </row>
    <row r="688" spans="1:5" x14ac:dyDescent="0.25">
      <c r="A688" s="3" t="s">
        <v>2187</v>
      </c>
      <c r="B688" s="3" t="s">
        <v>1497</v>
      </c>
      <c r="C688" s="3" t="s">
        <v>1497</v>
      </c>
      <c r="D688" s="3" t="s">
        <v>1497</v>
      </c>
      <c r="E688" s="3" t="str">
        <f t="shared" si="10"/>
        <v>UPDATE FORNECEDORES SET FILIAL_A_ENTREGAR = 'MATRIZ', FILIAL_COBRANCA = 'MATRIZ', FILIAL_A_FATURAR = 'MATRIZ' WHERE FORNECEDOR = 'STILL ASSESSORIA'</v>
      </c>
    </row>
    <row r="689" spans="1:5" x14ac:dyDescent="0.25">
      <c r="A689" s="3" t="s">
        <v>2189</v>
      </c>
      <c r="B689" s="3" t="s">
        <v>2492</v>
      </c>
      <c r="C689" s="3" t="s">
        <v>2492</v>
      </c>
      <c r="D689" s="3" t="s">
        <v>2492</v>
      </c>
      <c r="E689" s="3" t="str">
        <f t="shared" si="10"/>
        <v>UPDATE FORNECEDORES SET FILIAL_A_ENTREGAR = 'CD REGIS', FILIAL_COBRANCA = 'CD REGIS', FILIAL_A_FATURAR = 'CD REGIS' WHERE FORNECEDOR = 'STILO BORRACHAS E PLASTIC'</v>
      </c>
    </row>
    <row r="690" spans="1:5" x14ac:dyDescent="0.25">
      <c r="A690" s="3" t="s">
        <v>2194</v>
      </c>
      <c r="B690" s="3" t="s">
        <v>444</v>
      </c>
      <c r="C690" s="3" t="s">
        <v>1497</v>
      </c>
      <c r="D690" s="3" t="s">
        <v>444</v>
      </c>
      <c r="E690" s="3" t="str">
        <f t="shared" si="10"/>
        <v>UPDATE FORNECEDORES SET FILIAL_A_ENTREGAR = 'CD NAVEGANTES', FILIAL_COBRANCA = 'MATRIZ', FILIAL_A_FATURAR = 'CD NAVEGANTES' WHERE FORNECEDOR = 'STYLO TROPICAL'</v>
      </c>
    </row>
    <row r="691" spans="1:5" x14ac:dyDescent="0.25">
      <c r="A691" s="3" t="s">
        <v>2195</v>
      </c>
      <c r="B691" s="3" t="s">
        <v>2492</v>
      </c>
      <c r="C691" s="3" t="s">
        <v>2497</v>
      </c>
      <c r="D691" s="3" t="s">
        <v>2492</v>
      </c>
      <c r="E691" s="3" t="str">
        <f t="shared" si="10"/>
        <v>UPDATE FORNECEDORES SET FILIAL_A_ENTREGAR = 'CD REGIS', FILIAL_COBRANCA = 'TATUAPE', FILIAL_A_FATURAR = 'CD REGIS' WHERE FORNECEDOR = 'SUAVE'</v>
      </c>
    </row>
    <row r="692" spans="1:5" x14ac:dyDescent="0.25">
      <c r="A692" s="3" t="s">
        <v>2196</v>
      </c>
      <c r="B692" s="3" t="s">
        <v>443</v>
      </c>
      <c r="C692" s="3" t="s">
        <v>2492</v>
      </c>
      <c r="D692" s="3" t="s">
        <v>443</v>
      </c>
      <c r="E692" s="3" t="str">
        <f t="shared" si="10"/>
        <v>UPDATE FORNECEDORES SET FILIAL_A_ENTREGAR = 'CD ARAQUARI', FILIAL_COBRANCA = 'CD REGIS', FILIAL_A_FATURAR = 'CD ARAQUARI' WHERE FORNECEDOR = 'SUAVI'</v>
      </c>
    </row>
    <row r="693" spans="1:5" x14ac:dyDescent="0.25">
      <c r="A693" s="3" t="s">
        <v>2198</v>
      </c>
      <c r="B693" s="3" t="s">
        <v>444</v>
      </c>
      <c r="C693" s="3" t="s">
        <v>1497</v>
      </c>
      <c r="D693" s="3" t="s">
        <v>444</v>
      </c>
      <c r="E693" s="3" t="str">
        <f t="shared" si="10"/>
        <v>UPDATE FORNECEDORES SET FILIAL_A_ENTREGAR = 'CD NAVEGANTES', FILIAL_COBRANCA = 'MATRIZ', FILIAL_A_FATURAR = 'CD NAVEGANTES' WHERE FORNECEDOR = 'SUED TEXTIL'</v>
      </c>
    </row>
    <row r="694" spans="1:5" x14ac:dyDescent="0.25">
      <c r="A694" s="3" t="s">
        <v>2201</v>
      </c>
      <c r="B694" s="3" t="s">
        <v>2492</v>
      </c>
      <c r="C694" s="3" t="s">
        <v>1497</v>
      </c>
      <c r="D694" s="3" t="s">
        <v>2492</v>
      </c>
      <c r="E694" s="3" t="str">
        <f t="shared" si="10"/>
        <v>UPDATE FORNECEDORES SET FILIAL_A_ENTREGAR = 'CD REGIS', FILIAL_COBRANCA = 'MATRIZ', FILIAL_A_FATURAR = 'CD REGIS' WHERE FORNECEDOR = 'SULAMERICANA'</v>
      </c>
    </row>
    <row r="695" spans="1:5" x14ac:dyDescent="0.25">
      <c r="A695" s="3" t="s">
        <v>2203</v>
      </c>
      <c r="B695" s="3" t="s">
        <v>2492</v>
      </c>
      <c r="C695" s="3" t="s">
        <v>2497</v>
      </c>
      <c r="D695" s="3" t="s">
        <v>2492</v>
      </c>
      <c r="E695" s="3" t="str">
        <f t="shared" si="10"/>
        <v>UPDATE FORNECEDORES SET FILIAL_A_ENTREGAR = 'CD REGIS', FILIAL_COBRANCA = 'TATUAPE', FILIAL_A_FATURAR = 'CD REGIS' WHERE FORNECEDOR = 'SUMMERWIND MODAS'</v>
      </c>
    </row>
    <row r="696" spans="1:5" x14ac:dyDescent="0.25">
      <c r="A696" s="3" t="s">
        <v>2207</v>
      </c>
      <c r="B696" s="3" t="s">
        <v>2492</v>
      </c>
      <c r="C696" s="3" t="s">
        <v>2497</v>
      </c>
      <c r="D696" s="3" t="s">
        <v>2492</v>
      </c>
      <c r="E696" s="3" t="str">
        <f t="shared" si="10"/>
        <v>UPDATE FORNECEDORES SET FILIAL_A_ENTREGAR = 'CD REGIS', FILIAL_COBRANCA = 'TATUAPE', FILIAL_A_FATURAR = 'CD REGIS' WHERE FORNECEDOR = 'SUR MODAS E CONF LTDA EPP'</v>
      </c>
    </row>
    <row r="697" spans="1:5" x14ac:dyDescent="0.25">
      <c r="A697" s="3" t="s">
        <v>2215</v>
      </c>
      <c r="B697" s="3" t="s">
        <v>2493</v>
      </c>
      <c r="C697" s="3" t="s">
        <v>2493</v>
      </c>
      <c r="D697" s="3" t="s">
        <v>2493</v>
      </c>
      <c r="E697" s="3" t="str">
        <f t="shared" si="10"/>
        <v>UPDATE FORNECEDORES SET FILIAL_A_ENTREGAR = 'AVANTI- ADM C.CREDITO', FILIAL_COBRANCA = 'AVANTI- ADM C.CREDITO', FILIAL_A_FATURAR = 'AVANTI- ADM C.CREDITO' WHERE FORNECEDOR = 'SYSCOB COBRANCA LTDA'</v>
      </c>
    </row>
    <row r="698" spans="1:5" x14ac:dyDescent="0.25">
      <c r="A698" s="3" t="s">
        <v>2216</v>
      </c>
      <c r="B698" s="3" t="s">
        <v>1497</v>
      </c>
      <c r="C698" s="3" t="s">
        <v>1497</v>
      </c>
      <c r="D698" s="3" t="s">
        <v>1497</v>
      </c>
      <c r="E698" s="3" t="str">
        <f t="shared" si="10"/>
        <v>UPDATE FORNECEDORES SET FILIAL_A_ENTREGAR = 'MATRIZ', FILIAL_COBRANCA = 'MATRIZ', FILIAL_A_FATURAR = 'MATRIZ' WHERE FORNECEDOR = 'SYTHEX'</v>
      </c>
    </row>
    <row r="699" spans="1:5" x14ac:dyDescent="0.25">
      <c r="A699" s="3" t="s">
        <v>2225</v>
      </c>
      <c r="B699" s="3" t="s">
        <v>2500</v>
      </c>
      <c r="C699" s="3" t="s">
        <v>2500</v>
      </c>
      <c r="D699" s="3" t="s">
        <v>2500</v>
      </c>
      <c r="E699" s="3" t="str">
        <f t="shared" si="10"/>
        <v>UPDATE FORNECEDORES SET FILIAL_A_ENTREGAR = 'CARAPICUIBA', FILIAL_COBRANCA = 'CARAPICUIBA', FILIAL_A_FATURAR = 'CARAPICUIBA' WHERE FORNECEDOR = 'TAPE COLOR COM VISUAL'</v>
      </c>
    </row>
    <row r="700" spans="1:5" x14ac:dyDescent="0.25">
      <c r="A700" s="3" t="s">
        <v>2226</v>
      </c>
      <c r="B700" s="3" t="s">
        <v>1497</v>
      </c>
      <c r="C700" s="3" t="s">
        <v>1497</v>
      </c>
      <c r="D700" s="3" t="s">
        <v>1497</v>
      </c>
      <c r="E700" s="3" t="str">
        <f t="shared" si="10"/>
        <v>UPDATE FORNECEDORES SET FILIAL_A_ENTREGAR = 'MATRIZ', FILIAL_COBRANCA = 'MATRIZ', FILIAL_A_FATURAR = 'MATRIZ' WHERE FORNECEDOR = 'TAPECARIA SUZANA'</v>
      </c>
    </row>
    <row r="701" spans="1:5" x14ac:dyDescent="0.25">
      <c r="A701" s="3" t="s">
        <v>2227</v>
      </c>
      <c r="B701" s="3" t="s">
        <v>2498</v>
      </c>
      <c r="C701" s="3" t="s">
        <v>2498</v>
      </c>
      <c r="D701" s="3" t="s">
        <v>2498</v>
      </c>
      <c r="E701" s="3" t="str">
        <f t="shared" si="10"/>
        <v>UPDATE FORNECEDORES SET FILIAL_A_ENTREGAR = 'SP - PARI', FILIAL_COBRANCA = 'SP - PARI', FILIAL_A_FATURAR = 'SP - PARI' WHERE FORNECEDOR = 'TARNOCZY'</v>
      </c>
    </row>
    <row r="702" spans="1:5" x14ac:dyDescent="0.25">
      <c r="A702" s="3" t="s">
        <v>2232</v>
      </c>
      <c r="B702" s="3" t="s">
        <v>443</v>
      </c>
      <c r="C702" s="3" t="s">
        <v>1497</v>
      </c>
      <c r="D702" s="3" t="s">
        <v>443</v>
      </c>
      <c r="E702" s="3" t="str">
        <f t="shared" si="10"/>
        <v>UPDATE FORNECEDORES SET FILIAL_A_ENTREGAR = 'CD ARAQUARI', FILIAL_COBRANCA = 'MATRIZ', FILIAL_A_FATURAR = 'CD ARAQUARI' WHERE FORNECEDOR = 'TDG'</v>
      </c>
    </row>
    <row r="703" spans="1:5" x14ac:dyDescent="0.25">
      <c r="A703" s="3" t="s">
        <v>2233</v>
      </c>
      <c r="B703" s="3" t="s">
        <v>2493</v>
      </c>
      <c r="C703" s="3" t="s">
        <v>2493</v>
      </c>
      <c r="D703" s="3" t="s">
        <v>2493</v>
      </c>
      <c r="E703" s="3" t="str">
        <f t="shared" si="10"/>
        <v>UPDATE FORNECEDORES SET FILIAL_A_ENTREGAR = 'AVANTI- ADM C.CREDITO', FILIAL_COBRANCA = 'AVANTI- ADM C.CREDITO', FILIAL_A_FATURAR = 'AVANTI- ADM C.CREDITO' WHERE FORNECEDOR = 'TE ATENDE'</v>
      </c>
    </row>
    <row r="704" spans="1:5" x14ac:dyDescent="0.25">
      <c r="A704" s="3" t="s">
        <v>2234</v>
      </c>
      <c r="B704" s="3" t="s">
        <v>2492</v>
      </c>
      <c r="C704" s="3" t="s">
        <v>1497</v>
      </c>
      <c r="D704" s="3" t="s">
        <v>2492</v>
      </c>
      <c r="E704" s="3" t="str">
        <f t="shared" si="10"/>
        <v>UPDATE FORNECEDORES SET FILIAL_A_ENTREGAR = 'CD REGIS', FILIAL_COBRANCA = 'MATRIZ', FILIAL_A_FATURAR = 'CD REGIS' WHERE FORNECEDOR = 'TEAM WORK CONFECCOES'</v>
      </c>
    </row>
    <row r="705" spans="1:5" x14ac:dyDescent="0.25">
      <c r="A705" s="3" t="s">
        <v>2235</v>
      </c>
      <c r="B705" s="3" t="s">
        <v>2519</v>
      </c>
      <c r="C705" s="3" t="s">
        <v>2519</v>
      </c>
      <c r="D705" s="3" t="s">
        <v>2519</v>
      </c>
      <c r="E705" s="3" t="str">
        <f t="shared" si="10"/>
        <v>UPDATE FORNECEDORES SET FILIAL_A_ENTREGAR = 'CIDADE TIRADENTES', FILIAL_COBRANCA = 'CIDADE TIRADENTES', FILIAL_A_FATURAR = 'CIDADE TIRADENTES' WHERE FORNECEDOR = 'TEC DUTOS INST DE DUTOS E'</v>
      </c>
    </row>
    <row r="706" spans="1:5" x14ac:dyDescent="0.25">
      <c r="A706" s="3" t="s">
        <v>2238</v>
      </c>
      <c r="B706" s="3" t="s">
        <v>2493</v>
      </c>
      <c r="C706" s="3" t="s">
        <v>2493</v>
      </c>
      <c r="D706" s="3" t="s">
        <v>2493</v>
      </c>
      <c r="E706" s="3" t="str">
        <f t="shared" si="10"/>
        <v>UPDATE FORNECEDORES SET FILIAL_A_ENTREGAR = 'AVANTI- ADM C.CREDITO', FILIAL_COBRANCA = 'AVANTI- ADM C.CREDITO', FILIAL_A_FATURAR = 'AVANTI- ADM C.CREDITO' WHERE FORNECEDOR = 'TECLAN LTDA'</v>
      </c>
    </row>
    <row r="707" spans="1:5" x14ac:dyDescent="0.25">
      <c r="A707" s="3" t="s">
        <v>2239</v>
      </c>
      <c r="B707" s="3" t="s">
        <v>2522</v>
      </c>
      <c r="C707" s="3" t="s">
        <v>2522</v>
      </c>
      <c r="D707" s="3" t="s">
        <v>2522</v>
      </c>
      <c r="E707" s="3" t="str">
        <f t="shared" si="10"/>
        <v>UPDATE FORNECEDORES SET FILIAL_A_ENTREGAR = 'INDAIATUBA', FILIAL_COBRANCA = 'INDAIATUBA', FILIAL_A_FATURAR = 'INDAIATUBA' WHERE FORNECEDOR = 'TECNBRAS IND E COM DE ELE'</v>
      </c>
    </row>
    <row r="708" spans="1:5" x14ac:dyDescent="0.25">
      <c r="A708" s="3" t="s">
        <v>2241</v>
      </c>
      <c r="B708" s="3" t="s">
        <v>2514</v>
      </c>
      <c r="C708" s="3" t="s">
        <v>2514</v>
      </c>
      <c r="D708" s="3" t="s">
        <v>2514</v>
      </c>
      <c r="E708" s="3" t="str">
        <f t="shared" si="10"/>
        <v>UPDATE FORNECEDORES SET FILIAL_A_ENTREGAR = 'PIRASSUNUNGA', FILIAL_COBRANCA = 'PIRASSUNUNGA', FILIAL_A_FATURAR = 'PIRASSUNUNGA' WHERE FORNECEDOR = 'TECNOL'</v>
      </c>
    </row>
    <row r="709" spans="1:5" x14ac:dyDescent="0.25">
      <c r="A709" s="3" t="s">
        <v>2245</v>
      </c>
      <c r="B709" s="3" t="s">
        <v>2494</v>
      </c>
      <c r="C709" s="3" t="s">
        <v>2494</v>
      </c>
      <c r="D709" s="3" t="s">
        <v>2494</v>
      </c>
      <c r="E709" s="3" t="str">
        <f t="shared" ref="E709:E772" si="11">"UPDATE FORNECEDORES SET FILIAL_A_ENTREGAR = '"&amp;B709&amp;"', FILIAL_COBRANCA = '"&amp;C709&amp;"', FILIAL_A_FATURAR = '"&amp;D709&amp;"' WHERE FORNECEDOR = '"&amp;A709&amp;"'"</f>
        <v>UPDATE FORNECEDORES SET FILIAL_A_ENTREGAR = 'ANPPLA', FILIAL_COBRANCA = 'ANPPLA', FILIAL_A_FATURAR = 'ANPPLA' WHERE FORNECEDOR = 'TELEFONICA'</v>
      </c>
    </row>
    <row r="710" spans="1:5" x14ac:dyDescent="0.25">
      <c r="A710" s="3" t="s">
        <v>2247</v>
      </c>
      <c r="B710" s="3" t="s">
        <v>1497</v>
      </c>
      <c r="C710" s="3" t="s">
        <v>1497</v>
      </c>
      <c r="D710" s="3" t="s">
        <v>1497</v>
      </c>
      <c r="E710" s="3" t="str">
        <f t="shared" si="11"/>
        <v>UPDATE FORNECEDORES SET FILIAL_A_ENTREGAR = 'MATRIZ', FILIAL_COBRANCA = 'MATRIZ', FILIAL_A_FATURAR = 'MATRIZ' WHERE FORNECEDOR = 'TEMPERO MANERO'</v>
      </c>
    </row>
    <row r="711" spans="1:5" x14ac:dyDescent="0.25">
      <c r="A711" s="3" t="s">
        <v>2249</v>
      </c>
      <c r="B711" s="3" t="s">
        <v>1497</v>
      </c>
      <c r="C711" s="3" t="s">
        <v>1497</v>
      </c>
      <c r="D711" s="3" t="s">
        <v>1497</v>
      </c>
      <c r="E711" s="3" t="str">
        <f t="shared" si="11"/>
        <v>UPDATE FORNECEDORES SET FILIAL_A_ENTREGAR = 'MATRIZ', FILIAL_COBRANCA = 'MATRIZ', FILIAL_A_FATURAR = 'MATRIZ' WHERE FORNECEDOR = 'TENDENCIA INFORMACOES'</v>
      </c>
    </row>
    <row r="712" spans="1:5" x14ac:dyDescent="0.25">
      <c r="A712" s="3" t="s">
        <v>2251</v>
      </c>
      <c r="B712" s="3" t="s">
        <v>2492</v>
      </c>
      <c r="C712" s="3" t="s">
        <v>1497</v>
      </c>
      <c r="D712" s="3" t="s">
        <v>2492</v>
      </c>
      <c r="E712" s="3" t="str">
        <f t="shared" si="11"/>
        <v>UPDATE FORNECEDORES SET FILIAL_A_ENTREGAR = 'CD REGIS', FILIAL_COBRANCA = 'MATRIZ', FILIAL_A_FATURAR = 'CD REGIS' WHERE FORNECEDOR = 'TERRA MODA'</v>
      </c>
    </row>
    <row r="713" spans="1:5" x14ac:dyDescent="0.25">
      <c r="A713" s="3" t="s">
        <v>2254</v>
      </c>
      <c r="B713" s="3" t="s">
        <v>2492</v>
      </c>
      <c r="C713" s="3" t="s">
        <v>1497</v>
      </c>
      <c r="D713" s="3" t="s">
        <v>2492</v>
      </c>
      <c r="E713" s="3" t="str">
        <f t="shared" si="11"/>
        <v>UPDATE FORNECEDORES SET FILIAL_A_ENTREGAR = 'CD REGIS', FILIAL_COBRANCA = 'MATRIZ', FILIAL_A_FATURAR = 'CD REGIS' WHERE FORNECEDOR = 'TEXPORT'</v>
      </c>
    </row>
    <row r="714" spans="1:5" x14ac:dyDescent="0.25">
      <c r="A714" s="3" t="s">
        <v>2255</v>
      </c>
      <c r="B714" s="3" t="s">
        <v>444</v>
      </c>
      <c r="C714" s="3" t="s">
        <v>1497</v>
      </c>
      <c r="D714" s="3" t="s">
        <v>444</v>
      </c>
      <c r="E714" s="3" t="str">
        <f t="shared" si="11"/>
        <v>UPDATE FORNECEDORES SET FILIAL_A_ENTREGAR = 'CD NAVEGANTES', FILIAL_COBRANCA = 'MATRIZ', FILIAL_A_FATURAR = 'CD NAVEGANTES' WHERE FORNECEDOR = 'TEXTIL ARTUR'</v>
      </c>
    </row>
    <row r="715" spans="1:5" x14ac:dyDescent="0.25">
      <c r="A715" s="3" t="s">
        <v>2258</v>
      </c>
      <c r="B715" s="3" t="s">
        <v>2492</v>
      </c>
      <c r="C715" s="3" t="s">
        <v>1497</v>
      </c>
      <c r="D715" s="3" t="s">
        <v>2492</v>
      </c>
      <c r="E715" s="3" t="str">
        <f t="shared" si="11"/>
        <v>UPDATE FORNECEDORES SET FILIAL_A_ENTREGAR = 'CD REGIS', FILIAL_COBRANCA = 'MATRIZ', FILIAL_A_FATURAR = 'CD REGIS' WHERE FORNECEDOR = 'TEXTIL SANTA RITA'</v>
      </c>
    </row>
    <row r="716" spans="1:5" x14ac:dyDescent="0.25">
      <c r="A716" s="3" t="s">
        <v>2259</v>
      </c>
      <c r="B716" s="3" t="s">
        <v>2492</v>
      </c>
      <c r="C716" s="3" t="s">
        <v>1497</v>
      </c>
      <c r="D716" s="3" t="s">
        <v>2492</v>
      </c>
      <c r="E716" s="3" t="str">
        <f t="shared" si="11"/>
        <v>UPDATE FORNECEDORES SET FILIAL_A_ENTREGAR = 'CD REGIS', FILIAL_COBRANCA = 'MATRIZ', FILIAL_A_FATURAR = 'CD REGIS' WHERE FORNECEDOR = 'TEXTIL WM'</v>
      </c>
    </row>
    <row r="717" spans="1:5" x14ac:dyDescent="0.25">
      <c r="A717" s="3" t="s">
        <v>2260</v>
      </c>
      <c r="B717" s="3" t="s">
        <v>2492</v>
      </c>
      <c r="C717" s="3" t="s">
        <v>1497</v>
      </c>
      <c r="D717" s="3" t="s">
        <v>2492</v>
      </c>
      <c r="E717" s="3" t="str">
        <f t="shared" si="11"/>
        <v>UPDATE FORNECEDORES SET FILIAL_A_ENTREGAR = 'CD REGIS', FILIAL_COBRANCA = 'MATRIZ', FILIAL_A_FATURAR = 'CD REGIS' WHERE FORNECEDOR = 'THAIS FERREIRA'</v>
      </c>
    </row>
    <row r="718" spans="1:5" x14ac:dyDescent="0.25">
      <c r="A718" s="3" t="s">
        <v>2266</v>
      </c>
      <c r="B718" s="3" t="s">
        <v>2493</v>
      </c>
      <c r="C718" s="3" t="s">
        <v>2493</v>
      </c>
      <c r="D718" s="3" t="s">
        <v>2493</v>
      </c>
      <c r="E718" s="3" t="str">
        <f t="shared" si="11"/>
        <v>UPDATE FORNECEDORES SET FILIAL_A_ENTREGAR = 'AVANTI- ADM C.CREDITO', FILIAL_COBRANCA = 'AVANTI- ADM C.CREDITO', FILIAL_A_FATURAR = 'AVANTI- ADM C.CREDITO' WHERE FORNECEDOR = 'THOMAS GREG E SONS'</v>
      </c>
    </row>
    <row r="719" spans="1:5" x14ac:dyDescent="0.25">
      <c r="A719" s="3" t="s">
        <v>2267</v>
      </c>
      <c r="B719" s="3" t="s">
        <v>1497</v>
      </c>
      <c r="C719" s="3" t="s">
        <v>1497</v>
      </c>
      <c r="D719" s="3" t="s">
        <v>1497</v>
      </c>
      <c r="E719" s="3" t="str">
        <f t="shared" si="11"/>
        <v>UPDATE FORNECEDORES SET FILIAL_A_ENTREGAR = 'MATRIZ', FILIAL_COBRANCA = 'MATRIZ', FILIAL_A_FATURAR = 'MATRIZ' WHERE FORNECEDOR = 'THOMSON RETERS SERVICOS'</v>
      </c>
    </row>
    <row r="720" spans="1:5" x14ac:dyDescent="0.25">
      <c r="A720" s="3" t="s">
        <v>2269</v>
      </c>
      <c r="B720" s="3" t="s">
        <v>2494</v>
      </c>
      <c r="C720" s="3" t="s">
        <v>2494</v>
      </c>
      <c r="D720" s="3" t="s">
        <v>2494</v>
      </c>
      <c r="E720" s="3" t="str">
        <f t="shared" si="11"/>
        <v>UPDATE FORNECEDORES SET FILIAL_A_ENTREGAR = 'ANPPLA', FILIAL_COBRANCA = 'ANPPLA', FILIAL_A_FATURAR = 'ANPPLA' WHERE FORNECEDOR = 'THYSSENKRUPP'</v>
      </c>
    </row>
    <row r="721" spans="1:5" x14ac:dyDescent="0.25">
      <c r="A721" s="3" t="s">
        <v>2270</v>
      </c>
      <c r="B721" s="3" t="s">
        <v>1497</v>
      </c>
      <c r="C721" s="3" t="s">
        <v>1497</v>
      </c>
      <c r="D721" s="3" t="s">
        <v>1497</v>
      </c>
      <c r="E721" s="3" t="str">
        <f t="shared" si="11"/>
        <v>UPDATE FORNECEDORES SET FILIAL_A_ENTREGAR = 'MATRIZ', FILIAL_COBRANCA = 'MATRIZ', FILIAL_A_FATURAR = 'MATRIZ' WHERE FORNECEDOR = 'THYSSENKRUPP ELEVADORES'</v>
      </c>
    </row>
    <row r="722" spans="1:5" x14ac:dyDescent="0.25">
      <c r="A722" s="3" t="s">
        <v>2272</v>
      </c>
      <c r="B722" s="3" t="s">
        <v>2492</v>
      </c>
      <c r="C722" s="3" t="s">
        <v>2492</v>
      </c>
      <c r="D722" s="3" t="s">
        <v>2492</v>
      </c>
      <c r="E722" s="3" t="str">
        <f t="shared" si="11"/>
        <v>UPDATE FORNECEDORES SET FILIAL_A_ENTREGAR = 'CD REGIS', FILIAL_COBRANCA = 'CD REGIS', FILIAL_A_FATURAR = 'CD REGIS' WHERE FORNECEDOR = 'TI TECH SHOP'</v>
      </c>
    </row>
    <row r="723" spans="1:5" x14ac:dyDescent="0.25">
      <c r="A723" s="3" t="s">
        <v>2278</v>
      </c>
      <c r="B723" s="3" t="s">
        <v>1497</v>
      </c>
      <c r="C723" s="3" t="s">
        <v>1497</v>
      </c>
      <c r="D723" s="3" t="s">
        <v>1497</v>
      </c>
      <c r="E723" s="3" t="str">
        <f t="shared" si="11"/>
        <v>UPDATE FORNECEDORES SET FILIAL_A_ENTREGAR = 'MATRIZ', FILIAL_COBRANCA = 'MATRIZ', FILIAL_A_FATURAR = 'MATRIZ' WHERE FORNECEDOR = 'TIM CELULAR S A'</v>
      </c>
    </row>
    <row r="724" spans="1:5" x14ac:dyDescent="0.25">
      <c r="A724" s="3" t="s">
        <v>2279</v>
      </c>
      <c r="B724" s="3" t="s">
        <v>1497</v>
      </c>
      <c r="C724" s="3" t="s">
        <v>1497</v>
      </c>
      <c r="D724" s="3" t="s">
        <v>1497</v>
      </c>
      <c r="E724" s="3" t="str">
        <f t="shared" si="11"/>
        <v>UPDATE FORNECEDORES SET FILIAL_A_ENTREGAR = 'MATRIZ', FILIAL_COBRANCA = 'MATRIZ', FILIAL_A_FATURAR = 'MATRIZ' WHERE FORNECEDOR = 'TIM CELULAR S/A'</v>
      </c>
    </row>
    <row r="725" spans="1:5" x14ac:dyDescent="0.25">
      <c r="A725" s="3" t="s">
        <v>2282</v>
      </c>
      <c r="B725" s="3" t="s">
        <v>2492</v>
      </c>
      <c r="C725" s="3" t="s">
        <v>1497</v>
      </c>
      <c r="D725" s="3" t="s">
        <v>2492</v>
      </c>
      <c r="E725" s="3" t="str">
        <f t="shared" si="11"/>
        <v>UPDATE FORNECEDORES SET FILIAL_A_ENTREGAR = 'CD REGIS', FILIAL_COBRANCA = 'MATRIZ', FILIAL_A_FATURAR = 'CD REGIS' WHERE FORNECEDOR = 'TIP TOP 2'</v>
      </c>
    </row>
    <row r="726" spans="1:5" x14ac:dyDescent="0.25">
      <c r="A726" s="3" t="s">
        <v>2284</v>
      </c>
      <c r="B726" s="3" t="s">
        <v>2492</v>
      </c>
      <c r="C726" s="3" t="s">
        <v>2492</v>
      </c>
      <c r="D726" s="3" t="s">
        <v>2492</v>
      </c>
      <c r="E726" s="3" t="str">
        <f t="shared" si="11"/>
        <v>UPDATE FORNECEDORES SET FILIAL_A_ENTREGAR = 'CD REGIS', FILIAL_COBRANCA = 'CD REGIS', FILIAL_A_FATURAR = 'CD REGIS' WHERE FORNECEDOR = 'TL RESTAURANTES'</v>
      </c>
    </row>
    <row r="727" spans="1:5" x14ac:dyDescent="0.25">
      <c r="A727" s="3" t="s">
        <v>2287</v>
      </c>
      <c r="B727" s="3" t="s">
        <v>2492</v>
      </c>
      <c r="C727" s="3" t="s">
        <v>2497</v>
      </c>
      <c r="D727" s="3" t="s">
        <v>2492</v>
      </c>
      <c r="E727" s="3" t="str">
        <f t="shared" si="11"/>
        <v>UPDATE FORNECEDORES SET FILIAL_A_ENTREGAR = 'CD REGIS', FILIAL_COBRANCA = 'TATUAPE', FILIAL_A_FATURAR = 'CD REGIS' WHERE FORNECEDOR = 'TOCO'</v>
      </c>
    </row>
    <row r="728" spans="1:5" x14ac:dyDescent="0.25">
      <c r="A728" s="3" t="s">
        <v>2295</v>
      </c>
      <c r="B728" s="3" t="s">
        <v>2492</v>
      </c>
      <c r="C728" s="3" t="s">
        <v>1497</v>
      </c>
      <c r="D728" s="3" t="s">
        <v>2492</v>
      </c>
      <c r="E728" s="3" t="str">
        <f t="shared" si="11"/>
        <v>UPDATE FORNECEDORES SET FILIAL_A_ENTREGAR = 'CD REGIS', FILIAL_COBRANCA = 'MATRIZ', FILIAL_A_FATURAR = 'CD REGIS' WHERE FORNECEDOR = 'TOP FIVE'</v>
      </c>
    </row>
    <row r="729" spans="1:5" x14ac:dyDescent="0.25">
      <c r="A729" s="3" t="s">
        <v>2296</v>
      </c>
      <c r="B729" s="3" t="s">
        <v>1497</v>
      </c>
      <c r="C729" s="3" t="s">
        <v>1497</v>
      </c>
      <c r="D729" s="3" t="s">
        <v>1497</v>
      </c>
      <c r="E729" s="3" t="str">
        <f t="shared" si="11"/>
        <v>UPDATE FORNECEDORES SET FILIAL_A_ENTREGAR = 'MATRIZ', FILIAL_COBRANCA = 'MATRIZ', FILIAL_A_FATURAR = 'MATRIZ' WHERE FORNECEDOR = 'TOP HELP COM DE INFORM'</v>
      </c>
    </row>
    <row r="730" spans="1:5" x14ac:dyDescent="0.25">
      <c r="A730" s="3" t="s">
        <v>2301</v>
      </c>
      <c r="B730" s="3" t="s">
        <v>2492</v>
      </c>
      <c r="C730" s="3" t="s">
        <v>1497</v>
      </c>
      <c r="D730" s="3" t="s">
        <v>2492</v>
      </c>
      <c r="E730" s="3" t="str">
        <f t="shared" si="11"/>
        <v>UPDATE FORNECEDORES SET FILIAL_A_ENTREGAR = 'CD REGIS', FILIAL_COBRANCA = 'MATRIZ', FILIAL_A_FATURAR = 'CD REGIS' WHERE FORNECEDOR = 'TOP ROCK'</v>
      </c>
    </row>
    <row r="731" spans="1:5" x14ac:dyDescent="0.25">
      <c r="A731" s="3" t="s">
        <v>2303</v>
      </c>
      <c r="B731" s="3" t="s">
        <v>2498</v>
      </c>
      <c r="C731" s="3" t="s">
        <v>2498</v>
      </c>
      <c r="D731" s="3" t="s">
        <v>2498</v>
      </c>
      <c r="E731" s="3" t="str">
        <f t="shared" si="11"/>
        <v>UPDATE FORNECEDORES SET FILIAL_A_ENTREGAR = 'SP - PARI', FILIAL_COBRANCA = 'SP - PARI', FILIAL_A_FATURAR = 'SP - PARI' WHERE FORNECEDOR = 'TOPOGRAFIA.COM LTDA'</v>
      </c>
    </row>
    <row r="732" spans="1:5" x14ac:dyDescent="0.25">
      <c r="A732" s="3" t="s">
        <v>2304</v>
      </c>
      <c r="B732" s="3" t="s">
        <v>2492</v>
      </c>
      <c r="C732" s="3" t="s">
        <v>2497</v>
      </c>
      <c r="D732" s="3" t="s">
        <v>2492</v>
      </c>
      <c r="E732" s="3" t="str">
        <f t="shared" si="11"/>
        <v>UPDATE FORNECEDORES SET FILIAL_A_ENTREGAR = 'CD REGIS', FILIAL_COBRANCA = 'TATUAPE', FILIAL_A_FATURAR = 'CD REGIS' WHERE FORNECEDOR = 'TOQUE DE COR'</v>
      </c>
    </row>
    <row r="733" spans="1:5" x14ac:dyDescent="0.25">
      <c r="A733" s="3" t="s">
        <v>2306</v>
      </c>
      <c r="B733" s="3" t="s">
        <v>1497</v>
      </c>
      <c r="C733" s="3" t="s">
        <v>1497</v>
      </c>
      <c r="D733" s="3" t="s">
        <v>1497</v>
      </c>
      <c r="E733" s="3" t="str">
        <f t="shared" si="11"/>
        <v>UPDATE FORNECEDORES SET FILIAL_A_ENTREGAR = 'MATRIZ', FILIAL_COBRANCA = 'MATRIZ', FILIAL_A_FATURAR = 'MATRIZ' WHERE FORNECEDOR = 'TOUR HOUSE EVENTOS E INCE'</v>
      </c>
    </row>
    <row r="734" spans="1:5" x14ac:dyDescent="0.25">
      <c r="A734" s="3" t="s">
        <v>2307</v>
      </c>
      <c r="B734" s="3" t="s">
        <v>2493</v>
      </c>
      <c r="C734" s="3" t="s">
        <v>2493</v>
      </c>
      <c r="D734" s="3" t="s">
        <v>2493</v>
      </c>
      <c r="E734" s="3" t="str">
        <f t="shared" si="11"/>
        <v>UPDATE FORNECEDORES SET FILIAL_A_ENTREGAR = 'AVANTI- ADM C.CREDITO', FILIAL_COBRANCA = 'AVANTI- ADM C.CREDITO', FILIAL_A_FATURAR = 'AVANTI- ADM C.CREDITO' WHERE FORNECEDOR = 'TOUR HOUSE VIAGENS E TURI'</v>
      </c>
    </row>
    <row r="735" spans="1:5" x14ac:dyDescent="0.25">
      <c r="A735" s="3" t="s">
        <v>2317</v>
      </c>
      <c r="B735" s="3" t="s">
        <v>2492</v>
      </c>
      <c r="C735" s="3" t="s">
        <v>1497</v>
      </c>
      <c r="D735" s="3" t="s">
        <v>2492</v>
      </c>
      <c r="E735" s="3" t="str">
        <f t="shared" si="11"/>
        <v>UPDATE FORNECEDORES SET FILIAL_A_ENTREGAR = 'CD REGIS', FILIAL_COBRANCA = 'MATRIZ', FILIAL_A_FATURAR = 'CD REGIS' WHERE FORNECEDOR = 'TREND SOLUCTION'</v>
      </c>
    </row>
    <row r="736" spans="1:5" x14ac:dyDescent="0.25">
      <c r="A736" s="3" t="s">
        <v>2318</v>
      </c>
      <c r="B736" s="3" t="s">
        <v>443</v>
      </c>
      <c r="C736" s="3" t="s">
        <v>1497</v>
      </c>
      <c r="D736" s="3" t="s">
        <v>443</v>
      </c>
      <c r="E736" s="3" t="str">
        <f t="shared" si="11"/>
        <v>UPDATE FORNECEDORES SET FILIAL_A_ENTREGAR = 'CD ARAQUARI', FILIAL_COBRANCA = 'MATRIZ', FILIAL_A_FATURAR = 'CD ARAQUARI' WHERE FORNECEDOR = 'TRENZINHO DA FOLIA'</v>
      </c>
    </row>
    <row r="737" spans="1:5" x14ac:dyDescent="0.25">
      <c r="A737" s="3" t="s">
        <v>2321</v>
      </c>
      <c r="B737" s="3" t="s">
        <v>444</v>
      </c>
      <c r="C737" s="3" t="s">
        <v>1497</v>
      </c>
      <c r="D737" s="3" t="s">
        <v>444</v>
      </c>
      <c r="E737" s="3" t="str">
        <f t="shared" si="11"/>
        <v>UPDATE FORNECEDORES SET FILIAL_A_ENTREGAR = 'CD NAVEGANTES', FILIAL_COBRANCA = 'MATRIZ', FILIAL_A_FATURAR = 'CD NAVEGANTES' WHERE FORNECEDOR = 'TRIBO'</v>
      </c>
    </row>
    <row r="738" spans="1:5" x14ac:dyDescent="0.25">
      <c r="A738" s="3" t="s">
        <v>2322</v>
      </c>
      <c r="B738" s="3" t="s">
        <v>2492</v>
      </c>
      <c r="C738" s="3" t="s">
        <v>1497</v>
      </c>
      <c r="D738" s="3" t="s">
        <v>2492</v>
      </c>
      <c r="E738" s="3" t="str">
        <f t="shared" si="11"/>
        <v>UPDATE FORNECEDORES SET FILIAL_A_ENTREGAR = 'CD REGIS', FILIAL_COBRANCA = 'MATRIZ', FILIAL_A_FATURAR = 'CD REGIS' WHERE FORNECEDOR = 'TRICOT &amp; CIA'</v>
      </c>
    </row>
    <row r="739" spans="1:5" x14ac:dyDescent="0.25">
      <c r="A739" s="3" t="s">
        <v>2324</v>
      </c>
      <c r="B739" s="3" t="s">
        <v>2492</v>
      </c>
      <c r="C739" s="3" t="s">
        <v>2492</v>
      </c>
      <c r="D739" s="3" t="s">
        <v>2492</v>
      </c>
      <c r="E739" s="3" t="str">
        <f t="shared" si="11"/>
        <v>UPDATE FORNECEDORES SET FILIAL_A_ENTREGAR = 'CD REGIS', FILIAL_COBRANCA = 'CD REGIS', FILIAL_A_FATURAR = 'CD REGIS' WHERE FORNECEDOR = 'TRICOT N &amp; E'</v>
      </c>
    </row>
    <row r="740" spans="1:5" x14ac:dyDescent="0.25">
      <c r="A740" s="3" t="s">
        <v>2325</v>
      </c>
      <c r="B740" s="3" t="s">
        <v>2492</v>
      </c>
      <c r="C740" s="3" t="s">
        <v>2497</v>
      </c>
      <c r="D740" s="3" t="s">
        <v>2492</v>
      </c>
      <c r="E740" s="3" t="str">
        <f t="shared" si="11"/>
        <v>UPDATE FORNECEDORES SET FILIAL_A_ENTREGAR = 'CD REGIS', FILIAL_COBRANCA = 'TATUAPE', FILIAL_A_FATURAR = 'CD REGIS' WHERE FORNECEDOR = 'TRIFIL ITABUNA'</v>
      </c>
    </row>
    <row r="741" spans="1:5" x14ac:dyDescent="0.25">
      <c r="A741" s="3" t="s">
        <v>2328</v>
      </c>
      <c r="B741" s="3" t="s">
        <v>1497</v>
      </c>
      <c r="C741" s="3" t="s">
        <v>1497</v>
      </c>
      <c r="D741" s="3" t="s">
        <v>1497</v>
      </c>
      <c r="E741" s="3" t="str">
        <f t="shared" si="11"/>
        <v>UPDATE FORNECEDORES SET FILIAL_A_ENTREGAR = 'MATRIZ', FILIAL_COBRANCA = 'MATRIZ', FILIAL_A_FATURAR = 'MATRIZ' WHERE FORNECEDOR = 'TRIPLETECH IT SOLUTIONS'</v>
      </c>
    </row>
    <row r="742" spans="1:5" x14ac:dyDescent="0.25">
      <c r="A742" s="3" t="s">
        <v>2332</v>
      </c>
      <c r="B742" s="3" t="s">
        <v>2492</v>
      </c>
      <c r="C742" s="3" t="s">
        <v>2497</v>
      </c>
      <c r="D742" s="3" t="s">
        <v>2492</v>
      </c>
      <c r="E742" s="3" t="str">
        <f t="shared" si="11"/>
        <v>UPDATE FORNECEDORES SET FILIAL_A_ENTREGAR = 'CD REGIS', FILIAL_COBRANCA = 'TATUAPE', FILIAL_A_FATURAR = 'CD REGIS' WHERE FORNECEDOR = 'TRIXIE'</v>
      </c>
    </row>
    <row r="743" spans="1:5" x14ac:dyDescent="0.25">
      <c r="A743" s="3" t="s">
        <v>2333</v>
      </c>
      <c r="B743" s="3" t="s">
        <v>1497</v>
      </c>
      <c r="C743" s="3" t="s">
        <v>1497</v>
      </c>
      <c r="D743" s="3" t="s">
        <v>1497</v>
      </c>
      <c r="E743" s="3" t="str">
        <f t="shared" si="11"/>
        <v>UPDATE FORNECEDORES SET FILIAL_A_ENTREGAR = 'MATRIZ', FILIAL_COBRANCA = 'MATRIZ', FILIAL_A_FATURAR = 'MATRIZ' WHERE FORNECEDOR = 'TROFEUS GLOBO'</v>
      </c>
    </row>
    <row r="744" spans="1:5" x14ac:dyDescent="0.25">
      <c r="A744" s="3" t="s">
        <v>2335</v>
      </c>
      <c r="B744" s="3" t="s">
        <v>444</v>
      </c>
      <c r="C744" s="3" t="s">
        <v>1497</v>
      </c>
      <c r="D744" s="3" t="s">
        <v>444</v>
      </c>
      <c r="E744" s="3" t="str">
        <f t="shared" si="11"/>
        <v>UPDATE FORNECEDORES SET FILIAL_A_ENTREGAR = 'CD NAVEGANTES', FILIAL_COBRANCA = 'MATRIZ', FILIAL_A_FATURAR = 'CD NAVEGANTES' WHERE FORNECEDOR = 'TRUMPET'</v>
      </c>
    </row>
    <row r="745" spans="1:5" x14ac:dyDescent="0.25">
      <c r="A745" s="3" t="s">
        <v>2341</v>
      </c>
      <c r="B745" s="3" t="s">
        <v>2492</v>
      </c>
      <c r="C745" s="3" t="s">
        <v>2497</v>
      </c>
      <c r="D745" s="3" t="s">
        <v>2492</v>
      </c>
      <c r="E745" s="3" t="str">
        <f t="shared" si="11"/>
        <v>UPDATE FORNECEDORES SET FILIAL_A_ENTREGAR = 'CD REGIS', FILIAL_COBRANCA = 'TATUAPE', FILIAL_A_FATURAR = 'CD REGIS' WHERE FORNECEDOR = 'TURMA DA VIVI'</v>
      </c>
    </row>
    <row r="746" spans="1:5" x14ac:dyDescent="0.25">
      <c r="A746" s="3" t="s">
        <v>2342</v>
      </c>
      <c r="B746" s="3" t="s">
        <v>444</v>
      </c>
      <c r="C746" s="3" t="s">
        <v>1497</v>
      </c>
      <c r="D746" s="3" t="s">
        <v>444</v>
      </c>
      <c r="E746" s="3" t="str">
        <f t="shared" si="11"/>
        <v>UPDATE FORNECEDORES SET FILIAL_A_ENTREGAR = 'CD NAVEGANTES', FILIAL_COBRANCA = 'MATRIZ', FILIAL_A_FATURAR = 'CD NAVEGANTES' WHERE FORNECEDOR = 'TURMINHA FASHION'</v>
      </c>
    </row>
    <row r="747" spans="1:5" x14ac:dyDescent="0.25">
      <c r="A747" s="3" t="s">
        <v>2349</v>
      </c>
      <c r="B747" s="3" t="s">
        <v>2492</v>
      </c>
      <c r="C747" s="3" t="s">
        <v>2497</v>
      </c>
      <c r="D747" s="3" t="s">
        <v>2492</v>
      </c>
      <c r="E747" s="3" t="str">
        <f t="shared" si="11"/>
        <v>UPDATE FORNECEDORES SET FILIAL_A_ENTREGAR = 'CD REGIS', FILIAL_COBRANCA = 'TATUAPE', FILIAL_A_FATURAR = 'CD REGIS' WHERE FORNECEDOR = 'UKIL (JP MODA)'</v>
      </c>
    </row>
    <row r="748" spans="1:5" x14ac:dyDescent="0.25">
      <c r="A748" s="3" t="s">
        <v>2346</v>
      </c>
      <c r="B748" s="3" t="s">
        <v>2493</v>
      </c>
      <c r="C748" s="3" t="s">
        <v>2493</v>
      </c>
      <c r="D748" s="3" t="s">
        <v>2493</v>
      </c>
      <c r="E748" s="3" t="str">
        <f t="shared" si="11"/>
        <v>UPDATE FORNECEDORES SET FILIAL_A_ENTREGAR = 'AVANTI- ADM C.CREDITO', FILIAL_COBRANCA = 'AVANTI- ADM C.CREDITO', FILIAL_A_FATURAR = 'AVANTI- ADM C.CREDITO' WHERE FORNECEDOR = 'U-NEAR S A'</v>
      </c>
    </row>
    <row r="749" spans="1:5" x14ac:dyDescent="0.25">
      <c r="A749" s="3" t="s">
        <v>2355</v>
      </c>
      <c r="B749" s="3" t="s">
        <v>1497</v>
      </c>
      <c r="C749" s="3" t="s">
        <v>1497</v>
      </c>
      <c r="D749" s="3" t="s">
        <v>1497</v>
      </c>
      <c r="E749" s="3" t="str">
        <f t="shared" si="11"/>
        <v>UPDATE FORNECEDORES SET FILIAL_A_ENTREGAR = 'MATRIZ', FILIAL_COBRANCA = 'MATRIZ', FILIAL_A_FATURAR = 'MATRIZ' WHERE FORNECEDOR = 'UNIAO DOCENTES BRASIL MAT'</v>
      </c>
    </row>
    <row r="750" spans="1:5" x14ac:dyDescent="0.25">
      <c r="A750" s="3" t="s">
        <v>2356</v>
      </c>
      <c r="B750" s="3" t="s">
        <v>2492</v>
      </c>
      <c r="C750" s="3" t="s">
        <v>2492</v>
      </c>
      <c r="D750" s="3" t="s">
        <v>2492</v>
      </c>
      <c r="E750" s="3" t="str">
        <f t="shared" si="11"/>
        <v>UPDATE FORNECEDORES SET FILIAL_A_ENTREGAR = 'CD REGIS', FILIAL_COBRANCA = 'CD REGIS', FILIAL_A_FATURAR = 'CD REGIS' WHERE FORNECEDOR = 'UNIFILA BRASIL IND METAL'</v>
      </c>
    </row>
    <row r="751" spans="1:5" x14ac:dyDescent="0.25">
      <c r="A751" s="3" t="s">
        <v>2358</v>
      </c>
      <c r="B751" s="3" t="s">
        <v>2492</v>
      </c>
      <c r="C751" s="3" t="s">
        <v>1497</v>
      </c>
      <c r="D751" s="3" t="s">
        <v>2492</v>
      </c>
      <c r="E751" s="3" t="str">
        <f t="shared" si="11"/>
        <v>UPDATE FORNECEDORES SET FILIAL_A_ENTREGAR = 'CD REGIS', FILIAL_COBRANCA = 'MATRIZ', FILIAL_A_FATURAR = 'CD REGIS' WHERE FORNECEDOR = 'UNITED PRIME'</v>
      </c>
    </row>
    <row r="752" spans="1:5" x14ac:dyDescent="0.25">
      <c r="A752" s="3" t="s">
        <v>2359</v>
      </c>
      <c r="B752" s="3" t="s">
        <v>1497</v>
      </c>
      <c r="C752" s="3" t="s">
        <v>1497</v>
      </c>
      <c r="D752" s="3" t="s">
        <v>1497</v>
      </c>
      <c r="E752" s="3" t="str">
        <f t="shared" si="11"/>
        <v>UPDATE FORNECEDORES SET FILIAL_A_ENTREGAR = 'MATRIZ', FILIAL_COBRANCA = 'MATRIZ', FILIAL_A_FATURAR = 'MATRIZ' WHERE FORNECEDOR = 'UOL DIVEO S.A'</v>
      </c>
    </row>
    <row r="753" spans="1:5" x14ac:dyDescent="0.25">
      <c r="A753" s="3" t="s">
        <v>2360</v>
      </c>
      <c r="B753" s="3" t="s">
        <v>1497</v>
      </c>
      <c r="C753" s="3" t="s">
        <v>1497</v>
      </c>
      <c r="D753" s="3" t="s">
        <v>1497</v>
      </c>
      <c r="E753" s="3" t="str">
        <f t="shared" si="11"/>
        <v>UPDATE FORNECEDORES SET FILIAL_A_ENTREGAR = 'MATRIZ', FILIAL_COBRANCA = 'MATRIZ', FILIAL_A_FATURAR = 'MATRIZ' WHERE FORNECEDOR = 'UOL DIVEO S.A BARUERI'</v>
      </c>
    </row>
    <row r="754" spans="1:5" x14ac:dyDescent="0.25">
      <c r="A754" s="3" t="s">
        <v>2362</v>
      </c>
      <c r="B754" s="3" t="s">
        <v>2494</v>
      </c>
      <c r="C754" s="3" t="s">
        <v>2494</v>
      </c>
      <c r="D754" s="3" t="s">
        <v>2494</v>
      </c>
      <c r="E754" s="3" t="str">
        <f t="shared" si="11"/>
        <v>UPDATE FORNECEDORES SET FILIAL_A_ENTREGAR = 'ANPPLA', FILIAL_COBRANCA = 'ANPPLA', FILIAL_A_FATURAR = 'ANPPLA' WHERE FORNECEDOR = 'UTIL ARTE'</v>
      </c>
    </row>
    <row r="755" spans="1:5" x14ac:dyDescent="0.25">
      <c r="A755" s="3" t="s">
        <v>2363</v>
      </c>
      <c r="B755" s="3" t="s">
        <v>1497</v>
      </c>
      <c r="C755" s="3" t="s">
        <v>1497</v>
      </c>
      <c r="D755" s="3" t="s">
        <v>1497</v>
      </c>
      <c r="E755" s="3" t="str">
        <f t="shared" si="11"/>
        <v>UPDATE FORNECEDORES SET FILIAL_A_ENTREGAR = 'MATRIZ', FILIAL_COBRANCA = 'MATRIZ', FILIAL_A_FATURAR = 'MATRIZ' WHERE FORNECEDOR = 'UTINO MANAGEMENT'</v>
      </c>
    </row>
    <row r="756" spans="1:5" x14ac:dyDescent="0.25">
      <c r="A756" s="3" t="s">
        <v>2366</v>
      </c>
      <c r="B756" s="3" t="s">
        <v>2492</v>
      </c>
      <c r="C756" s="3" t="s">
        <v>2497</v>
      </c>
      <c r="D756" s="3" t="s">
        <v>2492</v>
      </c>
      <c r="E756" s="3" t="str">
        <f t="shared" si="11"/>
        <v>UPDATE FORNECEDORES SET FILIAL_A_ENTREGAR = 'CD REGIS', FILIAL_COBRANCA = 'TATUAPE', FILIAL_A_FATURAR = 'CD REGIS' WHERE FORNECEDOR = 'V7'</v>
      </c>
    </row>
    <row r="757" spans="1:5" x14ac:dyDescent="0.25">
      <c r="A757" s="3" t="s">
        <v>2367</v>
      </c>
      <c r="B757" s="3" t="s">
        <v>2492</v>
      </c>
      <c r="C757" s="3" t="s">
        <v>2497</v>
      </c>
      <c r="D757" s="3" t="s">
        <v>2492</v>
      </c>
      <c r="E757" s="3" t="str">
        <f t="shared" si="11"/>
        <v>UPDATE FORNECEDORES SET FILIAL_A_ENTREGAR = 'CD REGIS', FILIAL_COBRANCA = 'TATUAPE', FILIAL_A_FATURAR = 'CD REGIS' WHERE FORNECEDOR = 'VAGABOYS'</v>
      </c>
    </row>
    <row r="758" spans="1:5" x14ac:dyDescent="0.25">
      <c r="A758" s="3" t="s">
        <v>2368</v>
      </c>
      <c r="B758" s="3" t="s">
        <v>1497</v>
      </c>
      <c r="C758" s="3" t="s">
        <v>1497</v>
      </c>
      <c r="D758" s="3" t="s">
        <v>1497</v>
      </c>
      <c r="E758" s="3" t="str">
        <f t="shared" si="11"/>
        <v>UPDATE FORNECEDORES SET FILIAL_A_ENTREGAR = 'MATRIZ', FILIAL_COBRANCA = 'MATRIZ', FILIAL_A_FATURAR = 'MATRIZ' WHERE FORNECEDOR = 'VAGAS TECNOLOGIA DE SOFTW'</v>
      </c>
    </row>
    <row r="759" spans="1:5" x14ac:dyDescent="0.25">
      <c r="A759" s="3" t="s">
        <v>2369</v>
      </c>
      <c r="B759" s="3" t="s">
        <v>2492</v>
      </c>
      <c r="C759" s="3" t="s">
        <v>2497</v>
      </c>
      <c r="D759" s="3" t="s">
        <v>2492</v>
      </c>
      <c r="E759" s="3" t="str">
        <f t="shared" si="11"/>
        <v>UPDATE FORNECEDORES SET FILIAL_A_ENTREGAR = 'CD REGIS', FILIAL_COBRANCA = 'TATUAPE', FILIAL_A_FATURAR = 'CD REGIS' WHERE FORNECEDOR = 'VAGAUS'</v>
      </c>
    </row>
    <row r="760" spans="1:5" x14ac:dyDescent="0.25">
      <c r="A760" s="3" t="s">
        <v>2376</v>
      </c>
      <c r="B760" s="3" t="s">
        <v>2492</v>
      </c>
      <c r="C760" s="3" t="s">
        <v>1497</v>
      </c>
      <c r="D760" s="3" t="s">
        <v>2492</v>
      </c>
      <c r="E760" s="3" t="str">
        <f t="shared" si="11"/>
        <v>UPDATE FORNECEDORES SET FILIAL_A_ENTREGAR = 'CD REGIS', FILIAL_COBRANCA = 'MATRIZ', FILIAL_A_FATURAR = 'CD REGIS' WHERE FORNECEDOR = 'VANATEX'</v>
      </c>
    </row>
    <row r="761" spans="1:5" x14ac:dyDescent="0.25">
      <c r="A761" s="3" t="s">
        <v>2379</v>
      </c>
      <c r="B761" s="3" t="s">
        <v>2492</v>
      </c>
      <c r="C761" s="3" t="s">
        <v>1497</v>
      </c>
      <c r="D761" s="3" t="s">
        <v>2492</v>
      </c>
      <c r="E761" s="3" t="str">
        <f t="shared" si="11"/>
        <v>UPDATE FORNECEDORES SET FILIAL_A_ENTREGAR = 'CD REGIS', FILIAL_COBRANCA = 'MATRIZ', FILIAL_A_FATURAR = 'CD REGIS' WHERE FORNECEDOR = 'VANTEX'</v>
      </c>
    </row>
    <row r="762" spans="1:5" x14ac:dyDescent="0.25">
      <c r="A762" s="3" t="s">
        <v>2380</v>
      </c>
      <c r="B762" s="3" t="s">
        <v>2494</v>
      </c>
      <c r="C762" s="3" t="s">
        <v>2494</v>
      </c>
      <c r="D762" s="3" t="s">
        <v>2494</v>
      </c>
      <c r="E762" s="3" t="str">
        <f t="shared" si="11"/>
        <v>UPDATE FORNECEDORES SET FILIAL_A_ENTREGAR = 'ANPPLA', FILIAL_COBRANCA = 'ANPPLA', FILIAL_A_FATURAR = 'ANPPLA' WHERE FORNECEDOR = 'VB SERVICOS, COMERCIO'</v>
      </c>
    </row>
    <row r="763" spans="1:5" x14ac:dyDescent="0.25">
      <c r="A763" s="3" t="s">
        <v>2381</v>
      </c>
      <c r="B763" s="3" t="s">
        <v>2547</v>
      </c>
      <c r="C763" s="3" t="s">
        <v>2547</v>
      </c>
      <c r="D763" s="3" t="s">
        <v>2547</v>
      </c>
      <c r="E763" s="3" t="str">
        <f t="shared" si="11"/>
        <v>UPDATE FORNECEDORES SET FILIAL_A_ENTREGAR = 'CRUZEIRO', FILIAL_COBRANCA = 'CRUZEIRO', FILIAL_A_FATURAR = 'CRUZEIRO' WHERE FORNECEDOR = 'VBN CONSULT CONTABIL'</v>
      </c>
    </row>
    <row r="764" spans="1:5" x14ac:dyDescent="0.25">
      <c r="A764" s="3" t="s">
        <v>2389</v>
      </c>
      <c r="B764" s="3" t="s">
        <v>1497</v>
      </c>
      <c r="C764" s="3" t="s">
        <v>1497</v>
      </c>
      <c r="D764" s="3" t="s">
        <v>1497</v>
      </c>
      <c r="E764" s="3" t="str">
        <f t="shared" si="11"/>
        <v>UPDATE FORNECEDORES SET FILIAL_A_ENTREGAR = 'MATRIZ', FILIAL_COBRANCA = 'MATRIZ', FILIAL_A_FATURAR = 'MATRIZ' WHERE FORNECEDOR = 'VETOR EDITORA'</v>
      </c>
    </row>
    <row r="765" spans="1:5" x14ac:dyDescent="0.25">
      <c r="A765" s="3" t="s">
        <v>2399</v>
      </c>
      <c r="B765" s="3" t="s">
        <v>1497</v>
      </c>
      <c r="C765" s="3" t="s">
        <v>1497</v>
      </c>
      <c r="D765" s="3" t="s">
        <v>1497</v>
      </c>
      <c r="E765" s="3" t="str">
        <f t="shared" si="11"/>
        <v>UPDATE FORNECEDORES SET FILIAL_A_ENTREGAR = 'MATRIZ', FILIAL_COBRANCA = 'MATRIZ', FILIAL_A_FATURAR = 'MATRIZ' WHERE FORNECEDOR = 'VICTOR ALMEIDA'</v>
      </c>
    </row>
    <row r="766" spans="1:5" x14ac:dyDescent="0.25">
      <c r="A766" s="3" t="s">
        <v>2400</v>
      </c>
      <c r="B766" s="3" t="s">
        <v>2492</v>
      </c>
      <c r="C766" s="3" t="s">
        <v>2492</v>
      </c>
      <c r="D766" s="3" t="s">
        <v>2492</v>
      </c>
      <c r="E766" s="3" t="str">
        <f t="shared" si="11"/>
        <v>UPDATE FORNECEDORES SET FILIAL_A_ENTREGAR = 'CD REGIS', FILIAL_COBRANCA = 'CD REGIS', FILIAL_A_FATURAR = 'CD REGIS' WHERE FORNECEDOR = 'VICTOR BLUE'</v>
      </c>
    </row>
    <row r="767" spans="1:5" x14ac:dyDescent="0.25">
      <c r="A767" s="3" t="s">
        <v>2402</v>
      </c>
      <c r="B767" s="3" t="s">
        <v>1497</v>
      </c>
      <c r="C767" s="3" t="s">
        <v>1497</v>
      </c>
      <c r="D767" s="3" t="s">
        <v>1497</v>
      </c>
      <c r="E767" s="3" t="str">
        <f t="shared" si="11"/>
        <v>UPDATE FORNECEDORES SET FILIAL_A_ENTREGAR = 'MATRIZ', FILIAL_COBRANCA = 'MATRIZ', FILIAL_A_FATURAR = 'MATRIZ' WHERE FORNECEDOR = 'VIDALINK'</v>
      </c>
    </row>
    <row r="768" spans="1:5" x14ac:dyDescent="0.25">
      <c r="A768" s="3" t="s">
        <v>2403</v>
      </c>
      <c r="B768" s="3" t="s">
        <v>1497</v>
      </c>
      <c r="C768" s="3" t="s">
        <v>1497</v>
      </c>
      <c r="D768" s="3" t="s">
        <v>1497</v>
      </c>
      <c r="E768" s="3" t="str">
        <f t="shared" si="11"/>
        <v>UPDATE FORNECEDORES SET FILIAL_A_ENTREGAR = 'MATRIZ', FILIAL_COBRANCA = 'MATRIZ', FILIAL_A_FATURAR = 'MATRIZ' WHERE FORNECEDOR = 'VIDEO ONE TELECOMUNICACAO'</v>
      </c>
    </row>
    <row r="769" spans="1:5" x14ac:dyDescent="0.25">
      <c r="A769" s="3" t="s">
        <v>2407</v>
      </c>
      <c r="B769" s="3" t="s">
        <v>2520</v>
      </c>
      <c r="C769" s="3" t="s">
        <v>2520</v>
      </c>
      <c r="D769" s="3" t="s">
        <v>2520</v>
      </c>
      <c r="E769" s="3" t="str">
        <f t="shared" si="11"/>
        <v>UPDATE FORNECEDORES SET FILIAL_A_ENTREGAR = 'CARAGUATATUBA', FILIAL_COBRANCA = 'CARAGUATATUBA', FILIAL_A_FATURAR = 'CARAGUATATUBA' WHERE FORNECEDOR = 'VIP TELECOM'</v>
      </c>
    </row>
    <row r="770" spans="1:5" x14ac:dyDescent="0.25">
      <c r="A770" s="3" t="s">
        <v>2409</v>
      </c>
      <c r="B770" s="3" t="s">
        <v>2498</v>
      </c>
      <c r="C770" s="3" t="s">
        <v>2498</v>
      </c>
      <c r="D770" s="3" t="s">
        <v>2498</v>
      </c>
      <c r="E770" s="3" t="str">
        <f t="shared" si="11"/>
        <v>UPDATE FORNECEDORES SET FILIAL_A_ENTREGAR = 'SP - PARI', FILIAL_COBRANCA = 'SP - PARI', FILIAL_A_FATURAR = 'SP - PARI' WHERE FORNECEDOR = 'VISIMAX TECNOL E GESTAO'</v>
      </c>
    </row>
    <row r="771" spans="1:5" x14ac:dyDescent="0.25">
      <c r="A771" s="3" t="s">
        <v>2413</v>
      </c>
      <c r="B771" s="3" t="s">
        <v>2492</v>
      </c>
      <c r="C771" s="3" t="s">
        <v>1497</v>
      </c>
      <c r="D771" s="3" t="s">
        <v>2492</v>
      </c>
      <c r="E771" s="3" t="str">
        <f t="shared" si="11"/>
        <v>UPDATE FORNECEDORES SET FILIAL_A_ENTREGAR = 'CD REGIS', FILIAL_COBRANCA = 'MATRIZ', FILIAL_A_FATURAR = 'CD REGIS' WHERE FORNECEDOR = 'VISIONÁRIO COMERCIAL LTDA'</v>
      </c>
    </row>
    <row r="772" spans="1:5" x14ac:dyDescent="0.25">
      <c r="A772" s="3" t="s">
        <v>2418</v>
      </c>
      <c r="B772" s="3" t="s">
        <v>2492</v>
      </c>
      <c r="C772" s="3" t="s">
        <v>1497</v>
      </c>
      <c r="D772" s="3" t="s">
        <v>2492</v>
      </c>
      <c r="E772" s="3" t="str">
        <f t="shared" si="11"/>
        <v>UPDATE FORNECEDORES SET FILIAL_A_ENTREGAR = 'CD REGIS', FILIAL_COBRANCA = 'MATRIZ', FILIAL_A_FATURAR = 'CD REGIS' WHERE FORNECEDOR = 'VITATEX COMERCIO'</v>
      </c>
    </row>
    <row r="773" spans="1:5" x14ac:dyDescent="0.25">
      <c r="A773" s="3" t="s">
        <v>2420</v>
      </c>
      <c r="B773" s="3" t="s">
        <v>2492</v>
      </c>
      <c r="C773" s="3" t="s">
        <v>1497</v>
      </c>
      <c r="D773" s="3" t="s">
        <v>2492</v>
      </c>
      <c r="E773" s="3" t="str">
        <f t="shared" ref="E773:E797" si="12">"UPDATE FORNECEDORES SET FILIAL_A_ENTREGAR = '"&amp;B773&amp;"', FILIAL_COBRANCA = '"&amp;C773&amp;"', FILIAL_A_FATURAR = '"&amp;D773&amp;"' WHERE FORNECEDOR = '"&amp;A773&amp;"'"</f>
        <v>UPDATE FORNECEDORES SET FILIAL_A_ENTREGAR = 'CD REGIS', FILIAL_COBRANCA = 'MATRIZ', FILIAL_A_FATURAR = 'CD REGIS' WHERE FORNECEDOR = 'VIVA MARIA'</v>
      </c>
    </row>
    <row r="774" spans="1:5" x14ac:dyDescent="0.25">
      <c r="A774" s="3" t="s">
        <v>2421</v>
      </c>
      <c r="B774" s="3" t="s">
        <v>2492</v>
      </c>
      <c r="C774" s="3" t="s">
        <v>2497</v>
      </c>
      <c r="D774" s="3" t="s">
        <v>2492</v>
      </c>
      <c r="E774" s="3" t="str">
        <f t="shared" si="12"/>
        <v>UPDATE FORNECEDORES SET FILIAL_A_ENTREGAR = 'CD REGIS', FILIAL_COBRANCA = 'TATUAPE', FILIAL_A_FATURAR = 'CD REGIS' WHERE FORNECEDOR = 'VIZZY'</v>
      </c>
    </row>
    <row r="775" spans="1:5" x14ac:dyDescent="0.25">
      <c r="A775" s="3" t="s">
        <v>2422</v>
      </c>
      <c r="B775" s="3" t="s">
        <v>1497</v>
      </c>
      <c r="C775" s="3" t="s">
        <v>1497</v>
      </c>
      <c r="D775" s="3" t="s">
        <v>1497</v>
      </c>
      <c r="E775" s="3" t="str">
        <f t="shared" si="12"/>
        <v>UPDATE FORNECEDORES SET FILIAL_A_ENTREGAR = 'MATRIZ', FILIAL_COBRANCA = 'MATRIZ', FILIAL_A_FATURAR = 'MATRIZ' WHERE FORNECEDOR = 'VM PRODUCOES CINE FOTO'</v>
      </c>
    </row>
    <row r="776" spans="1:5" x14ac:dyDescent="0.25">
      <c r="A776" s="3" t="s">
        <v>2423</v>
      </c>
      <c r="B776" s="3" t="s">
        <v>444</v>
      </c>
      <c r="C776" s="3" t="s">
        <v>1497</v>
      </c>
      <c r="D776" s="3" t="s">
        <v>444</v>
      </c>
      <c r="E776" s="3" t="str">
        <f t="shared" si="12"/>
        <v>UPDATE FORNECEDORES SET FILIAL_A_ENTREGAR = 'CD NAVEGANTES', FILIAL_COBRANCA = 'MATRIZ', FILIAL_A_FATURAR = 'CD NAVEGANTES' WHERE FORNECEDOR = 'VNT CONFECCOES'</v>
      </c>
    </row>
    <row r="777" spans="1:5" x14ac:dyDescent="0.25">
      <c r="A777" s="3" t="s">
        <v>2427</v>
      </c>
      <c r="B777" s="3" t="s">
        <v>2492</v>
      </c>
      <c r="C777" s="3" t="s">
        <v>2492</v>
      </c>
      <c r="D777" s="3" t="s">
        <v>2492</v>
      </c>
      <c r="E777" s="3" t="str">
        <f t="shared" si="12"/>
        <v>UPDATE FORNECEDORES SET FILIAL_A_ENTREGAR = 'CD REGIS', FILIAL_COBRANCA = 'CD REGIS', FILIAL_A_FATURAR = 'CD REGIS' WHERE FORNECEDOR = 'W F FRAGA SERVICOS'</v>
      </c>
    </row>
    <row r="778" spans="1:5" x14ac:dyDescent="0.25">
      <c r="A778" s="3" t="s">
        <v>2433</v>
      </c>
      <c r="B778" s="3" t="s">
        <v>1497</v>
      </c>
      <c r="C778" s="3" t="s">
        <v>1497</v>
      </c>
      <c r="D778" s="3" t="s">
        <v>1497</v>
      </c>
      <c r="E778" s="3" t="str">
        <f t="shared" si="12"/>
        <v>UPDATE FORNECEDORES SET FILIAL_A_ENTREGAR = 'MATRIZ', FILIAL_COBRANCA = 'MATRIZ', FILIAL_A_FATURAR = 'MATRIZ' WHERE FORNECEDOR = 'WANIA RANGEL PRODUCOES'</v>
      </c>
    </row>
    <row r="779" spans="1:5" x14ac:dyDescent="0.25">
      <c r="A779" s="3" t="s">
        <v>2437</v>
      </c>
      <c r="B779" s="3" t="s">
        <v>2493</v>
      </c>
      <c r="C779" s="3" t="s">
        <v>2493</v>
      </c>
      <c r="D779" s="3" t="s">
        <v>2493</v>
      </c>
      <c r="E779" s="3" t="str">
        <f t="shared" si="12"/>
        <v>UPDATE FORNECEDORES SET FILIAL_A_ENTREGAR = 'AVANTI- ADM C.CREDITO', FILIAL_COBRANCA = 'AVANTI- ADM C.CREDITO', FILIAL_A_FATURAR = 'AVANTI- ADM C.CREDITO' WHERE FORNECEDOR = 'WEDOO CONSULTORIA'</v>
      </c>
    </row>
    <row r="780" spans="1:5" x14ac:dyDescent="0.25">
      <c r="A780" s="3" t="s">
        <v>2445</v>
      </c>
      <c r="B780" s="3" t="s">
        <v>2492</v>
      </c>
      <c r="C780" s="3" t="s">
        <v>1497</v>
      </c>
      <c r="D780" s="3" t="s">
        <v>2492</v>
      </c>
      <c r="E780" s="3" t="str">
        <f t="shared" si="12"/>
        <v>UPDATE FORNECEDORES SET FILIAL_A_ENTREGAR = 'CD REGIS', FILIAL_COBRANCA = 'MATRIZ', FILIAL_A_FATURAR = 'CD REGIS' WHERE FORNECEDOR = 'WINSTON'</v>
      </c>
    </row>
    <row r="781" spans="1:5" x14ac:dyDescent="0.25">
      <c r="A781" s="3" t="s">
        <v>2446</v>
      </c>
      <c r="B781" s="3" t="s">
        <v>2493</v>
      </c>
      <c r="C781" s="3" t="s">
        <v>2493</v>
      </c>
      <c r="D781" s="3" t="s">
        <v>2493</v>
      </c>
      <c r="E781" s="3" t="str">
        <f t="shared" si="12"/>
        <v>UPDATE FORNECEDORES SET FILIAL_A_ENTREGAR = 'AVANTI- ADM C.CREDITO', FILIAL_COBRANCA = 'AVANTI- ADM C.CREDITO', FILIAL_A_FATURAR = 'AVANTI- ADM C.CREDITO' WHERE FORNECEDOR = 'WITRISK PLANEJ EMPRES LTD'</v>
      </c>
    </row>
    <row r="782" spans="1:5" x14ac:dyDescent="0.25">
      <c r="A782" s="3" t="s">
        <v>2447</v>
      </c>
      <c r="B782" s="3" t="s">
        <v>2498</v>
      </c>
      <c r="C782" s="3" t="s">
        <v>2498</v>
      </c>
      <c r="D782" s="3" t="s">
        <v>2498</v>
      </c>
      <c r="E782" s="3" t="str">
        <f t="shared" si="12"/>
        <v>UPDATE FORNECEDORES SET FILIAL_A_ENTREGAR = 'SP - PARI', FILIAL_COBRANCA = 'SP - PARI', FILIAL_A_FATURAR = 'SP - PARI' WHERE FORNECEDOR = 'WITTEL SERVIÇOS'</v>
      </c>
    </row>
    <row r="783" spans="1:5" x14ac:dyDescent="0.25">
      <c r="A783" s="3" t="s">
        <v>2450</v>
      </c>
      <c r="B783" s="3" t="s">
        <v>2498</v>
      </c>
      <c r="C783" s="3" t="s">
        <v>2498</v>
      </c>
      <c r="D783" s="3" t="s">
        <v>2498</v>
      </c>
      <c r="E783" s="3" t="str">
        <f t="shared" si="12"/>
        <v>UPDATE FORNECEDORES SET FILIAL_A_ENTREGAR = 'SP - PARI', FILIAL_COBRANCA = 'SP - PARI', FILIAL_A_FATURAR = 'SP - PARI' WHERE FORNECEDOR = 'WORK COMPILACAO'</v>
      </c>
    </row>
    <row r="784" spans="1:5" x14ac:dyDescent="0.25">
      <c r="A784" s="3" t="s">
        <v>2452</v>
      </c>
      <c r="B784" s="3" t="s">
        <v>2492</v>
      </c>
      <c r="C784" s="3" t="s">
        <v>1497</v>
      </c>
      <c r="D784" s="3" t="s">
        <v>2492</v>
      </c>
      <c r="E784" s="3" t="str">
        <f t="shared" si="12"/>
        <v>UPDATE FORNECEDORES SET FILIAL_A_ENTREGAR = 'CD REGIS', FILIAL_COBRANCA = 'MATRIZ', FILIAL_A_FATURAR = 'CD REGIS' WHERE FORNECEDOR = 'WORLD FASHION'</v>
      </c>
    </row>
    <row r="785" spans="1:5" x14ac:dyDescent="0.25">
      <c r="A785" s="3" t="s">
        <v>2455</v>
      </c>
      <c r="B785" s="3" t="s">
        <v>2514</v>
      </c>
      <c r="C785" s="3" t="s">
        <v>2514</v>
      </c>
      <c r="D785" s="3" t="s">
        <v>2514</v>
      </c>
      <c r="E785" s="3" t="str">
        <f t="shared" si="12"/>
        <v>UPDATE FORNECEDORES SET FILIAL_A_ENTREGAR = 'PIRASSUNUNGA', FILIAL_COBRANCA = 'PIRASSUNUNGA', FILIAL_A_FATURAR = 'PIRASSUNUNGA' WHERE FORNECEDOR = 'WYMA TECNOLOGIA LTDA'</v>
      </c>
    </row>
    <row r="786" spans="1:5" x14ac:dyDescent="0.25">
      <c r="A786" s="3" t="s">
        <v>2458</v>
      </c>
      <c r="B786" s="3" t="s">
        <v>444</v>
      </c>
      <c r="C786" s="3" t="s">
        <v>1497</v>
      </c>
      <c r="D786" s="3" t="s">
        <v>444</v>
      </c>
      <c r="E786" s="3" t="str">
        <f t="shared" si="12"/>
        <v>UPDATE FORNECEDORES SET FILIAL_A_ENTREGAR = 'CD NAVEGANTES', FILIAL_COBRANCA = 'MATRIZ', FILIAL_A_FATURAR = 'CD NAVEGANTES' WHERE FORNECEDOR = 'XERYUS'</v>
      </c>
    </row>
    <row r="787" spans="1:5" x14ac:dyDescent="0.25">
      <c r="A787" s="3" t="s">
        <v>2460</v>
      </c>
      <c r="B787" s="3" t="s">
        <v>2492</v>
      </c>
      <c r="C787" s="3" t="s">
        <v>1497</v>
      </c>
      <c r="D787" s="3" t="s">
        <v>2492</v>
      </c>
      <c r="E787" s="3" t="str">
        <f t="shared" si="12"/>
        <v>UPDATE FORNECEDORES SET FILIAL_A_ENTREGAR = 'CD REGIS', FILIAL_COBRANCA = 'MATRIZ', FILIAL_A_FATURAR = 'CD REGIS' WHERE FORNECEDOR = 'XIZEL'</v>
      </c>
    </row>
    <row r="788" spans="1:5" x14ac:dyDescent="0.25">
      <c r="A788" s="3" t="s">
        <v>2466</v>
      </c>
      <c r="B788" s="3" t="s">
        <v>2493</v>
      </c>
      <c r="C788" s="3" t="s">
        <v>2493</v>
      </c>
      <c r="D788" s="3" t="s">
        <v>2493</v>
      </c>
      <c r="E788" s="3" t="str">
        <f t="shared" si="12"/>
        <v>UPDATE FORNECEDORES SET FILIAL_A_ENTREGAR = 'AVANTI- ADM C.CREDITO', FILIAL_COBRANCA = 'AVANTI- ADM C.CREDITO', FILIAL_A_FATURAR = 'AVANTI- ADM C.CREDITO' WHERE FORNECEDOR = 'YEAH DIGITAL'</v>
      </c>
    </row>
    <row r="789" spans="1:5" x14ac:dyDescent="0.25">
      <c r="A789" s="3" t="s">
        <v>2467</v>
      </c>
      <c r="B789" s="3" t="s">
        <v>443</v>
      </c>
      <c r="C789" s="3" t="s">
        <v>2492</v>
      </c>
      <c r="D789" s="3" t="s">
        <v>443</v>
      </c>
      <c r="E789" s="3" t="str">
        <f t="shared" si="12"/>
        <v>UPDATE FORNECEDORES SET FILIAL_A_ENTREGAR = 'CD ARAQUARI', FILIAL_COBRANCA = 'CD REGIS', FILIAL_A_FATURAR = 'CD ARAQUARI' WHERE FORNECEDOR = 'YENDS'</v>
      </c>
    </row>
    <row r="790" spans="1:5" x14ac:dyDescent="0.25">
      <c r="A790" s="3" t="s">
        <v>2469</v>
      </c>
      <c r="B790" s="3" t="s">
        <v>2492</v>
      </c>
      <c r="C790" s="3" t="s">
        <v>1497</v>
      </c>
      <c r="D790" s="3" t="s">
        <v>2492</v>
      </c>
      <c r="E790" s="3" t="str">
        <f t="shared" si="12"/>
        <v>UPDATE FORNECEDORES SET FILIAL_A_ENTREGAR = 'CD REGIS', FILIAL_COBRANCA = 'MATRIZ', FILIAL_A_FATURAR = 'CD REGIS' WHERE FORNECEDOR = 'ZAMANY'</v>
      </c>
    </row>
    <row r="791" spans="1:5" x14ac:dyDescent="0.25">
      <c r="A791" s="3" t="s">
        <v>2475</v>
      </c>
      <c r="B791" s="3" t="s">
        <v>2492</v>
      </c>
      <c r="C791" s="3" t="s">
        <v>2492</v>
      </c>
      <c r="D791" s="3" t="s">
        <v>2492</v>
      </c>
      <c r="E791" s="3" t="str">
        <f t="shared" si="12"/>
        <v>UPDATE FORNECEDORES SET FILIAL_A_ENTREGAR = 'CD REGIS', FILIAL_COBRANCA = 'CD REGIS', FILIAL_A_FATURAR = 'CD REGIS' WHERE FORNECEDOR = 'ZENITH'</v>
      </c>
    </row>
    <row r="792" spans="1:5" x14ac:dyDescent="0.25">
      <c r="A792" s="3" t="s">
        <v>2476</v>
      </c>
      <c r="B792" s="3" t="s">
        <v>2492</v>
      </c>
      <c r="C792" s="3" t="s">
        <v>2492</v>
      </c>
      <c r="D792" s="3" t="s">
        <v>2492</v>
      </c>
      <c r="E792" s="3" t="str">
        <f t="shared" si="12"/>
        <v>UPDATE FORNECEDORES SET FILIAL_A_ENTREGAR = 'CD REGIS', FILIAL_COBRANCA = 'CD REGIS', FILIAL_A_FATURAR = 'CD REGIS' WHERE FORNECEDOR = 'ZENITH MATERIAIS DE SEGUR'</v>
      </c>
    </row>
    <row r="793" spans="1:5" x14ac:dyDescent="0.25">
      <c r="A793" s="3" t="s">
        <v>2478</v>
      </c>
      <c r="B793" s="3" t="s">
        <v>2517</v>
      </c>
      <c r="C793" s="3" t="s">
        <v>2517</v>
      </c>
      <c r="D793" s="3" t="s">
        <v>2517</v>
      </c>
      <c r="E793" s="3" t="str">
        <f t="shared" si="12"/>
        <v>UPDATE FORNECEDORES SET FILIAL_A_ENTREGAR = 'SUMARE', FILIAL_COBRANCA = 'SUMARE', FILIAL_A_FATURAR = 'SUMARE' WHERE FORNECEDOR = 'ZERO DB SERVICE CENTER'</v>
      </c>
    </row>
    <row r="794" spans="1:5" x14ac:dyDescent="0.25">
      <c r="A794" s="3" t="s">
        <v>2480</v>
      </c>
      <c r="B794" s="3" t="s">
        <v>444</v>
      </c>
      <c r="C794" s="3" t="s">
        <v>1497</v>
      </c>
      <c r="D794" s="3" t="s">
        <v>444</v>
      </c>
      <c r="E794" s="3" t="str">
        <f t="shared" si="12"/>
        <v>UPDATE FORNECEDORES SET FILIAL_A_ENTREGAR = 'CD NAVEGANTES', FILIAL_COBRANCA = 'MATRIZ', FILIAL_A_FATURAR = 'CD NAVEGANTES' WHERE FORNECEDOR = 'ZIPYLIK'</v>
      </c>
    </row>
    <row r="795" spans="1:5" x14ac:dyDescent="0.25">
      <c r="A795" s="3" t="s">
        <v>2482</v>
      </c>
      <c r="B795" s="3" t="s">
        <v>2492</v>
      </c>
      <c r="C795" s="3" t="s">
        <v>2492</v>
      </c>
      <c r="D795" s="3" t="s">
        <v>2492</v>
      </c>
      <c r="E795" s="3" t="str">
        <f t="shared" si="12"/>
        <v>UPDATE FORNECEDORES SET FILIAL_A_ENTREGAR = 'CD REGIS', FILIAL_COBRANCA = 'CD REGIS', FILIAL_A_FATURAR = 'CD REGIS' WHERE FORNECEDOR = 'ZMN INDUSTRIA E COMERCIO'</v>
      </c>
    </row>
    <row r="796" spans="1:5" x14ac:dyDescent="0.25">
      <c r="A796" s="3" t="s">
        <v>2484</v>
      </c>
      <c r="B796" s="3" t="s">
        <v>2492</v>
      </c>
      <c r="C796" s="3" t="s">
        <v>2497</v>
      </c>
      <c r="D796" s="3" t="s">
        <v>2492</v>
      </c>
      <c r="E796" s="3" t="str">
        <f t="shared" si="12"/>
        <v>UPDATE FORNECEDORES SET FILIAL_A_ENTREGAR = 'CD REGIS', FILIAL_COBRANCA = 'TATUAPE', FILIAL_A_FATURAR = 'CD REGIS' WHERE FORNECEDOR = 'ZORBA'</v>
      </c>
    </row>
    <row r="797" spans="1:5" x14ac:dyDescent="0.25">
      <c r="A797" s="3" t="s">
        <v>2485</v>
      </c>
      <c r="B797" s="3" t="s">
        <v>2492</v>
      </c>
      <c r="C797" s="3" t="s">
        <v>2497</v>
      </c>
      <c r="D797" s="3" t="s">
        <v>2492</v>
      </c>
      <c r="E797" s="3" t="str">
        <f t="shared" si="12"/>
        <v>UPDATE FORNECEDORES SET FILIAL_A_ENTREGAR = 'CD REGIS', FILIAL_COBRANCA = 'TATUAPE', FILIAL_A_FATURAR = 'CD REGIS' WHERE FORNECEDOR = 'ZOTTIS IND. COM. E IMPORT'</v>
      </c>
    </row>
    <row r="798" spans="1:5" x14ac:dyDescent="0.25">
      <c r="A798" s="3" t="s">
        <v>2556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2489"/>
  <sheetViews>
    <sheetView workbookViewId="0">
      <selection sqref="A1:F2486"/>
    </sheetView>
  </sheetViews>
  <sheetFormatPr defaultRowHeight="15" x14ac:dyDescent="0.25"/>
  <cols>
    <col min="1" max="1" width="31.5703125" style="1" bestFit="1" customWidth="1"/>
    <col min="2" max="2" width="7" bestFit="1" customWidth="1"/>
    <col min="3" max="5" width="23.42578125" bestFit="1" customWidth="1"/>
  </cols>
  <sheetData>
    <row r="1" spans="1:6" x14ac:dyDescent="0.25">
      <c r="A1" s="2" t="s">
        <v>0</v>
      </c>
      <c r="B1" s="5" t="s">
        <v>2554</v>
      </c>
      <c r="C1" s="5" t="s">
        <v>2489</v>
      </c>
      <c r="D1" s="6" t="s">
        <v>2490</v>
      </c>
      <c r="E1" s="6" t="s">
        <v>2491</v>
      </c>
      <c r="F1" s="7" t="s">
        <v>2555</v>
      </c>
    </row>
    <row r="2" spans="1:6" hidden="1" x14ac:dyDescent="0.25">
      <c r="A2" s="1" t="s">
        <v>1</v>
      </c>
      <c r="B2" s="3">
        <f>COUNTIF(PEDIDOS!$A:$A,FORNECEDOR!A2)</f>
        <v>0</v>
      </c>
      <c r="C2" t="e">
        <f>INDEX(PEDIDOS!$A:$D,MATCH(FORNECEDOR!A2,PEDIDOS!$A:$A,0),2)</f>
        <v>#N/A</v>
      </c>
      <c r="D2" t="e">
        <f>INDEX(PEDIDOS!$A:$D,MATCH(FORNECEDOR!A2,PEDIDOS!$A:$A,0),3)</f>
        <v>#N/A</v>
      </c>
      <c r="E2" t="e">
        <f>INDEX(PEDIDOS!$A:$D,MATCH(FORNECEDOR!A2,PEDIDOS!$A:$A,0),4)</f>
        <v>#N/A</v>
      </c>
    </row>
    <row r="3" spans="1:6" x14ac:dyDescent="0.25">
      <c r="A3" s="1" t="s">
        <v>2</v>
      </c>
      <c r="B3" s="3">
        <f>COUNTIF(PEDIDOS!$A:$A,FORNECEDOR!A3)</f>
        <v>1</v>
      </c>
      <c r="C3" s="3" t="str">
        <f>INDEX(PEDIDOS!$A:$D,MATCH(FORNECEDOR!A3,PEDIDOS!$A:$A,0),2)</f>
        <v>CD REGIS</v>
      </c>
      <c r="D3" s="3" t="str">
        <f>INDEX(PEDIDOS!$A:$D,MATCH(FORNECEDOR!A3,PEDIDOS!$A:$A,0),3)</f>
        <v>CD REGIS</v>
      </c>
      <c r="E3" s="3" t="str">
        <f>INDEX(PEDIDOS!$A:$D,MATCH(FORNECEDOR!A3,PEDIDOS!$A:$A,0),4)</f>
        <v>CD REGIS</v>
      </c>
    </row>
    <row r="4" spans="1:6" x14ac:dyDescent="0.25">
      <c r="A4" s="1" t="s">
        <v>3</v>
      </c>
      <c r="B4" s="3">
        <f>COUNTIF(PEDIDOS!$A:$A,FORNECEDOR!A4)</f>
        <v>1</v>
      </c>
      <c r="C4" s="3" t="str">
        <f>INDEX(PEDIDOS!$A:$D,MATCH(FORNECEDOR!A4,PEDIDOS!$A:$A,0),2)</f>
        <v>AVANTI- ADM C.CREDITO</v>
      </c>
      <c r="D4" s="3" t="str">
        <f>INDEX(PEDIDOS!$A:$D,MATCH(FORNECEDOR!A4,PEDIDOS!$A:$A,0),3)</f>
        <v>AVANTI- ADM C.CREDITO</v>
      </c>
      <c r="E4" s="3" t="str">
        <f>INDEX(PEDIDOS!$A:$D,MATCH(FORNECEDOR!A4,PEDIDOS!$A:$A,0),4)</f>
        <v>AVANTI- ADM C.CREDITO</v>
      </c>
    </row>
    <row r="5" spans="1:6" x14ac:dyDescent="0.25">
      <c r="A5" s="1" t="s">
        <v>4</v>
      </c>
      <c r="B5" s="3">
        <f>COUNTIF(PEDIDOS!$A:$A,FORNECEDOR!A5)</f>
        <v>3</v>
      </c>
      <c r="C5" s="3" t="str">
        <f>INDEX(PEDIDOS!$A:$D,MATCH(FORNECEDOR!A5,PEDIDOS!$A:$A,0),2)</f>
        <v>ANPPLA</v>
      </c>
      <c r="D5" s="3" t="str">
        <f>INDEX(PEDIDOS!$A:$D,MATCH(FORNECEDOR!A5,PEDIDOS!$A:$A,0),3)</f>
        <v>ANPPLA</v>
      </c>
      <c r="E5" s="3" t="str">
        <f>INDEX(PEDIDOS!$A:$D,MATCH(FORNECEDOR!A5,PEDIDOS!$A:$A,0),4)</f>
        <v>ANPPLA</v>
      </c>
    </row>
    <row r="6" spans="1:6" hidden="1" x14ac:dyDescent="0.25">
      <c r="A6" s="1" t="s">
        <v>5</v>
      </c>
      <c r="B6" s="3">
        <f>COUNTIF(PEDIDOS!$A:$A,FORNECEDOR!A6)</f>
        <v>0</v>
      </c>
      <c r="C6" s="3" t="e">
        <f>INDEX(PEDIDOS!$A:$D,MATCH(FORNECEDOR!A6,PEDIDOS!$A:$A,0),2)</f>
        <v>#N/A</v>
      </c>
      <c r="D6" s="3" t="e">
        <f>INDEX(PEDIDOS!$A:$D,MATCH(FORNECEDOR!A6,PEDIDOS!$A:$A,0),3)</f>
        <v>#N/A</v>
      </c>
      <c r="E6" s="3" t="e">
        <f>INDEX(PEDIDOS!$A:$D,MATCH(FORNECEDOR!A6,PEDIDOS!$A:$A,0),4)</f>
        <v>#N/A</v>
      </c>
    </row>
    <row r="7" spans="1:6" hidden="1" x14ac:dyDescent="0.25">
      <c r="A7" s="1" t="s">
        <v>6</v>
      </c>
      <c r="B7" s="3">
        <f>COUNTIF(PEDIDOS!$A:$A,FORNECEDOR!A7)</f>
        <v>0</v>
      </c>
      <c r="C7" s="3" t="e">
        <f>INDEX(PEDIDOS!$A:$D,MATCH(FORNECEDOR!A7,PEDIDOS!$A:$A,0),2)</f>
        <v>#N/A</v>
      </c>
      <c r="D7" s="3" t="e">
        <f>INDEX(PEDIDOS!$A:$D,MATCH(FORNECEDOR!A7,PEDIDOS!$A:$A,0),3)</f>
        <v>#N/A</v>
      </c>
      <c r="E7" s="3" t="e">
        <f>INDEX(PEDIDOS!$A:$D,MATCH(FORNECEDOR!A7,PEDIDOS!$A:$A,0),4)</f>
        <v>#N/A</v>
      </c>
    </row>
    <row r="8" spans="1:6" hidden="1" x14ac:dyDescent="0.25">
      <c r="A8" s="1" t="s">
        <v>7</v>
      </c>
      <c r="B8" s="3">
        <f>COUNTIF(PEDIDOS!$A:$A,FORNECEDOR!A8)</f>
        <v>0</v>
      </c>
      <c r="C8" s="3" t="e">
        <f>INDEX(PEDIDOS!$A:$D,MATCH(FORNECEDOR!A8,PEDIDOS!$A:$A,0),2)</f>
        <v>#N/A</v>
      </c>
      <c r="D8" s="3" t="e">
        <f>INDEX(PEDIDOS!$A:$D,MATCH(FORNECEDOR!A8,PEDIDOS!$A:$A,0),3)</f>
        <v>#N/A</v>
      </c>
      <c r="E8" s="3" t="e">
        <f>INDEX(PEDIDOS!$A:$D,MATCH(FORNECEDOR!A8,PEDIDOS!$A:$A,0),4)</f>
        <v>#N/A</v>
      </c>
    </row>
    <row r="9" spans="1:6" x14ac:dyDescent="0.25">
      <c r="A9" s="1" t="s">
        <v>8</v>
      </c>
      <c r="B9" s="3">
        <f>COUNTIF(PEDIDOS!$A:$A,FORNECEDOR!A9)</f>
        <v>1</v>
      </c>
      <c r="C9" s="3" t="str">
        <f>INDEX(PEDIDOS!$A:$D,MATCH(FORNECEDOR!A9,PEDIDOS!$A:$A,0),2)</f>
        <v>CD REGIS</v>
      </c>
      <c r="D9" s="3" t="str">
        <f>INDEX(PEDIDOS!$A:$D,MATCH(FORNECEDOR!A9,PEDIDOS!$A:$A,0),3)</f>
        <v>TATUAPE</v>
      </c>
      <c r="E9" s="3" t="str">
        <f>INDEX(PEDIDOS!$A:$D,MATCH(FORNECEDOR!A9,PEDIDOS!$A:$A,0),4)</f>
        <v>CD REGIS</v>
      </c>
    </row>
    <row r="10" spans="1:6" hidden="1" x14ac:dyDescent="0.25">
      <c r="A10" s="1" t="s">
        <v>9</v>
      </c>
      <c r="B10" s="3">
        <f>COUNTIF(PEDIDOS!$A:$A,FORNECEDOR!A10)</f>
        <v>0</v>
      </c>
      <c r="C10" s="3" t="e">
        <f>INDEX(PEDIDOS!$A:$D,MATCH(FORNECEDOR!A10,PEDIDOS!$A:$A,0),2)</f>
        <v>#N/A</v>
      </c>
      <c r="D10" s="3" t="e">
        <f>INDEX(PEDIDOS!$A:$D,MATCH(FORNECEDOR!A10,PEDIDOS!$A:$A,0),3)</f>
        <v>#N/A</v>
      </c>
      <c r="E10" s="3" t="e">
        <f>INDEX(PEDIDOS!$A:$D,MATCH(FORNECEDOR!A10,PEDIDOS!$A:$A,0),4)</f>
        <v>#N/A</v>
      </c>
    </row>
    <row r="11" spans="1:6" x14ac:dyDescent="0.25">
      <c r="A11" s="1" t="s">
        <v>10</v>
      </c>
      <c r="B11" s="3">
        <f>COUNTIF(PEDIDOS!$A:$A,FORNECEDOR!A11)</f>
        <v>2</v>
      </c>
      <c r="C11" s="3" t="str">
        <f>INDEX(PEDIDOS!$A:$D,MATCH(FORNECEDOR!A11,PEDIDOS!$A:$A,0),2)</f>
        <v>CD REGIS</v>
      </c>
      <c r="D11" s="3" t="str">
        <f>INDEX(PEDIDOS!$A:$D,MATCH(FORNECEDOR!A11,PEDIDOS!$A:$A,0),3)</f>
        <v>CD REGIS</v>
      </c>
      <c r="E11" s="3" t="str">
        <f>INDEX(PEDIDOS!$A:$D,MATCH(FORNECEDOR!A11,PEDIDOS!$A:$A,0),4)</f>
        <v>CD REGIS</v>
      </c>
    </row>
    <row r="12" spans="1:6" hidden="1" x14ac:dyDescent="0.25">
      <c r="A12" s="1" t="s">
        <v>11</v>
      </c>
      <c r="B12" s="3">
        <f>COUNTIF(PEDIDOS!$A:$A,FORNECEDOR!A12)</f>
        <v>0</v>
      </c>
      <c r="C12" s="3" t="e">
        <f>INDEX(PEDIDOS!$A:$D,MATCH(FORNECEDOR!A12,PEDIDOS!$A:$A,0),2)</f>
        <v>#N/A</v>
      </c>
      <c r="D12" s="3" t="e">
        <f>INDEX(PEDIDOS!$A:$D,MATCH(FORNECEDOR!A12,PEDIDOS!$A:$A,0),3)</f>
        <v>#N/A</v>
      </c>
      <c r="E12" s="3" t="e">
        <f>INDEX(PEDIDOS!$A:$D,MATCH(FORNECEDOR!A12,PEDIDOS!$A:$A,0),4)</f>
        <v>#N/A</v>
      </c>
    </row>
    <row r="13" spans="1:6" hidden="1" x14ac:dyDescent="0.25">
      <c r="A13" s="1" t="s">
        <v>12</v>
      </c>
      <c r="B13" s="3">
        <f>COUNTIF(PEDIDOS!$A:$A,FORNECEDOR!A13)</f>
        <v>0</v>
      </c>
      <c r="C13" s="3" t="e">
        <f>INDEX(PEDIDOS!$A:$D,MATCH(FORNECEDOR!A13,PEDIDOS!$A:$A,0),2)</f>
        <v>#N/A</v>
      </c>
      <c r="D13" s="3" t="e">
        <f>INDEX(PEDIDOS!$A:$D,MATCH(FORNECEDOR!A13,PEDIDOS!$A:$A,0),3)</f>
        <v>#N/A</v>
      </c>
      <c r="E13" s="3" t="e">
        <f>INDEX(PEDIDOS!$A:$D,MATCH(FORNECEDOR!A13,PEDIDOS!$A:$A,0),4)</f>
        <v>#N/A</v>
      </c>
    </row>
    <row r="14" spans="1:6" x14ac:dyDescent="0.25">
      <c r="A14" s="1" t="s">
        <v>13</v>
      </c>
      <c r="B14" s="3">
        <f>COUNTIF(PEDIDOS!$A:$A,FORNECEDOR!A14)</f>
        <v>1</v>
      </c>
      <c r="C14" s="3" t="str">
        <f>INDEX(PEDIDOS!$A:$D,MATCH(FORNECEDOR!A14,PEDIDOS!$A:$A,0),2)</f>
        <v>CD REGIS</v>
      </c>
      <c r="D14" s="3" t="str">
        <f>INDEX(PEDIDOS!$A:$D,MATCH(FORNECEDOR!A14,PEDIDOS!$A:$A,0),3)</f>
        <v>CD REGIS</v>
      </c>
      <c r="E14" s="3" t="str">
        <f>INDEX(PEDIDOS!$A:$D,MATCH(FORNECEDOR!A14,PEDIDOS!$A:$A,0),4)</f>
        <v>CD REGIS</v>
      </c>
    </row>
    <row r="15" spans="1:6" hidden="1" x14ac:dyDescent="0.25">
      <c r="A15" s="1" t="s">
        <v>14</v>
      </c>
      <c r="B15" s="3">
        <f>COUNTIF(PEDIDOS!$A:$A,FORNECEDOR!A15)</f>
        <v>0</v>
      </c>
      <c r="C15" s="3" t="e">
        <f>INDEX(PEDIDOS!$A:$D,MATCH(FORNECEDOR!A15,PEDIDOS!$A:$A,0),2)</f>
        <v>#N/A</v>
      </c>
      <c r="D15" s="3" t="e">
        <f>INDEX(PEDIDOS!$A:$D,MATCH(FORNECEDOR!A15,PEDIDOS!$A:$A,0),3)</f>
        <v>#N/A</v>
      </c>
      <c r="E15" s="3" t="e">
        <f>INDEX(PEDIDOS!$A:$D,MATCH(FORNECEDOR!A15,PEDIDOS!$A:$A,0),4)</f>
        <v>#N/A</v>
      </c>
    </row>
    <row r="16" spans="1:6" hidden="1" x14ac:dyDescent="0.25">
      <c r="A16" s="1" t="s">
        <v>15</v>
      </c>
      <c r="B16" s="3">
        <f>COUNTIF(PEDIDOS!$A:$A,FORNECEDOR!A16)</f>
        <v>0</v>
      </c>
      <c r="C16" s="3" t="e">
        <f>INDEX(PEDIDOS!$A:$D,MATCH(FORNECEDOR!A16,PEDIDOS!$A:$A,0),2)</f>
        <v>#N/A</v>
      </c>
      <c r="D16" s="3" t="e">
        <f>INDEX(PEDIDOS!$A:$D,MATCH(FORNECEDOR!A16,PEDIDOS!$A:$A,0),3)</f>
        <v>#N/A</v>
      </c>
      <c r="E16" s="3" t="e">
        <f>INDEX(PEDIDOS!$A:$D,MATCH(FORNECEDOR!A16,PEDIDOS!$A:$A,0),4)</f>
        <v>#N/A</v>
      </c>
    </row>
    <row r="17" spans="1:5" hidden="1" x14ac:dyDescent="0.25">
      <c r="A17" s="1" t="s">
        <v>16</v>
      </c>
      <c r="B17" s="3">
        <f>COUNTIF(PEDIDOS!$A:$A,FORNECEDOR!A17)</f>
        <v>0</v>
      </c>
      <c r="C17" s="3" t="e">
        <f>INDEX(PEDIDOS!$A:$D,MATCH(FORNECEDOR!A17,PEDIDOS!$A:$A,0),2)</f>
        <v>#N/A</v>
      </c>
      <c r="D17" s="3" t="e">
        <f>INDEX(PEDIDOS!$A:$D,MATCH(FORNECEDOR!A17,PEDIDOS!$A:$A,0),3)</f>
        <v>#N/A</v>
      </c>
      <c r="E17" s="3" t="e">
        <f>INDEX(PEDIDOS!$A:$D,MATCH(FORNECEDOR!A17,PEDIDOS!$A:$A,0),4)</f>
        <v>#N/A</v>
      </c>
    </row>
    <row r="18" spans="1:5" hidden="1" x14ac:dyDescent="0.25">
      <c r="A18" s="1" t="s">
        <v>17</v>
      </c>
      <c r="B18" s="3">
        <f>COUNTIF(PEDIDOS!$A:$A,FORNECEDOR!A18)</f>
        <v>0</v>
      </c>
      <c r="C18" s="3" t="e">
        <f>INDEX(PEDIDOS!$A:$D,MATCH(FORNECEDOR!A18,PEDIDOS!$A:$A,0),2)</f>
        <v>#N/A</v>
      </c>
      <c r="D18" s="3" t="e">
        <f>INDEX(PEDIDOS!$A:$D,MATCH(FORNECEDOR!A18,PEDIDOS!$A:$A,0),3)</f>
        <v>#N/A</v>
      </c>
      <c r="E18" s="3" t="e">
        <f>INDEX(PEDIDOS!$A:$D,MATCH(FORNECEDOR!A18,PEDIDOS!$A:$A,0),4)</f>
        <v>#N/A</v>
      </c>
    </row>
    <row r="19" spans="1:5" hidden="1" x14ac:dyDescent="0.25">
      <c r="A19" s="1" t="s">
        <v>18</v>
      </c>
      <c r="B19" s="3">
        <f>COUNTIF(PEDIDOS!$A:$A,FORNECEDOR!A19)</f>
        <v>0</v>
      </c>
      <c r="C19" s="3" t="e">
        <f>INDEX(PEDIDOS!$A:$D,MATCH(FORNECEDOR!A19,PEDIDOS!$A:$A,0),2)</f>
        <v>#N/A</v>
      </c>
      <c r="D19" s="3" t="e">
        <f>INDEX(PEDIDOS!$A:$D,MATCH(FORNECEDOR!A19,PEDIDOS!$A:$A,0),3)</f>
        <v>#N/A</v>
      </c>
      <c r="E19" s="3" t="e">
        <f>INDEX(PEDIDOS!$A:$D,MATCH(FORNECEDOR!A19,PEDIDOS!$A:$A,0),4)</f>
        <v>#N/A</v>
      </c>
    </row>
    <row r="20" spans="1:5" hidden="1" x14ac:dyDescent="0.25">
      <c r="A20" s="1" t="s">
        <v>19</v>
      </c>
      <c r="B20" s="3">
        <f>COUNTIF(PEDIDOS!$A:$A,FORNECEDOR!A20)</f>
        <v>0</v>
      </c>
      <c r="C20" s="3" t="e">
        <f>INDEX(PEDIDOS!$A:$D,MATCH(FORNECEDOR!A20,PEDIDOS!$A:$A,0),2)</f>
        <v>#N/A</v>
      </c>
      <c r="D20" s="3" t="e">
        <f>INDEX(PEDIDOS!$A:$D,MATCH(FORNECEDOR!A20,PEDIDOS!$A:$A,0),3)</f>
        <v>#N/A</v>
      </c>
      <c r="E20" s="3" t="e">
        <f>INDEX(PEDIDOS!$A:$D,MATCH(FORNECEDOR!A20,PEDIDOS!$A:$A,0),4)</f>
        <v>#N/A</v>
      </c>
    </row>
    <row r="21" spans="1:5" x14ac:dyDescent="0.25">
      <c r="A21" s="1" t="s">
        <v>20</v>
      </c>
      <c r="B21" s="3">
        <f>COUNTIF(PEDIDOS!$A:$A,FORNECEDOR!A21)</f>
        <v>1</v>
      </c>
      <c r="C21" s="3" t="str">
        <f>INDEX(PEDIDOS!$A:$D,MATCH(FORNECEDOR!A21,PEDIDOS!$A:$A,0),2)</f>
        <v>CD REGIS</v>
      </c>
      <c r="D21" s="3" t="str">
        <f>INDEX(PEDIDOS!$A:$D,MATCH(FORNECEDOR!A21,PEDIDOS!$A:$A,0),3)</f>
        <v>CD REGIS</v>
      </c>
      <c r="E21" s="3" t="str">
        <f>INDEX(PEDIDOS!$A:$D,MATCH(FORNECEDOR!A21,PEDIDOS!$A:$A,0),4)</f>
        <v>CD REGIS</v>
      </c>
    </row>
    <row r="22" spans="1:5" hidden="1" x14ac:dyDescent="0.25">
      <c r="A22" s="1" t="s">
        <v>21</v>
      </c>
      <c r="B22" s="3">
        <f>COUNTIF(PEDIDOS!$A:$A,FORNECEDOR!A22)</f>
        <v>0</v>
      </c>
      <c r="C22" s="3" t="e">
        <f>INDEX(PEDIDOS!$A:$D,MATCH(FORNECEDOR!A22,PEDIDOS!$A:$A,0),2)</f>
        <v>#N/A</v>
      </c>
      <c r="D22" s="3" t="e">
        <f>INDEX(PEDIDOS!$A:$D,MATCH(FORNECEDOR!A22,PEDIDOS!$A:$A,0),3)</f>
        <v>#N/A</v>
      </c>
      <c r="E22" s="3" t="e">
        <f>INDEX(PEDIDOS!$A:$D,MATCH(FORNECEDOR!A22,PEDIDOS!$A:$A,0),4)</f>
        <v>#N/A</v>
      </c>
    </row>
    <row r="23" spans="1:5" hidden="1" x14ac:dyDescent="0.25">
      <c r="A23" s="1" t="s">
        <v>22</v>
      </c>
      <c r="B23" s="3">
        <f>COUNTIF(PEDIDOS!$A:$A,FORNECEDOR!A23)</f>
        <v>0</v>
      </c>
      <c r="C23" s="3" t="e">
        <f>INDEX(PEDIDOS!$A:$D,MATCH(FORNECEDOR!A23,PEDIDOS!$A:$A,0),2)</f>
        <v>#N/A</v>
      </c>
      <c r="D23" s="3" t="e">
        <f>INDEX(PEDIDOS!$A:$D,MATCH(FORNECEDOR!A23,PEDIDOS!$A:$A,0),3)</f>
        <v>#N/A</v>
      </c>
      <c r="E23" s="3" t="e">
        <f>INDEX(PEDIDOS!$A:$D,MATCH(FORNECEDOR!A23,PEDIDOS!$A:$A,0),4)</f>
        <v>#N/A</v>
      </c>
    </row>
    <row r="24" spans="1:5" hidden="1" x14ac:dyDescent="0.25">
      <c r="A24" s="1" t="s">
        <v>23</v>
      </c>
      <c r="B24" s="3">
        <f>COUNTIF(PEDIDOS!$A:$A,FORNECEDOR!A24)</f>
        <v>0</v>
      </c>
      <c r="C24" s="3" t="e">
        <f>INDEX(PEDIDOS!$A:$D,MATCH(FORNECEDOR!A24,PEDIDOS!$A:$A,0),2)</f>
        <v>#N/A</v>
      </c>
      <c r="D24" s="3" t="e">
        <f>INDEX(PEDIDOS!$A:$D,MATCH(FORNECEDOR!A24,PEDIDOS!$A:$A,0),3)</f>
        <v>#N/A</v>
      </c>
      <c r="E24" s="3" t="e">
        <f>INDEX(PEDIDOS!$A:$D,MATCH(FORNECEDOR!A24,PEDIDOS!$A:$A,0),4)</f>
        <v>#N/A</v>
      </c>
    </row>
    <row r="25" spans="1:5" hidden="1" x14ac:dyDescent="0.25">
      <c r="A25" s="1" t="s">
        <v>24</v>
      </c>
      <c r="B25" s="3">
        <f>COUNTIF(PEDIDOS!$A:$A,FORNECEDOR!A25)</f>
        <v>0</v>
      </c>
      <c r="C25" s="3" t="e">
        <f>INDEX(PEDIDOS!$A:$D,MATCH(FORNECEDOR!A25,PEDIDOS!$A:$A,0),2)</f>
        <v>#N/A</v>
      </c>
      <c r="D25" s="3" t="e">
        <f>INDEX(PEDIDOS!$A:$D,MATCH(FORNECEDOR!A25,PEDIDOS!$A:$A,0),3)</f>
        <v>#N/A</v>
      </c>
      <c r="E25" s="3" t="e">
        <f>INDEX(PEDIDOS!$A:$D,MATCH(FORNECEDOR!A25,PEDIDOS!$A:$A,0),4)</f>
        <v>#N/A</v>
      </c>
    </row>
    <row r="26" spans="1:5" x14ac:dyDescent="0.25">
      <c r="A26" s="1" t="s">
        <v>25</v>
      </c>
      <c r="B26" s="3">
        <f>COUNTIF(PEDIDOS!$A:$A,FORNECEDOR!A26)</f>
        <v>1</v>
      </c>
      <c r="C26" s="3" t="str">
        <f>INDEX(PEDIDOS!$A:$D,MATCH(FORNECEDOR!A26,PEDIDOS!$A:$A,0),2)</f>
        <v>MATRIZ</v>
      </c>
      <c r="D26" s="3" t="str">
        <f>INDEX(PEDIDOS!$A:$D,MATCH(FORNECEDOR!A26,PEDIDOS!$A:$A,0),3)</f>
        <v>MATRIZ</v>
      </c>
      <c r="E26" s="3" t="str">
        <f>INDEX(PEDIDOS!$A:$D,MATCH(FORNECEDOR!A26,PEDIDOS!$A:$A,0),4)</f>
        <v>MATRIZ</v>
      </c>
    </row>
    <row r="27" spans="1:5" hidden="1" x14ac:dyDescent="0.25">
      <c r="A27" s="1" t="s">
        <v>26</v>
      </c>
      <c r="B27" s="3">
        <f>COUNTIF(PEDIDOS!$A:$A,FORNECEDOR!A27)</f>
        <v>0</v>
      </c>
      <c r="C27" s="3" t="e">
        <f>INDEX(PEDIDOS!$A:$D,MATCH(FORNECEDOR!A27,PEDIDOS!$A:$A,0),2)</f>
        <v>#N/A</v>
      </c>
      <c r="D27" s="3" t="e">
        <f>INDEX(PEDIDOS!$A:$D,MATCH(FORNECEDOR!A27,PEDIDOS!$A:$A,0),3)</f>
        <v>#N/A</v>
      </c>
      <c r="E27" s="3" t="e">
        <f>INDEX(PEDIDOS!$A:$D,MATCH(FORNECEDOR!A27,PEDIDOS!$A:$A,0),4)</f>
        <v>#N/A</v>
      </c>
    </row>
    <row r="28" spans="1:5" hidden="1" x14ac:dyDescent="0.25">
      <c r="A28" s="1" t="s">
        <v>27</v>
      </c>
      <c r="B28" s="3">
        <f>COUNTIF(PEDIDOS!$A:$A,FORNECEDOR!A28)</f>
        <v>0</v>
      </c>
      <c r="C28" s="3" t="e">
        <f>INDEX(PEDIDOS!$A:$D,MATCH(FORNECEDOR!A28,PEDIDOS!$A:$A,0),2)</f>
        <v>#N/A</v>
      </c>
      <c r="D28" s="3" t="e">
        <f>INDEX(PEDIDOS!$A:$D,MATCH(FORNECEDOR!A28,PEDIDOS!$A:$A,0),3)</f>
        <v>#N/A</v>
      </c>
      <c r="E28" s="3" t="e">
        <f>INDEX(PEDIDOS!$A:$D,MATCH(FORNECEDOR!A28,PEDIDOS!$A:$A,0),4)</f>
        <v>#N/A</v>
      </c>
    </row>
    <row r="29" spans="1:5" hidden="1" x14ac:dyDescent="0.25">
      <c r="A29" s="1" t="s">
        <v>28</v>
      </c>
      <c r="B29" s="3">
        <f>COUNTIF(PEDIDOS!$A:$A,FORNECEDOR!A29)</f>
        <v>0</v>
      </c>
      <c r="C29" s="3" t="e">
        <f>INDEX(PEDIDOS!$A:$D,MATCH(FORNECEDOR!A29,PEDIDOS!$A:$A,0),2)</f>
        <v>#N/A</v>
      </c>
      <c r="D29" s="3" t="e">
        <f>INDEX(PEDIDOS!$A:$D,MATCH(FORNECEDOR!A29,PEDIDOS!$A:$A,0),3)</f>
        <v>#N/A</v>
      </c>
      <c r="E29" s="3" t="e">
        <f>INDEX(PEDIDOS!$A:$D,MATCH(FORNECEDOR!A29,PEDIDOS!$A:$A,0),4)</f>
        <v>#N/A</v>
      </c>
    </row>
    <row r="30" spans="1:5" hidden="1" x14ac:dyDescent="0.25">
      <c r="A30" s="1" t="s">
        <v>29</v>
      </c>
      <c r="B30" s="3">
        <f>COUNTIF(PEDIDOS!$A:$A,FORNECEDOR!A30)</f>
        <v>0</v>
      </c>
      <c r="C30" s="3" t="e">
        <f>INDEX(PEDIDOS!$A:$D,MATCH(FORNECEDOR!A30,PEDIDOS!$A:$A,0),2)</f>
        <v>#N/A</v>
      </c>
      <c r="D30" s="3" t="e">
        <f>INDEX(PEDIDOS!$A:$D,MATCH(FORNECEDOR!A30,PEDIDOS!$A:$A,0),3)</f>
        <v>#N/A</v>
      </c>
      <c r="E30" s="3" t="e">
        <f>INDEX(PEDIDOS!$A:$D,MATCH(FORNECEDOR!A30,PEDIDOS!$A:$A,0),4)</f>
        <v>#N/A</v>
      </c>
    </row>
    <row r="31" spans="1:5" hidden="1" x14ac:dyDescent="0.25">
      <c r="A31" s="1" t="s">
        <v>30</v>
      </c>
      <c r="B31" s="3">
        <f>COUNTIF(PEDIDOS!$A:$A,FORNECEDOR!A31)</f>
        <v>0</v>
      </c>
      <c r="C31" s="3" t="e">
        <f>INDEX(PEDIDOS!$A:$D,MATCH(FORNECEDOR!A31,PEDIDOS!$A:$A,0),2)</f>
        <v>#N/A</v>
      </c>
      <c r="D31" s="3" t="e">
        <f>INDEX(PEDIDOS!$A:$D,MATCH(FORNECEDOR!A31,PEDIDOS!$A:$A,0),3)</f>
        <v>#N/A</v>
      </c>
      <c r="E31" s="3" t="e">
        <f>INDEX(PEDIDOS!$A:$D,MATCH(FORNECEDOR!A31,PEDIDOS!$A:$A,0),4)</f>
        <v>#N/A</v>
      </c>
    </row>
    <row r="32" spans="1:5" x14ac:dyDescent="0.25">
      <c r="A32" s="1" t="s">
        <v>31</v>
      </c>
      <c r="B32" s="3">
        <f>COUNTIF(PEDIDOS!$A:$A,FORNECEDOR!A32)</f>
        <v>1</v>
      </c>
      <c r="C32" s="3" t="str">
        <f>INDEX(PEDIDOS!$A:$D,MATCH(FORNECEDOR!A32,PEDIDOS!$A:$A,0),2)</f>
        <v>CD REGIS</v>
      </c>
      <c r="D32" s="3" t="str">
        <f>INDEX(PEDIDOS!$A:$D,MATCH(FORNECEDOR!A32,PEDIDOS!$A:$A,0),3)</f>
        <v>TATUAPE</v>
      </c>
      <c r="E32" s="3" t="str">
        <f>INDEX(PEDIDOS!$A:$D,MATCH(FORNECEDOR!A32,PEDIDOS!$A:$A,0),4)</f>
        <v>CD REGIS</v>
      </c>
    </row>
    <row r="33" spans="1:5" x14ac:dyDescent="0.25">
      <c r="A33" s="1" t="s">
        <v>32</v>
      </c>
      <c r="B33" s="3">
        <f>COUNTIF(PEDIDOS!$A:$A,FORNECEDOR!A33)</f>
        <v>1</v>
      </c>
      <c r="C33" s="3" t="str">
        <f>INDEX(PEDIDOS!$A:$D,MATCH(FORNECEDOR!A33,PEDIDOS!$A:$A,0),2)</f>
        <v>MATRIZ</v>
      </c>
      <c r="D33" s="3" t="str">
        <f>INDEX(PEDIDOS!$A:$D,MATCH(FORNECEDOR!A33,PEDIDOS!$A:$A,0),3)</f>
        <v>MATRIZ</v>
      </c>
      <c r="E33" s="3" t="str">
        <f>INDEX(PEDIDOS!$A:$D,MATCH(FORNECEDOR!A33,PEDIDOS!$A:$A,0),4)</f>
        <v>MATRIZ</v>
      </c>
    </row>
    <row r="34" spans="1:5" x14ac:dyDescent="0.25">
      <c r="A34" s="1" t="s">
        <v>33</v>
      </c>
      <c r="B34" s="3">
        <f>COUNTIF(PEDIDOS!$A:$A,FORNECEDOR!A34)</f>
        <v>1</v>
      </c>
      <c r="C34" s="3" t="str">
        <f>INDEX(PEDIDOS!$A:$D,MATCH(FORNECEDOR!A34,PEDIDOS!$A:$A,0),2)</f>
        <v>MATRIZ</v>
      </c>
      <c r="D34" s="3" t="str">
        <f>INDEX(PEDIDOS!$A:$D,MATCH(FORNECEDOR!A34,PEDIDOS!$A:$A,0),3)</f>
        <v>MATRIZ</v>
      </c>
      <c r="E34" s="3" t="str">
        <f>INDEX(PEDIDOS!$A:$D,MATCH(FORNECEDOR!A34,PEDIDOS!$A:$A,0),4)</f>
        <v>MATRIZ</v>
      </c>
    </row>
    <row r="35" spans="1:5" x14ac:dyDescent="0.25">
      <c r="A35" s="1" t="s">
        <v>34</v>
      </c>
      <c r="B35" s="3">
        <f>COUNTIF(PEDIDOS!$A:$A,FORNECEDOR!A35)</f>
        <v>1</v>
      </c>
      <c r="C35" s="3" t="str">
        <f>INDEX(PEDIDOS!$A:$D,MATCH(FORNECEDOR!A35,PEDIDOS!$A:$A,0),2)</f>
        <v>AVANTI- ADM C.CREDITO</v>
      </c>
      <c r="D35" s="3" t="str">
        <f>INDEX(PEDIDOS!$A:$D,MATCH(FORNECEDOR!A35,PEDIDOS!$A:$A,0),3)</f>
        <v>AVANTI- ADM C.CREDITO</v>
      </c>
      <c r="E35" s="3" t="str">
        <f>INDEX(PEDIDOS!$A:$D,MATCH(FORNECEDOR!A35,PEDIDOS!$A:$A,0),4)</f>
        <v>AVANTI- ADM C.CREDITO</v>
      </c>
    </row>
    <row r="36" spans="1:5" x14ac:dyDescent="0.25">
      <c r="A36" s="1" t="s">
        <v>35</v>
      </c>
      <c r="B36" s="3">
        <f>COUNTIF(PEDIDOS!$A:$A,FORNECEDOR!A36)</f>
        <v>3</v>
      </c>
      <c r="C36" s="3" t="str">
        <f>INDEX(PEDIDOS!$A:$D,MATCH(FORNECEDOR!A36,PEDIDOS!$A:$A,0),2)</f>
        <v>CD ARAQUARI</v>
      </c>
      <c r="D36" s="3" t="str">
        <f>INDEX(PEDIDOS!$A:$D,MATCH(FORNECEDOR!A36,PEDIDOS!$A:$A,0),3)</f>
        <v>MATRIZ</v>
      </c>
      <c r="E36" s="3" t="str">
        <f>INDEX(PEDIDOS!$A:$D,MATCH(FORNECEDOR!A36,PEDIDOS!$A:$A,0),4)</f>
        <v>CD ARAQUARI</v>
      </c>
    </row>
    <row r="37" spans="1:5" x14ac:dyDescent="0.25">
      <c r="A37" s="1" t="s">
        <v>36</v>
      </c>
      <c r="B37" s="3">
        <f>COUNTIF(PEDIDOS!$A:$A,FORNECEDOR!A37)</f>
        <v>1</v>
      </c>
      <c r="C37" s="3" t="str">
        <f>INDEX(PEDIDOS!$A:$D,MATCH(FORNECEDOR!A37,PEDIDOS!$A:$A,0),2)</f>
        <v>MATRIZ</v>
      </c>
      <c r="D37" s="3" t="str">
        <f>INDEX(PEDIDOS!$A:$D,MATCH(FORNECEDOR!A37,PEDIDOS!$A:$A,0),3)</f>
        <v>MATRIZ</v>
      </c>
      <c r="E37" s="3" t="str">
        <f>INDEX(PEDIDOS!$A:$D,MATCH(FORNECEDOR!A37,PEDIDOS!$A:$A,0),4)</f>
        <v>MATRIZ</v>
      </c>
    </row>
    <row r="38" spans="1:5" x14ac:dyDescent="0.25">
      <c r="A38" s="1" t="s">
        <v>37</v>
      </c>
      <c r="B38" s="3">
        <f>COUNTIF(PEDIDOS!$A:$A,FORNECEDOR!A38)</f>
        <v>1</v>
      </c>
      <c r="C38" s="3" t="str">
        <f>INDEX(PEDIDOS!$A:$D,MATCH(FORNECEDOR!A38,PEDIDOS!$A:$A,0),2)</f>
        <v>SP - PARI</v>
      </c>
      <c r="D38" s="3" t="str">
        <f>INDEX(PEDIDOS!$A:$D,MATCH(FORNECEDOR!A38,PEDIDOS!$A:$A,0),3)</f>
        <v>SP - PARI</v>
      </c>
      <c r="E38" s="3" t="str">
        <f>INDEX(PEDIDOS!$A:$D,MATCH(FORNECEDOR!A38,PEDIDOS!$A:$A,0),4)</f>
        <v>SP - PARI</v>
      </c>
    </row>
    <row r="39" spans="1:5" hidden="1" x14ac:dyDescent="0.25">
      <c r="A39" s="1" t="s">
        <v>38</v>
      </c>
      <c r="B39" s="3">
        <f>COUNTIF(PEDIDOS!$A:$A,FORNECEDOR!A39)</f>
        <v>0</v>
      </c>
      <c r="C39" s="3" t="e">
        <f>INDEX(PEDIDOS!$A:$D,MATCH(FORNECEDOR!A39,PEDIDOS!$A:$A,0),2)</f>
        <v>#N/A</v>
      </c>
      <c r="D39" s="3" t="e">
        <f>INDEX(PEDIDOS!$A:$D,MATCH(FORNECEDOR!A39,PEDIDOS!$A:$A,0),3)</f>
        <v>#N/A</v>
      </c>
      <c r="E39" s="3" t="e">
        <f>INDEX(PEDIDOS!$A:$D,MATCH(FORNECEDOR!A39,PEDIDOS!$A:$A,0),4)</f>
        <v>#N/A</v>
      </c>
    </row>
    <row r="40" spans="1:5" hidden="1" x14ac:dyDescent="0.25">
      <c r="A40" s="1" t="s">
        <v>39</v>
      </c>
      <c r="B40" s="3">
        <f>COUNTIF(PEDIDOS!$A:$A,FORNECEDOR!A40)</f>
        <v>0</v>
      </c>
      <c r="C40" s="3" t="e">
        <f>INDEX(PEDIDOS!$A:$D,MATCH(FORNECEDOR!A40,PEDIDOS!$A:$A,0),2)</f>
        <v>#N/A</v>
      </c>
      <c r="D40" s="3" t="e">
        <f>INDEX(PEDIDOS!$A:$D,MATCH(FORNECEDOR!A40,PEDIDOS!$A:$A,0),3)</f>
        <v>#N/A</v>
      </c>
      <c r="E40" s="3" t="e">
        <f>INDEX(PEDIDOS!$A:$D,MATCH(FORNECEDOR!A40,PEDIDOS!$A:$A,0),4)</f>
        <v>#N/A</v>
      </c>
    </row>
    <row r="41" spans="1:5" hidden="1" x14ac:dyDescent="0.25">
      <c r="A41" s="1" t="s">
        <v>40</v>
      </c>
      <c r="B41" s="3">
        <f>COUNTIF(PEDIDOS!$A:$A,FORNECEDOR!A41)</f>
        <v>0</v>
      </c>
      <c r="C41" s="3" t="e">
        <f>INDEX(PEDIDOS!$A:$D,MATCH(FORNECEDOR!A41,PEDIDOS!$A:$A,0),2)</f>
        <v>#N/A</v>
      </c>
      <c r="D41" s="3" t="e">
        <f>INDEX(PEDIDOS!$A:$D,MATCH(FORNECEDOR!A41,PEDIDOS!$A:$A,0),3)</f>
        <v>#N/A</v>
      </c>
      <c r="E41" s="3" t="e">
        <f>INDEX(PEDIDOS!$A:$D,MATCH(FORNECEDOR!A41,PEDIDOS!$A:$A,0),4)</f>
        <v>#N/A</v>
      </c>
    </row>
    <row r="42" spans="1:5" hidden="1" x14ac:dyDescent="0.25">
      <c r="A42" s="1" t="s">
        <v>41</v>
      </c>
      <c r="B42" s="3">
        <f>COUNTIF(PEDIDOS!$A:$A,FORNECEDOR!A42)</f>
        <v>0</v>
      </c>
      <c r="C42" s="3" t="e">
        <f>INDEX(PEDIDOS!$A:$D,MATCH(FORNECEDOR!A42,PEDIDOS!$A:$A,0),2)</f>
        <v>#N/A</v>
      </c>
      <c r="D42" s="3" t="e">
        <f>INDEX(PEDIDOS!$A:$D,MATCH(FORNECEDOR!A42,PEDIDOS!$A:$A,0),3)</f>
        <v>#N/A</v>
      </c>
      <c r="E42" s="3" t="e">
        <f>INDEX(PEDIDOS!$A:$D,MATCH(FORNECEDOR!A42,PEDIDOS!$A:$A,0),4)</f>
        <v>#N/A</v>
      </c>
    </row>
    <row r="43" spans="1:5" hidden="1" x14ac:dyDescent="0.25">
      <c r="A43" s="1" t="s">
        <v>42</v>
      </c>
      <c r="B43" s="3">
        <f>COUNTIF(PEDIDOS!$A:$A,FORNECEDOR!A43)</f>
        <v>0</v>
      </c>
      <c r="C43" s="3" t="e">
        <f>INDEX(PEDIDOS!$A:$D,MATCH(FORNECEDOR!A43,PEDIDOS!$A:$A,0),2)</f>
        <v>#N/A</v>
      </c>
      <c r="D43" s="3" t="e">
        <f>INDEX(PEDIDOS!$A:$D,MATCH(FORNECEDOR!A43,PEDIDOS!$A:$A,0),3)</f>
        <v>#N/A</v>
      </c>
      <c r="E43" s="3" t="e">
        <f>INDEX(PEDIDOS!$A:$D,MATCH(FORNECEDOR!A43,PEDIDOS!$A:$A,0),4)</f>
        <v>#N/A</v>
      </c>
    </row>
    <row r="44" spans="1:5" hidden="1" x14ac:dyDescent="0.25">
      <c r="A44" s="1" t="s">
        <v>43</v>
      </c>
      <c r="B44" s="3">
        <f>COUNTIF(PEDIDOS!$A:$A,FORNECEDOR!A44)</f>
        <v>0</v>
      </c>
      <c r="C44" s="3" t="e">
        <f>INDEX(PEDIDOS!$A:$D,MATCH(FORNECEDOR!A44,PEDIDOS!$A:$A,0),2)</f>
        <v>#N/A</v>
      </c>
      <c r="D44" s="3" t="e">
        <f>INDEX(PEDIDOS!$A:$D,MATCH(FORNECEDOR!A44,PEDIDOS!$A:$A,0),3)</f>
        <v>#N/A</v>
      </c>
      <c r="E44" s="3" t="e">
        <f>INDEX(PEDIDOS!$A:$D,MATCH(FORNECEDOR!A44,PEDIDOS!$A:$A,0),4)</f>
        <v>#N/A</v>
      </c>
    </row>
    <row r="45" spans="1:5" x14ac:dyDescent="0.25">
      <c r="A45" s="1" t="s">
        <v>44</v>
      </c>
      <c r="B45" s="3">
        <f>COUNTIF(PEDIDOS!$A:$A,FORNECEDOR!A45)</f>
        <v>2</v>
      </c>
      <c r="C45" s="3" t="str">
        <f>INDEX(PEDIDOS!$A:$D,MATCH(FORNECEDOR!A45,PEDIDOS!$A:$A,0),2)</f>
        <v>CD ARAQUARI</v>
      </c>
      <c r="D45" s="3" t="str">
        <f>INDEX(PEDIDOS!$A:$D,MATCH(FORNECEDOR!A45,PEDIDOS!$A:$A,0),3)</f>
        <v>MATRIZ</v>
      </c>
      <c r="E45" s="3" t="str">
        <f>INDEX(PEDIDOS!$A:$D,MATCH(FORNECEDOR!A45,PEDIDOS!$A:$A,0),4)</f>
        <v>CD ARAQUARI</v>
      </c>
    </row>
    <row r="46" spans="1:5" x14ac:dyDescent="0.25">
      <c r="A46" s="1" t="s">
        <v>45</v>
      </c>
      <c r="B46" s="3">
        <f>COUNTIF(PEDIDOS!$A:$A,FORNECEDOR!A46)</f>
        <v>1</v>
      </c>
      <c r="C46" s="3" t="str">
        <f>INDEX(PEDIDOS!$A:$D,MATCH(FORNECEDOR!A46,PEDIDOS!$A:$A,0),2)</f>
        <v>CD REGIS</v>
      </c>
      <c r="D46" s="3" t="str">
        <f>INDEX(PEDIDOS!$A:$D,MATCH(FORNECEDOR!A46,PEDIDOS!$A:$A,0),3)</f>
        <v>MATRIZ</v>
      </c>
      <c r="E46" s="3" t="str">
        <f>INDEX(PEDIDOS!$A:$D,MATCH(FORNECEDOR!A46,PEDIDOS!$A:$A,0),4)</f>
        <v>CD REGIS</v>
      </c>
    </row>
    <row r="47" spans="1:5" hidden="1" x14ac:dyDescent="0.25">
      <c r="A47" s="1" t="s">
        <v>46</v>
      </c>
      <c r="B47" s="3">
        <f>COUNTIF(PEDIDOS!$A:$A,FORNECEDOR!A47)</f>
        <v>0</v>
      </c>
      <c r="C47" s="3" t="e">
        <f>INDEX(PEDIDOS!$A:$D,MATCH(FORNECEDOR!A47,PEDIDOS!$A:$A,0),2)</f>
        <v>#N/A</v>
      </c>
      <c r="D47" s="3" t="e">
        <f>INDEX(PEDIDOS!$A:$D,MATCH(FORNECEDOR!A47,PEDIDOS!$A:$A,0),3)</f>
        <v>#N/A</v>
      </c>
      <c r="E47" s="3" t="e">
        <f>INDEX(PEDIDOS!$A:$D,MATCH(FORNECEDOR!A47,PEDIDOS!$A:$A,0),4)</f>
        <v>#N/A</v>
      </c>
    </row>
    <row r="48" spans="1:5" hidden="1" x14ac:dyDescent="0.25">
      <c r="A48" s="1" t="s">
        <v>47</v>
      </c>
      <c r="B48" s="3">
        <f>COUNTIF(PEDIDOS!$A:$A,FORNECEDOR!A48)</f>
        <v>0</v>
      </c>
      <c r="C48" s="3" t="e">
        <f>INDEX(PEDIDOS!$A:$D,MATCH(FORNECEDOR!A48,PEDIDOS!$A:$A,0),2)</f>
        <v>#N/A</v>
      </c>
      <c r="D48" s="3" t="e">
        <f>INDEX(PEDIDOS!$A:$D,MATCH(FORNECEDOR!A48,PEDIDOS!$A:$A,0),3)</f>
        <v>#N/A</v>
      </c>
      <c r="E48" s="3" t="e">
        <f>INDEX(PEDIDOS!$A:$D,MATCH(FORNECEDOR!A48,PEDIDOS!$A:$A,0),4)</f>
        <v>#N/A</v>
      </c>
    </row>
    <row r="49" spans="1:5" x14ac:dyDescent="0.25">
      <c r="A49" s="1" t="s">
        <v>48</v>
      </c>
      <c r="B49" s="3">
        <f>COUNTIF(PEDIDOS!$A:$A,FORNECEDOR!A49)</f>
        <v>3</v>
      </c>
      <c r="C49" s="3" t="str">
        <f>INDEX(PEDIDOS!$A:$D,MATCH(FORNECEDOR!A49,PEDIDOS!$A:$A,0),2)</f>
        <v>CD ARAQUARI</v>
      </c>
      <c r="D49" s="3" t="str">
        <f>INDEX(PEDIDOS!$A:$D,MATCH(FORNECEDOR!A49,PEDIDOS!$A:$A,0),3)</f>
        <v>MATRIZ</v>
      </c>
      <c r="E49" s="3" t="str">
        <f>INDEX(PEDIDOS!$A:$D,MATCH(FORNECEDOR!A49,PEDIDOS!$A:$A,0),4)</f>
        <v>CD ARAQUARI</v>
      </c>
    </row>
    <row r="50" spans="1:5" x14ac:dyDescent="0.25">
      <c r="A50" s="1" t="s">
        <v>49</v>
      </c>
      <c r="B50" s="3">
        <f>COUNTIF(PEDIDOS!$A:$A,FORNECEDOR!A50)</f>
        <v>1</v>
      </c>
      <c r="C50" s="3" t="str">
        <f>INDEX(PEDIDOS!$A:$D,MATCH(FORNECEDOR!A50,PEDIDOS!$A:$A,0),2)</f>
        <v>SP - PARI</v>
      </c>
      <c r="D50" s="3" t="str">
        <f>INDEX(PEDIDOS!$A:$D,MATCH(FORNECEDOR!A50,PEDIDOS!$A:$A,0),3)</f>
        <v>SP - PARI</v>
      </c>
      <c r="E50" s="3" t="str">
        <f>INDEX(PEDIDOS!$A:$D,MATCH(FORNECEDOR!A50,PEDIDOS!$A:$A,0),4)</f>
        <v>SP - PARI</v>
      </c>
    </row>
    <row r="51" spans="1:5" hidden="1" x14ac:dyDescent="0.25">
      <c r="A51" s="1" t="s">
        <v>50</v>
      </c>
      <c r="B51" s="3">
        <f>COUNTIF(PEDIDOS!$A:$A,FORNECEDOR!A51)</f>
        <v>0</v>
      </c>
      <c r="C51" s="3" t="e">
        <f>INDEX(PEDIDOS!$A:$D,MATCH(FORNECEDOR!A51,PEDIDOS!$A:$A,0),2)</f>
        <v>#N/A</v>
      </c>
      <c r="D51" s="3" t="e">
        <f>INDEX(PEDIDOS!$A:$D,MATCH(FORNECEDOR!A51,PEDIDOS!$A:$A,0),3)</f>
        <v>#N/A</v>
      </c>
      <c r="E51" s="3" t="e">
        <f>INDEX(PEDIDOS!$A:$D,MATCH(FORNECEDOR!A51,PEDIDOS!$A:$A,0),4)</f>
        <v>#N/A</v>
      </c>
    </row>
    <row r="52" spans="1:5" x14ac:dyDescent="0.25">
      <c r="A52" s="1" t="s">
        <v>51</v>
      </c>
      <c r="B52" s="3">
        <f>COUNTIF(PEDIDOS!$A:$A,FORNECEDOR!A52)</f>
        <v>3</v>
      </c>
      <c r="C52" s="3" t="str">
        <f>INDEX(PEDIDOS!$A:$D,MATCH(FORNECEDOR!A52,PEDIDOS!$A:$A,0),2)</f>
        <v>CD NAVEGANTES</v>
      </c>
      <c r="D52" s="3" t="str">
        <f>INDEX(PEDIDOS!$A:$D,MATCH(FORNECEDOR!A52,PEDIDOS!$A:$A,0),3)</f>
        <v>MATRIZ</v>
      </c>
      <c r="E52" s="3" t="str">
        <f>INDEX(PEDIDOS!$A:$D,MATCH(FORNECEDOR!A52,PEDIDOS!$A:$A,0),4)</f>
        <v>CD NAVEGANTES</v>
      </c>
    </row>
    <row r="53" spans="1:5" hidden="1" x14ac:dyDescent="0.25">
      <c r="A53" s="1" t="s">
        <v>52</v>
      </c>
      <c r="B53" s="3">
        <f>COUNTIF(PEDIDOS!$A:$A,FORNECEDOR!A53)</f>
        <v>0</v>
      </c>
      <c r="C53" s="3" t="e">
        <f>INDEX(PEDIDOS!$A:$D,MATCH(FORNECEDOR!A53,PEDIDOS!$A:$A,0),2)</f>
        <v>#N/A</v>
      </c>
      <c r="D53" s="3" t="e">
        <f>INDEX(PEDIDOS!$A:$D,MATCH(FORNECEDOR!A53,PEDIDOS!$A:$A,0),3)</f>
        <v>#N/A</v>
      </c>
      <c r="E53" s="3" t="e">
        <f>INDEX(PEDIDOS!$A:$D,MATCH(FORNECEDOR!A53,PEDIDOS!$A:$A,0),4)</f>
        <v>#N/A</v>
      </c>
    </row>
    <row r="54" spans="1:5" x14ac:dyDescent="0.25">
      <c r="A54" s="1" t="s">
        <v>53</v>
      </c>
      <c r="B54" s="3">
        <f>COUNTIF(PEDIDOS!$A:$A,FORNECEDOR!A54)</f>
        <v>3</v>
      </c>
      <c r="C54" s="3" t="str">
        <f>INDEX(PEDIDOS!$A:$D,MATCH(FORNECEDOR!A54,PEDIDOS!$A:$A,0),2)</f>
        <v>ANPPLA</v>
      </c>
      <c r="D54" s="3" t="str">
        <f>INDEX(PEDIDOS!$A:$D,MATCH(FORNECEDOR!A54,PEDIDOS!$A:$A,0),3)</f>
        <v>ANPPLA</v>
      </c>
      <c r="E54" s="3" t="str">
        <f>INDEX(PEDIDOS!$A:$D,MATCH(FORNECEDOR!A54,PEDIDOS!$A:$A,0),4)</f>
        <v>ANPPLA</v>
      </c>
    </row>
    <row r="55" spans="1:5" hidden="1" x14ac:dyDescent="0.25">
      <c r="A55" s="1" t="s">
        <v>54</v>
      </c>
      <c r="B55" s="3">
        <f>COUNTIF(PEDIDOS!$A:$A,FORNECEDOR!A55)</f>
        <v>0</v>
      </c>
      <c r="C55" s="3" t="e">
        <f>INDEX(PEDIDOS!$A:$D,MATCH(FORNECEDOR!A55,PEDIDOS!$A:$A,0),2)</f>
        <v>#N/A</v>
      </c>
      <c r="D55" s="3" t="e">
        <f>INDEX(PEDIDOS!$A:$D,MATCH(FORNECEDOR!A55,PEDIDOS!$A:$A,0),3)</f>
        <v>#N/A</v>
      </c>
      <c r="E55" s="3" t="e">
        <f>INDEX(PEDIDOS!$A:$D,MATCH(FORNECEDOR!A55,PEDIDOS!$A:$A,0),4)</f>
        <v>#N/A</v>
      </c>
    </row>
    <row r="56" spans="1:5" hidden="1" x14ac:dyDescent="0.25">
      <c r="A56" s="1" t="s">
        <v>55</v>
      </c>
      <c r="B56" s="3">
        <f>COUNTIF(PEDIDOS!$A:$A,FORNECEDOR!A56)</f>
        <v>0</v>
      </c>
      <c r="C56" s="3" t="e">
        <f>INDEX(PEDIDOS!$A:$D,MATCH(FORNECEDOR!A56,PEDIDOS!$A:$A,0),2)</f>
        <v>#N/A</v>
      </c>
      <c r="D56" s="3" t="e">
        <f>INDEX(PEDIDOS!$A:$D,MATCH(FORNECEDOR!A56,PEDIDOS!$A:$A,0),3)</f>
        <v>#N/A</v>
      </c>
      <c r="E56" s="3" t="e">
        <f>INDEX(PEDIDOS!$A:$D,MATCH(FORNECEDOR!A56,PEDIDOS!$A:$A,0),4)</f>
        <v>#N/A</v>
      </c>
    </row>
    <row r="57" spans="1:5" x14ac:dyDescent="0.25">
      <c r="A57" s="1" t="s">
        <v>56</v>
      </c>
      <c r="B57" s="3">
        <f>COUNTIF(PEDIDOS!$A:$A,FORNECEDOR!A57)</f>
        <v>9</v>
      </c>
      <c r="C57" s="3" t="str">
        <f>INDEX(PEDIDOS!$A:$D,MATCH(FORNECEDOR!A57,PEDIDOS!$A:$A,0),2)</f>
        <v>AVANTI- ADM C.CREDITO</v>
      </c>
      <c r="D57" s="3" t="str">
        <f>INDEX(PEDIDOS!$A:$D,MATCH(FORNECEDOR!A57,PEDIDOS!$A:$A,0),3)</f>
        <v>AVANTI- ADM C.CREDITO</v>
      </c>
      <c r="E57" s="3" t="str">
        <f>INDEX(PEDIDOS!$A:$D,MATCH(FORNECEDOR!A57,PEDIDOS!$A:$A,0),4)</f>
        <v>AVANTI- ADM C.CREDITO</v>
      </c>
    </row>
    <row r="58" spans="1:5" hidden="1" x14ac:dyDescent="0.25">
      <c r="A58" s="1" t="s">
        <v>57</v>
      </c>
      <c r="B58" s="3">
        <f>COUNTIF(PEDIDOS!$A:$A,FORNECEDOR!A58)</f>
        <v>0</v>
      </c>
      <c r="C58" s="3" t="e">
        <f>INDEX(PEDIDOS!$A:$D,MATCH(FORNECEDOR!A58,PEDIDOS!$A:$A,0),2)</f>
        <v>#N/A</v>
      </c>
      <c r="D58" s="3" t="e">
        <f>INDEX(PEDIDOS!$A:$D,MATCH(FORNECEDOR!A58,PEDIDOS!$A:$A,0),3)</f>
        <v>#N/A</v>
      </c>
      <c r="E58" s="3" t="e">
        <f>INDEX(PEDIDOS!$A:$D,MATCH(FORNECEDOR!A58,PEDIDOS!$A:$A,0),4)</f>
        <v>#N/A</v>
      </c>
    </row>
    <row r="59" spans="1:5" hidden="1" x14ac:dyDescent="0.25">
      <c r="A59" s="1" t="s">
        <v>58</v>
      </c>
      <c r="B59" s="3">
        <f>COUNTIF(PEDIDOS!$A:$A,FORNECEDOR!A59)</f>
        <v>0</v>
      </c>
      <c r="C59" s="3" t="e">
        <f>INDEX(PEDIDOS!$A:$D,MATCH(FORNECEDOR!A59,PEDIDOS!$A:$A,0),2)</f>
        <v>#N/A</v>
      </c>
      <c r="D59" s="3" t="e">
        <f>INDEX(PEDIDOS!$A:$D,MATCH(FORNECEDOR!A59,PEDIDOS!$A:$A,0),3)</f>
        <v>#N/A</v>
      </c>
      <c r="E59" s="3" t="e">
        <f>INDEX(PEDIDOS!$A:$D,MATCH(FORNECEDOR!A59,PEDIDOS!$A:$A,0),4)</f>
        <v>#N/A</v>
      </c>
    </row>
    <row r="60" spans="1:5" hidden="1" x14ac:dyDescent="0.25">
      <c r="A60" s="1" t="s">
        <v>59</v>
      </c>
      <c r="B60" s="3">
        <f>COUNTIF(PEDIDOS!$A:$A,FORNECEDOR!A60)</f>
        <v>0</v>
      </c>
      <c r="C60" s="3" t="e">
        <f>INDEX(PEDIDOS!$A:$D,MATCH(FORNECEDOR!A60,PEDIDOS!$A:$A,0),2)</f>
        <v>#N/A</v>
      </c>
      <c r="D60" s="3" t="e">
        <f>INDEX(PEDIDOS!$A:$D,MATCH(FORNECEDOR!A60,PEDIDOS!$A:$A,0),3)</f>
        <v>#N/A</v>
      </c>
      <c r="E60" s="3" t="e">
        <f>INDEX(PEDIDOS!$A:$D,MATCH(FORNECEDOR!A60,PEDIDOS!$A:$A,0),4)</f>
        <v>#N/A</v>
      </c>
    </row>
    <row r="61" spans="1:5" hidden="1" x14ac:dyDescent="0.25">
      <c r="A61" s="1" t="s">
        <v>60</v>
      </c>
      <c r="B61" s="3">
        <f>COUNTIF(PEDIDOS!$A:$A,FORNECEDOR!A61)</f>
        <v>0</v>
      </c>
      <c r="C61" s="3" t="e">
        <f>INDEX(PEDIDOS!$A:$D,MATCH(FORNECEDOR!A61,PEDIDOS!$A:$A,0),2)</f>
        <v>#N/A</v>
      </c>
      <c r="D61" s="3" t="e">
        <f>INDEX(PEDIDOS!$A:$D,MATCH(FORNECEDOR!A61,PEDIDOS!$A:$A,0),3)</f>
        <v>#N/A</v>
      </c>
      <c r="E61" s="3" t="e">
        <f>INDEX(PEDIDOS!$A:$D,MATCH(FORNECEDOR!A61,PEDIDOS!$A:$A,0),4)</f>
        <v>#N/A</v>
      </c>
    </row>
    <row r="62" spans="1:5" hidden="1" x14ac:dyDescent="0.25">
      <c r="A62" s="1" t="s">
        <v>61</v>
      </c>
      <c r="B62" s="3">
        <f>COUNTIF(PEDIDOS!$A:$A,FORNECEDOR!A62)</f>
        <v>0</v>
      </c>
      <c r="C62" s="3" t="e">
        <f>INDEX(PEDIDOS!$A:$D,MATCH(FORNECEDOR!A62,PEDIDOS!$A:$A,0),2)</f>
        <v>#N/A</v>
      </c>
      <c r="D62" s="3" t="e">
        <f>INDEX(PEDIDOS!$A:$D,MATCH(FORNECEDOR!A62,PEDIDOS!$A:$A,0),3)</f>
        <v>#N/A</v>
      </c>
      <c r="E62" s="3" t="e">
        <f>INDEX(PEDIDOS!$A:$D,MATCH(FORNECEDOR!A62,PEDIDOS!$A:$A,0),4)</f>
        <v>#N/A</v>
      </c>
    </row>
    <row r="63" spans="1:5" hidden="1" x14ac:dyDescent="0.25">
      <c r="A63" s="1" t="s">
        <v>62</v>
      </c>
      <c r="B63" s="3">
        <f>COUNTIF(PEDIDOS!$A:$A,FORNECEDOR!A63)</f>
        <v>0</v>
      </c>
      <c r="C63" s="3" t="e">
        <f>INDEX(PEDIDOS!$A:$D,MATCH(FORNECEDOR!A63,PEDIDOS!$A:$A,0),2)</f>
        <v>#N/A</v>
      </c>
      <c r="D63" s="3" t="e">
        <f>INDEX(PEDIDOS!$A:$D,MATCH(FORNECEDOR!A63,PEDIDOS!$A:$A,0),3)</f>
        <v>#N/A</v>
      </c>
      <c r="E63" s="3" t="e">
        <f>INDEX(PEDIDOS!$A:$D,MATCH(FORNECEDOR!A63,PEDIDOS!$A:$A,0),4)</f>
        <v>#N/A</v>
      </c>
    </row>
    <row r="64" spans="1:5" hidden="1" x14ac:dyDescent="0.25">
      <c r="A64" s="1" t="s">
        <v>63</v>
      </c>
      <c r="B64" s="3">
        <f>COUNTIF(PEDIDOS!$A:$A,FORNECEDOR!A64)</f>
        <v>0</v>
      </c>
      <c r="C64" s="3" t="e">
        <f>INDEX(PEDIDOS!$A:$D,MATCH(FORNECEDOR!A64,PEDIDOS!$A:$A,0),2)</f>
        <v>#N/A</v>
      </c>
      <c r="D64" s="3" t="e">
        <f>INDEX(PEDIDOS!$A:$D,MATCH(FORNECEDOR!A64,PEDIDOS!$A:$A,0),3)</f>
        <v>#N/A</v>
      </c>
      <c r="E64" s="3" t="e">
        <f>INDEX(PEDIDOS!$A:$D,MATCH(FORNECEDOR!A64,PEDIDOS!$A:$A,0),4)</f>
        <v>#N/A</v>
      </c>
    </row>
    <row r="65" spans="1:5" hidden="1" x14ac:dyDescent="0.25">
      <c r="A65" s="1" t="s">
        <v>64</v>
      </c>
      <c r="B65" s="3">
        <f>COUNTIF(PEDIDOS!$A:$A,FORNECEDOR!A65)</f>
        <v>0</v>
      </c>
      <c r="C65" s="3" t="e">
        <f>INDEX(PEDIDOS!$A:$D,MATCH(FORNECEDOR!A65,PEDIDOS!$A:$A,0),2)</f>
        <v>#N/A</v>
      </c>
      <c r="D65" s="3" t="e">
        <f>INDEX(PEDIDOS!$A:$D,MATCH(FORNECEDOR!A65,PEDIDOS!$A:$A,0),3)</f>
        <v>#N/A</v>
      </c>
      <c r="E65" s="3" t="e">
        <f>INDEX(PEDIDOS!$A:$D,MATCH(FORNECEDOR!A65,PEDIDOS!$A:$A,0),4)</f>
        <v>#N/A</v>
      </c>
    </row>
    <row r="66" spans="1:5" hidden="1" x14ac:dyDescent="0.25">
      <c r="A66" s="1" t="s">
        <v>65</v>
      </c>
      <c r="B66" s="3">
        <f>COUNTIF(PEDIDOS!$A:$A,FORNECEDOR!A66)</f>
        <v>0</v>
      </c>
      <c r="C66" s="3" t="e">
        <f>INDEX(PEDIDOS!$A:$D,MATCH(FORNECEDOR!A66,PEDIDOS!$A:$A,0),2)</f>
        <v>#N/A</v>
      </c>
      <c r="D66" s="3" t="e">
        <f>INDEX(PEDIDOS!$A:$D,MATCH(FORNECEDOR!A66,PEDIDOS!$A:$A,0),3)</f>
        <v>#N/A</v>
      </c>
      <c r="E66" s="3" t="e">
        <f>INDEX(PEDIDOS!$A:$D,MATCH(FORNECEDOR!A66,PEDIDOS!$A:$A,0),4)</f>
        <v>#N/A</v>
      </c>
    </row>
    <row r="67" spans="1:5" hidden="1" x14ac:dyDescent="0.25">
      <c r="A67" s="1" t="s">
        <v>66</v>
      </c>
      <c r="B67" s="3">
        <f>COUNTIF(PEDIDOS!$A:$A,FORNECEDOR!A67)</f>
        <v>0</v>
      </c>
      <c r="C67" s="3" t="e">
        <f>INDEX(PEDIDOS!$A:$D,MATCH(FORNECEDOR!A67,PEDIDOS!$A:$A,0),2)</f>
        <v>#N/A</v>
      </c>
      <c r="D67" s="3" t="e">
        <f>INDEX(PEDIDOS!$A:$D,MATCH(FORNECEDOR!A67,PEDIDOS!$A:$A,0),3)</f>
        <v>#N/A</v>
      </c>
      <c r="E67" s="3" t="e">
        <f>INDEX(PEDIDOS!$A:$D,MATCH(FORNECEDOR!A67,PEDIDOS!$A:$A,0),4)</f>
        <v>#N/A</v>
      </c>
    </row>
    <row r="68" spans="1:5" x14ac:dyDescent="0.25">
      <c r="A68" s="1" t="s">
        <v>67</v>
      </c>
      <c r="B68" s="3">
        <f>COUNTIF(PEDIDOS!$A:$A,FORNECEDOR!A68)</f>
        <v>1</v>
      </c>
      <c r="C68" s="3" t="str">
        <f>INDEX(PEDIDOS!$A:$D,MATCH(FORNECEDOR!A68,PEDIDOS!$A:$A,0),2)</f>
        <v>SP - PARI</v>
      </c>
      <c r="D68" s="3" t="str">
        <f>INDEX(PEDIDOS!$A:$D,MATCH(FORNECEDOR!A68,PEDIDOS!$A:$A,0),3)</f>
        <v>SP - PARI</v>
      </c>
      <c r="E68" s="3" t="str">
        <f>INDEX(PEDIDOS!$A:$D,MATCH(FORNECEDOR!A68,PEDIDOS!$A:$A,0),4)</f>
        <v>SP - PARI</v>
      </c>
    </row>
    <row r="69" spans="1:5" hidden="1" x14ac:dyDescent="0.25">
      <c r="A69" s="1" t="s">
        <v>68</v>
      </c>
      <c r="B69" s="3">
        <f>COUNTIF(PEDIDOS!$A:$A,FORNECEDOR!A69)</f>
        <v>0</v>
      </c>
      <c r="C69" s="3" t="e">
        <f>INDEX(PEDIDOS!$A:$D,MATCH(FORNECEDOR!A69,PEDIDOS!$A:$A,0),2)</f>
        <v>#N/A</v>
      </c>
      <c r="D69" s="3" t="e">
        <f>INDEX(PEDIDOS!$A:$D,MATCH(FORNECEDOR!A69,PEDIDOS!$A:$A,0),3)</f>
        <v>#N/A</v>
      </c>
      <c r="E69" s="3" t="e">
        <f>INDEX(PEDIDOS!$A:$D,MATCH(FORNECEDOR!A69,PEDIDOS!$A:$A,0),4)</f>
        <v>#N/A</v>
      </c>
    </row>
    <row r="70" spans="1:5" x14ac:dyDescent="0.25">
      <c r="A70" s="1" t="s">
        <v>69</v>
      </c>
      <c r="B70" s="3">
        <f>COUNTIF(PEDIDOS!$A:$A,FORNECEDOR!A70)</f>
        <v>1</v>
      </c>
      <c r="C70" s="3" t="str">
        <f>INDEX(PEDIDOS!$A:$D,MATCH(FORNECEDOR!A70,PEDIDOS!$A:$A,0),2)</f>
        <v>CD REGIS</v>
      </c>
      <c r="D70" s="3" t="str">
        <f>INDEX(PEDIDOS!$A:$D,MATCH(FORNECEDOR!A70,PEDIDOS!$A:$A,0),3)</f>
        <v>CD REGIS</v>
      </c>
      <c r="E70" s="3" t="str">
        <f>INDEX(PEDIDOS!$A:$D,MATCH(FORNECEDOR!A70,PEDIDOS!$A:$A,0),4)</f>
        <v>CD REGIS</v>
      </c>
    </row>
    <row r="71" spans="1:5" x14ac:dyDescent="0.25">
      <c r="A71" s="1" t="s">
        <v>70</v>
      </c>
      <c r="B71" s="3">
        <f>COUNTIF(PEDIDOS!$A:$A,FORNECEDOR!A71)</f>
        <v>1</v>
      </c>
      <c r="C71" s="3" t="str">
        <f>INDEX(PEDIDOS!$A:$D,MATCH(FORNECEDOR!A71,PEDIDOS!$A:$A,0),2)</f>
        <v>CD REGIS</v>
      </c>
      <c r="D71" s="3" t="str">
        <f>INDEX(PEDIDOS!$A:$D,MATCH(FORNECEDOR!A71,PEDIDOS!$A:$A,0),3)</f>
        <v>MATRIZ</v>
      </c>
      <c r="E71" s="3" t="str">
        <f>INDEX(PEDIDOS!$A:$D,MATCH(FORNECEDOR!A71,PEDIDOS!$A:$A,0),4)</f>
        <v>CD REGIS</v>
      </c>
    </row>
    <row r="72" spans="1:5" x14ac:dyDescent="0.25">
      <c r="A72" s="1" t="s">
        <v>71</v>
      </c>
      <c r="B72" s="3">
        <f>COUNTIF(PEDIDOS!$A:$A,FORNECEDOR!A72)</f>
        <v>1</v>
      </c>
      <c r="C72" s="3" t="str">
        <f>INDEX(PEDIDOS!$A:$D,MATCH(FORNECEDOR!A72,PEDIDOS!$A:$A,0),2)</f>
        <v>CD REGIS</v>
      </c>
      <c r="D72" s="3" t="str">
        <f>INDEX(PEDIDOS!$A:$D,MATCH(FORNECEDOR!A72,PEDIDOS!$A:$A,0),3)</f>
        <v>TATUAPE</v>
      </c>
      <c r="E72" s="3" t="str">
        <f>INDEX(PEDIDOS!$A:$D,MATCH(FORNECEDOR!A72,PEDIDOS!$A:$A,0),4)</f>
        <v>CD REGIS</v>
      </c>
    </row>
    <row r="73" spans="1:5" hidden="1" x14ac:dyDescent="0.25">
      <c r="A73" s="1" t="s">
        <v>72</v>
      </c>
      <c r="B73" s="3">
        <f>COUNTIF(PEDIDOS!$A:$A,FORNECEDOR!A73)</f>
        <v>0</v>
      </c>
      <c r="C73" s="3" t="e">
        <f>INDEX(PEDIDOS!$A:$D,MATCH(FORNECEDOR!A73,PEDIDOS!$A:$A,0),2)</f>
        <v>#N/A</v>
      </c>
      <c r="D73" s="3" t="e">
        <f>INDEX(PEDIDOS!$A:$D,MATCH(FORNECEDOR!A73,PEDIDOS!$A:$A,0),3)</f>
        <v>#N/A</v>
      </c>
      <c r="E73" s="3" t="e">
        <f>INDEX(PEDIDOS!$A:$D,MATCH(FORNECEDOR!A73,PEDIDOS!$A:$A,0),4)</f>
        <v>#N/A</v>
      </c>
    </row>
    <row r="74" spans="1:5" x14ac:dyDescent="0.25">
      <c r="A74" s="1" t="s">
        <v>73</v>
      </c>
      <c r="B74" s="3">
        <f>COUNTIF(PEDIDOS!$A:$A,FORNECEDOR!A74)</f>
        <v>2</v>
      </c>
      <c r="C74" s="3" t="str">
        <f>INDEX(PEDIDOS!$A:$D,MATCH(FORNECEDOR!A74,PEDIDOS!$A:$A,0),2)</f>
        <v>CD REGIS</v>
      </c>
      <c r="D74" s="3" t="str">
        <f>INDEX(PEDIDOS!$A:$D,MATCH(FORNECEDOR!A74,PEDIDOS!$A:$A,0),3)</f>
        <v>MATRIZ</v>
      </c>
      <c r="E74" s="3" t="str">
        <f>INDEX(PEDIDOS!$A:$D,MATCH(FORNECEDOR!A74,PEDIDOS!$A:$A,0),4)</f>
        <v>CD REGIS</v>
      </c>
    </row>
    <row r="75" spans="1:5" x14ac:dyDescent="0.25">
      <c r="A75" s="1" t="s">
        <v>74</v>
      </c>
      <c r="B75" s="3">
        <f>COUNTIF(PEDIDOS!$A:$A,FORNECEDOR!A75)</f>
        <v>7</v>
      </c>
      <c r="C75" s="3" t="str">
        <f>INDEX(PEDIDOS!$A:$D,MATCH(FORNECEDOR!A75,PEDIDOS!$A:$A,0),2)</f>
        <v>CD ARAQUARI</v>
      </c>
      <c r="D75" s="3" t="str">
        <f>INDEX(PEDIDOS!$A:$D,MATCH(FORNECEDOR!A75,PEDIDOS!$A:$A,0),3)</f>
        <v>MATRIZ</v>
      </c>
      <c r="E75" s="3" t="str">
        <f>INDEX(PEDIDOS!$A:$D,MATCH(FORNECEDOR!A75,PEDIDOS!$A:$A,0),4)</f>
        <v>CD ARAQUARI</v>
      </c>
    </row>
    <row r="76" spans="1:5" x14ac:dyDescent="0.25">
      <c r="A76" s="1" t="s">
        <v>75</v>
      </c>
      <c r="B76" s="3">
        <f>COUNTIF(PEDIDOS!$A:$A,FORNECEDOR!A76)</f>
        <v>1</v>
      </c>
      <c r="C76" s="3" t="str">
        <f>INDEX(PEDIDOS!$A:$D,MATCH(FORNECEDOR!A76,PEDIDOS!$A:$A,0),2)</f>
        <v>SP - PARI</v>
      </c>
      <c r="D76" s="3" t="str">
        <f>INDEX(PEDIDOS!$A:$D,MATCH(FORNECEDOR!A76,PEDIDOS!$A:$A,0),3)</f>
        <v>SP - PARI</v>
      </c>
      <c r="E76" s="3" t="str">
        <f>INDEX(PEDIDOS!$A:$D,MATCH(FORNECEDOR!A76,PEDIDOS!$A:$A,0),4)</f>
        <v>SP - PARI</v>
      </c>
    </row>
    <row r="77" spans="1:5" hidden="1" x14ac:dyDescent="0.25">
      <c r="A77" s="1" t="s">
        <v>76</v>
      </c>
      <c r="B77" s="3">
        <f>COUNTIF(PEDIDOS!$A:$A,FORNECEDOR!A77)</f>
        <v>0</v>
      </c>
      <c r="C77" s="3" t="e">
        <f>INDEX(PEDIDOS!$A:$D,MATCH(FORNECEDOR!A77,PEDIDOS!$A:$A,0),2)</f>
        <v>#N/A</v>
      </c>
      <c r="D77" s="3" t="e">
        <f>INDEX(PEDIDOS!$A:$D,MATCH(FORNECEDOR!A77,PEDIDOS!$A:$A,0),3)</f>
        <v>#N/A</v>
      </c>
      <c r="E77" s="3" t="e">
        <f>INDEX(PEDIDOS!$A:$D,MATCH(FORNECEDOR!A77,PEDIDOS!$A:$A,0),4)</f>
        <v>#N/A</v>
      </c>
    </row>
    <row r="78" spans="1:5" hidden="1" x14ac:dyDescent="0.25">
      <c r="A78" s="1" t="s">
        <v>77</v>
      </c>
      <c r="B78" s="3">
        <f>COUNTIF(PEDIDOS!$A:$A,FORNECEDOR!A78)</f>
        <v>0</v>
      </c>
      <c r="C78" s="3" t="e">
        <f>INDEX(PEDIDOS!$A:$D,MATCH(FORNECEDOR!A78,PEDIDOS!$A:$A,0),2)</f>
        <v>#N/A</v>
      </c>
      <c r="D78" s="3" t="e">
        <f>INDEX(PEDIDOS!$A:$D,MATCH(FORNECEDOR!A78,PEDIDOS!$A:$A,0),3)</f>
        <v>#N/A</v>
      </c>
      <c r="E78" s="3" t="e">
        <f>INDEX(PEDIDOS!$A:$D,MATCH(FORNECEDOR!A78,PEDIDOS!$A:$A,0),4)</f>
        <v>#N/A</v>
      </c>
    </row>
    <row r="79" spans="1:5" hidden="1" x14ac:dyDescent="0.25">
      <c r="A79" s="1" t="s">
        <v>78</v>
      </c>
      <c r="B79" s="3">
        <f>COUNTIF(PEDIDOS!$A:$A,FORNECEDOR!A79)</f>
        <v>0</v>
      </c>
      <c r="C79" s="3" t="e">
        <f>INDEX(PEDIDOS!$A:$D,MATCH(FORNECEDOR!A79,PEDIDOS!$A:$A,0),2)</f>
        <v>#N/A</v>
      </c>
      <c r="D79" s="3" t="e">
        <f>INDEX(PEDIDOS!$A:$D,MATCH(FORNECEDOR!A79,PEDIDOS!$A:$A,0),3)</f>
        <v>#N/A</v>
      </c>
      <c r="E79" s="3" t="e">
        <f>INDEX(PEDIDOS!$A:$D,MATCH(FORNECEDOR!A79,PEDIDOS!$A:$A,0),4)</f>
        <v>#N/A</v>
      </c>
    </row>
    <row r="80" spans="1:5" hidden="1" x14ac:dyDescent="0.25">
      <c r="A80" s="1" t="s">
        <v>79</v>
      </c>
      <c r="B80" s="3">
        <f>COUNTIF(PEDIDOS!$A:$A,FORNECEDOR!A80)</f>
        <v>0</v>
      </c>
      <c r="C80" s="3" t="e">
        <f>INDEX(PEDIDOS!$A:$D,MATCH(FORNECEDOR!A80,PEDIDOS!$A:$A,0),2)</f>
        <v>#N/A</v>
      </c>
      <c r="D80" s="3" t="e">
        <f>INDEX(PEDIDOS!$A:$D,MATCH(FORNECEDOR!A80,PEDIDOS!$A:$A,0),3)</f>
        <v>#N/A</v>
      </c>
      <c r="E80" s="3" t="e">
        <f>INDEX(PEDIDOS!$A:$D,MATCH(FORNECEDOR!A80,PEDIDOS!$A:$A,0),4)</f>
        <v>#N/A</v>
      </c>
    </row>
    <row r="81" spans="1:5" hidden="1" x14ac:dyDescent="0.25">
      <c r="A81" s="1" t="s">
        <v>80</v>
      </c>
      <c r="B81" s="3">
        <f>COUNTIF(PEDIDOS!$A:$A,FORNECEDOR!A81)</f>
        <v>0</v>
      </c>
      <c r="C81" s="3" t="e">
        <f>INDEX(PEDIDOS!$A:$D,MATCH(FORNECEDOR!A81,PEDIDOS!$A:$A,0),2)</f>
        <v>#N/A</v>
      </c>
      <c r="D81" s="3" t="e">
        <f>INDEX(PEDIDOS!$A:$D,MATCH(FORNECEDOR!A81,PEDIDOS!$A:$A,0),3)</f>
        <v>#N/A</v>
      </c>
      <c r="E81" s="3" t="e">
        <f>INDEX(PEDIDOS!$A:$D,MATCH(FORNECEDOR!A81,PEDIDOS!$A:$A,0),4)</f>
        <v>#N/A</v>
      </c>
    </row>
    <row r="82" spans="1:5" hidden="1" x14ac:dyDescent="0.25">
      <c r="A82" s="1" t="s">
        <v>81</v>
      </c>
      <c r="B82" s="3">
        <f>COUNTIF(PEDIDOS!$A:$A,FORNECEDOR!A82)</f>
        <v>0</v>
      </c>
      <c r="C82" s="3" t="e">
        <f>INDEX(PEDIDOS!$A:$D,MATCH(FORNECEDOR!A82,PEDIDOS!$A:$A,0),2)</f>
        <v>#N/A</v>
      </c>
      <c r="D82" s="3" t="e">
        <f>INDEX(PEDIDOS!$A:$D,MATCH(FORNECEDOR!A82,PEDIDOS!$A:$A,0),3)</f>
        <v>#N/A</v>
      </c>
      <c r="E82" s="3" t="e">
        <f>INDEX(PEDIDOS!$A:$D,MATCH(FORNECEDOR!A82,PEDIDOS!$A:$A,0),4)</f>
        <v>#N/A</v>
      </c>
    </row>
    <row r="83" spans="1:5" x14ac:dyDescent="0.25">
      <c r="A83" s="1" t="s">
        <v>82</v>
      </c>
      <c r="B83" s="3">
        <f>COUNTIF(PEDIDOS!$A:$A,FORNECEDOR!A83)</f>
        <v>1</v>
      </c>
      <c r="C83" s="3" t="str">
        <f>INDEX(PEDIDOS!$A:$D,MATCH(FORNECEDOR!A83,PEDIDOS!$A:$A,0),2)</f>
        <v>CD REGIS</v>
      </c>
      <c r="D83" s="3" t="str">
        <f>INDEX(PEDIDOS!$A:$D,MATCH(FORNECEDOR!A83,PEDIDOS!$A:$A,0),3)</f>
        <v>TATUAPE</v>
      </c>
      <c r="E83" s="3" t="str">
        <f>INDEX(PEDIDOS!$A:$D,MATCH(FORNECEDOR!A83,PEDIDOS!$A:$A,0),4)</f>
        <v>CD REGIS</v>
      </c>
    </row>
    <row r="84" spans="1:5" x14ac:dyDescent="0.25">
      <c r="A84" s="1" t="s">
        <v>83</v>
      </c>
      <c r="B84" s="3">
        <f>COUNTIF(PEDIDOS!$A:$A,FORNECEDOR!A84)</f>
        <v>3</v>
      </c>
      <c r="C84" s="3" t="str">
        <f>INDEX(PEDIDOS!$A:$D,MATCH(FORNECEDOR!A84,PEDIDOS!$A:$A,0),2)</f>
        <v>CD REGIS</v>
      </c>
      <c r="D84" s="3" t="str">
        <f>INDEX(PEDIDOS!$A:$D,MATCH(FORNECEDOR!A84,PEDIDOS!$A:$A,0),3)</f>
        <v>CD REGIS</v>
      </c>
      <c r="E84" s="3" t="str">
        <f>INDEX(PEDIDOS!$A:$D,MATCH(FORNECEDOR!A84,PEDIDOS!$A:$A,0),4)</f>
        <v>CD REGIS</v>
      </c>
    </row>
    <row r="85" spans="1:5" hidden="1" x14ac:dyDescent="0.25">
      <c r="A85" s="1" t="s">
        <v>84</v>
      </c>
      <c r="B85" s="3">
        <f>COUNTIF(PEDIDOS!$A:$A,FORNECEDOR!A85)</f>
        <v>0</v>
      </c>
      <c r="C85" s="3" t="e">
        <f>INDEX(PEDIDOS!$A:$D,MATCH(FORNECEDOR!A85,PEDIDOS!$A:$A,0),2)</f>
        <v>#N/A</v>
      </c>
      <c r="D85" s="3" t="e">
        <f>INDEX(PEDIDOS!$A:$D,MATCH(FORNECEDOR!A85,PEDIDOS!$A:$A,0),3)</f>
        <v>#N/A</v>
      </c>
      <c r="E85" s="3" t="e">
        <f>INDEX(PEDIDOS!$A:$D,MATCH(FORNECEDOR!A85,PEDIDOS!$A:$A,0),4)</f>
        <v>#N/A</v>
      </c>
    </row>
    <row r="86" spans="1:5" hidden="1" x14ac:dyDescent="0.25">
      <c r="A86" s="1" t="s">
        <v>85</v>
      </c>
      <c r="B86" s="3">
        <f>COUNTIF(PEDIDOS!$A:$A,FORNECEDOR!A86)</f>
        <v>0</v>
      </c>
      <c r="C86" s="3" t="e">
        <f>INDEX(PEDIDOS!$A:$D,MATCH(FORNECEDOR!A86,PEDIDOS!$A:$A,0),2)</f>
        <v>#N/A</v>
      </c>
      <c r="D86" s="3" t="e">
        <f>INDEX(PEDIDOS!$A:$D,MATCH(FORNECEDOR!A86,PEDIDOS!$A:$A,0),3)</f>
        <v>#N/A</v>
      </c>
      <c r="E86" s="3" t="e">
        <f>INDEX(PEDIDOS!$A:$D,MATCH(FORNECEDOR!A86,PEDIDOS!$A:$A,0),4)</f>
        <v>#N/A</v>
      </c>
    </row>
    <row r="87" spans="1:5" hidden="1" x14ac:dyDescent="0.25">
      <c r="A87" s="1" t="s">
        <v>86</v>
      </c>
      <c r="B87" s="3">
        <f>COUNTIF(PEDIDOS!$A:$A,FORNECEDOR!A87)</f>
        <v>0</v>
      </c>
      <c r="C87" s="3" t="e">
        <f>INDEX(PEDIDOS!$A:$D,MATCH(FORNECEDOR!A87,PEDIDOS!$A:$A,0),2)</f>
        <v>#N/A</v>
      </c>
      <c r="D87" s="3" t="e">
        <f>INDEX(PEDIDOS!$A:$D,MATCH(FORNECEDOR!A87,PEDIDOS!$A:$A,0),3)</f>
        <v>#N/A</v>
      </c>
      <c r="E87" s="3" t="e">
        <f>INDEX(PEDIDOS!$A:$D,MATCH(FORNECEDOR!A87,PEDIDOS!$A:$A,0),4)</f>
        <v>#N/A</v>
      </c>
    </row>
    <row r="88" spans="1:5" x14ac:dyDescent="0.25">
      <c r="A88" s="1" t="s">
        <v>87</v>
      </c>
      <c r="B88" s="3">
        <f>COUNTIF(PEDIDOS!$A:$A,FORNECEDOR!A88)</f>
        <v>1</v>
      </c>
      <c r="C88" s="3" t="str">
        <f>INDEX(PEDIDOS!$A:$D,MATCH(FORNECEDOR!A88,PEDIDOS!$A:$A,0),2)</f>
        <v>POA</v>
      </c>
      <c r="D88" s="3" t="str">
        <f>INDEX(PEDIDOS!$A:$D,MATCH(FORNECEDOR!A88,PEDIDOS!$A:$A,0),3)</f>
        <v>POA</v>
      </c>
      <c r="E88" s="3" t="str">
        <f>INDEX(PEDIDOS!$A:$D,MATCH(FORNECEDOR!A88,PEDIDOS!$A:$A,0),4)</f>
        <v>POA</v>
      </c>
    </row>
    <row r="89" spans="1:5" hidden="1" x14ac:dyDescent="0.25">
      <c r="A89" s="1" t="s">
        <v>88</v>
      </c>
      <c r="B89" s="3">
        <f>COUNTIF(PEDIDOS!$A:$A,FORNECEDOR!A89)</f>
        <v>0</v>
      </c>
      <c r="C89" s="3" t="e">
        <f>INDEX(PEDIDOS!$A:$D,MATCH(FORNECEDOR!A89,PEDIDOS!$A:$A,0),2)</f>
        <v>#N/A</v>
      </c>
      <c r="D89" s="3" t="e">
        <f>INDEX(PEDIDOS!$A:$D,MATCH(FORNECEDOR!A89,PEDIDOS!$A:$A,0),3)</f>
        <v>#N/A</v>
      </c>
      <c r="E89" s="3" t="e">
        <f>INDEX(PEDIDOS!$A:$D,MATCH(FORNECEDOR!A89,PEDIDOS!$A:$A,0),4)</f>
        <v>#N/A</v>
      </c>
    </row>
    <row r="90" spans="1:5" hidden="1" x14ac:dyDescent="0.25">
      <c r="A90" s="1" t="s">
        <v>89</v>
      </c>
      <c r="B90" s="3">
        <f>COUNTIF(PEDIDOS!$A:$A,FORNECEDOR!A90)</f>
        <v>0</v>
      </c>
      <c r="C90" s="3" t="e">
        <f>INDEX(PEDIDOS!$A:$D,MATCH(FORNECEDOR!A90,PEDIDOS!$A:$A,0),2)</f>
        <v>#N/A</v>
      </c>
      <c r="D90" s="3" t="e">
        <f>INDEX(PEDIDOS!$A:$D,MATCH(FORNECEDOR!A90,PEDIDOS!$A:$A,0),3)</f>
        <v>#N/A</v>
      </c>
      <c r="E90" s="3" t="e">
        <f>INDEX(PEDIDOS!$A:$D,MATCH(FORNECEDOR!A90,PEDIDOS!$A:$A,0),4)</f>
        <v>#N/A</v>
      </c>
    </row>
    <row r="91" spans="1:5" x14ac:dyDescent="0.25">
      <c r="A91" s="1" t="s">
        <v>90</v>
      </c>
      <c r="B91" s="3">
        <f>COUNTIF(PEDIDOS!$A:$A,FORNECEDOR!A91)</f>
        <v>1</v>
      </c>
      <c r="C91" s="3" t="str">
        <f>INDEX(PEDIDOS!$A:$D,MATCH(FORNECEDOR!A91,PEDIDOS!$A:$A,0),2)</f>
        <v>MATRIZ</v>
      </c>
      <c r="D91" s="3" t="str">
        <f>INDEX(PEDIDOS!$A:$D,MATCH(FORNECEDOR!A91,PEDIDOS!$A:$A,0),3)</f>
        <v>MATRIZ</v>
      </c>
      <c r="E91" s="3" t="str">
        <f>INDEX(PEDIDOS!$A:$D,MATCH(FORNECEDOR!A91,PEDIDOS!$A:$A,0),4)</f>
        <v>MATRIZ</v>
      </c>
    </row>
    <row r="92" spans="1:5" x14ac:dyDescent="0.25">
      <c r="A92" s="1" t="s">
        <v>91</v>
      </c>
      <c r="B92" s="3">
        <f>COUNTIF(PEDIDOS!$A:$A,FORNECEDOR!A92)</f>
        <v>1</v>
      </c>
      <c r="C92" s="3" t="str">
        <f>INDEX(PEDIDOS!$A:$D,MATCH(FORNECEDOR!A92,PEDIDOS!$A:$A,0),2)</f>
        <v>SP - PARI</v>
      </c>
      <c r="D92" s="3" t="str">
        <f>INDEX(PEDIDOS!$A:$D,MATCH(FORNECEDOR!A92,PEDIDOS!$A:$A,0),3)</f>
        <v>SP - PARI</v>
      </c>
      <c r="E92" s="3" t="str">
        <f>INDEX(PEDIDOS!$A:$D,MATCH(FORNECEDOR!A92,PEDIDOS!$A:$A,0),4)</f>
        <v>SP - PARI</v>
      </c>
    </row>
    <row r="93" spans="1:5" x14ac:dyDescent="0.25">
      <c r="A93" s="1" t="s">
        <v>92</v>
      </c>
      <c r="B93" s="3">
        <f>COUNTIF(PEDIDOS!$A:$A,FORNECEDOR!A93)</f>
        <v>1</v>
      </c>
      <c r="C93" s="3" t="str">
        <f>INDEX(PEDIDOS!$A:$D,MATCH(FORNECEDOR!A93,PEDIDOS!$A:$A,0),2)</f>
        <v>CD REGIS</v>
      </c>
      <c r="D93" s="3" t="str">
        <f>INDEX(PEDIDOS!$A:$D,MATCH(FORNECEDOR!A93,PEDIDOS!$A:$A,0),3)</f>
        <v>MATRIZ</v>
      </c>
      <c r="E93" s="3" t="str">
        <f>INDEX(PEDIDOS!$A:$D,MATCH(FORNECEDOR!A93,PEDIDOS!$A:$A,0),4)</f>
        <v>CD REGIS</v>
      </c>
    </row>
    <row r="94" spans="1:5" hidden="1" x14ac:dyDescent="0.25">
      <c r="A94" s="1" t="s">
        <v>93</v>
      </c>
      <c r="B94" s="3">
        <f>COUNTIF(PEDIDOS!$A:$A,FORNECEDOR!A94)</f>
        <v>0</v>
      </c>
      <c r="C94" s="3" t="e">
        <f>INDEX(PEDIDOS!$A:$D,MATCH(FORNECEDOR!A94,PEDIDOS!$A:$A,0),2)</f>
        <v>#N/A</v>
      </c>
      <c r="D94" s="3" t="e">
        <f>INDEX(PEDIDOS!$A:$D,MATCH(FORNECEDOR!A94,PEDIDOS!$A:$A,0),3)</f>
        <v>#N/A</v>
      </c>
      <c r="E94" s="3" t="e">
        <f>INDEX(PEDIDOS!$A:$D,MATCH(FORNECEDOR!A94,PEDIDOS!$A:$A,0),4)</f>
        <v>#N/A</v>
      </c>
    </row>
    <row r="95" spans="1:5" hidden="1" x14ac:dyDescent="0.25">
      <c r="A95" s="1" t="s">
        <v>94</v>
      </c>
      <c r="B95" s="3">
        <f>COUNTIF(PEDIDOS!$A:$A,FORNECEDOR!A95)</f>
        <v>0</v>
      </c>
      <c r="C95" s="3" t="e">
        <f>INDEX(PEDIDOS!$A:$D,MATCH(FORNECEDOR!A95,PEDIDOS!$A:$A,0),2)</f>
        <v>#N/A</v>
      </c>
      <c r="D95" s="3" t="e">
        <f>INDEX(PEDIDOS!$A:$D,MATCH(FORNECEDOR!A95,PEDIDOS!$A:$A,0),3)</f>
        <v>#N/A</v>
      </c>
      <c r="E95" s="3" t="e">
        <f>INDEX(PEDIDOS!$A:$D,MATCH(FORNECEDOR!A95,PEDIDOS!$A:$A,0),4)</f>
        <v>#N/A</v>
      </c>
    </row>
    <row r="96" spans="1:5" hidden="1" x14ac:dyDescent="0.25">
      <c r="A96" s="1" t="s">
        <v>95</v>
      </c>
      <c r="B96" s="3">
        <f>COUNTIF(PEDIDOS!$A:$A,FORNECEDOR!A96)</f>
        <v>0</v>
      </c>
      <c r="C96" s="3" t="e">
        <f>INDEX(PEDIDOS!$A:$D,MATCH(FORNECEDOR!A96,PEDIDOS!$A:$A,0),2)</f>
        <v>#N/A</v>
      </c>
      <c r="D96" s="3" t="e">
        <f>INDEX(PEDIDOS!$A:$D,MATCH(FORNECEDOR!A96,PEDIDOS!$A:$A,0),3)</f>
        <v>#N/A</v>
      </c>
      <c r="E96" s="3" t="e">
        <f>INDEX(PEDIDOS!$A:$D,MATCH(FORNECEDOR!A96,PEDIDOS!$A:$A,0),4)</f>
        <v>#N/A</v>
      </c>
    </row>
    <row r="97" spans="1:5" hidden="1" x14ac:dyDescent="0.25">
      <c r="A97" s="1" t="s">
        <v>96</v>
      </c>
      <c r="B97" s="3">
        <f>COUNTIF(PEDIDOS!$A:$A,FORNECEDOR!A97)</f>
        <v>0</v>
      </c>
      <c r="C97" s="3" t="e">
        <f>INDEX(PEDIDOS!$A:$D,MATCH(FORNECEDOR!A97,PEDIDOS!$A:$A,0),2)</f>
        <v>#N/A</v>
      </c>
      <c r="D97" s="3" t="e">
        <f>INDEX(PEDIDOS!$A:$D,MATCH(FORNECEDOR!A97,PEDIDOS!$A:$A,0),3)</f>
        <v>#N/A</v>
      </c>
      <c r="E97" s="3" t="e">
        <f>INDEX(PEDIDOS!$A:$D,MATCH(FORNECEDOR!A97,PEDIDOS!$A:$A,0),4)</f>
        <v>#N/A</v>
      </c>
    </row>
    <row r="98" spans="1:5" hidden="1" x14ac:dyDescent="0.25">
      <c r="A98" s="1" t="s">
        <v>97</v>
      </c>
      <c r="B98" s="3">
        <f>COUNTIF(PEDIDOS!$A:$A,FORNECEDOR!A98)</f>
        <v>0</v>
      </c>
      <c r="C98" s="3" t="e">
        <f>INDEX(PEDIDOS!$A:$D,MATCH(FORNECEDOR!A98,PEDIDOS!$A:$A,0),2)</f>
        <v>#N/A</v>
      </c>
      <c r="D98" s="3" t="e">
        <f>INDEX(PEDIDOS!$A:$D,MATCH(FORNECEDOR!A98,PEDIDOS!$A:$A,0),3)</f>
        <v>#N/A</v>
      </c>
      <c r="E98" s="3" t="e">
        <f>INDEX(PEDIDOS!$A:$D,MATCH(FORNECEDOR!A98,PEDIDOS!$A:$A,0),4)</f>
        <v>#N/A</v>
      </c>
    </row>
    <row r="99" spans="1:5" hidden="1" x14ac:dyDescent="0.25">
      <c r="A99" s="1" t="s">
        <v>98</v>
      </c>
      <c r="B99" s="3">
        <f>COUNTIF(PEDIDOS!$A:$A,FORNECEDOR!A99)</f>
        <v>0</v>
      </c>
      <c r="C99" s="3" t="e">
        <f>INDEX(PEDIDOS!$A:$D,MATCH(FORNECEDOR!A99,PEDIDOS!$A:$A,0),2)</f>
        <v>#N/A</v>
      </c>
      <c r="D99" s="3" t="e">
        <f>INDEX(PEDIDOS!$A:$D,MATCH(FORNECEDOR!A99,PEDIDOS!$A:$A,0),3)</f>
        <v>#N/A</v>
      </c>
      <c r="E99" s="3" t="e">
        <f>INDEX(PEDIDOS!$A:$D,MATCH(FORNECEDOR!A99,PEDIDOS!$A:$A,0),4)</f>
        <v>#N/A</v>
      </c>
    </row>
    <row r="100" spans="1:5" hidden="1" x14ac:dyDescent="0.25">
      <c r="A100" s="1" t="s">
        <v>99</v>
      </c>
      <c r="B100" s="3">
        <f>COUNTIF(PEDIDOS!$A:$A,FORNECEDOR!A100)</f>
        <v>0</v>
      </c>
      <c r="C100" s="3" t="e">
        <f>INDEX(PEDIDOS!$A:$D,MATCH(FORNECEDOR!A100,PEDIDOS!$A:$A,0),2)</f>
        <v>#N/A</v>
      </c>
      <c r="D100" s="3" t="e">
        <f>INDEX(PEDIDOS!$A:$D,MATCH(FORNECEDOR!A100,PEDIDOS!$A:$A,0),3)</f>
        <v>#N/A</v>
      </c>
      <c r="E100" s="3" t="e">
        <f>INDEX(PEDIDOS!$A:$D,MATCH(FORNECEDOR!A100,PEDIDOS!$A:$A,0),4)</f>
        <v>#N/A</v>
      </c>
    </row>
    <row r="101" spans="1:5" hidden="1" x14ac:dyDescent="0.25">
      <c r="A101" s="1" t="s">
        <v>100</v>
      </c>
      <c r="B101" s="3">
        <f>COUNTIF(PEDIDOS!$A:$A,FORNECEDOR!A101)</f>
        <v>0</v>
      </c>
      <c r="C101" s="3" t="e">
        <f>INDEX(PEDIDOS!$A:$D,MATCH(FORNECEDOR!A101,PEDIDOS!$A:$A,0),2)</f>
        <v>#N/A</v>
      </c>
      <c r="D101" s="3" t="e">
        <f>INDEX(PEDIDOS!$A:$D,MATCH(FORNECEDOR!A101,PEDIDOS!$A:$A,0),3)</f>
        <v>#N/A</v>
      </c>
      <c r="E101" s="3" t="e">
        <f>INDEX(PEDIDOS!$A:$D,MATCH(FORNECEDOR!A101,PEDIDOS!$A:$A,0),4)</f>
        <v>#N/A</v>
      </c>
    </row>
    <row r="102" spans="1:5" hidden="1" x14ac:dyDescent="0.25">
      <c r="A102" s="1" t="s">
        <v>101</v>
      </c>
      <c r="B102" s="3">
        <f>COUNTIF(PEDIDOS!$A:$A,FORNECEDOR!A102)</f>
        <v>0</v>
      </c>
      <c r="C102" s="3" t="e">
        <f>INDEX(PEDIDOS!$A:$D,MATCH(FORNECEDOR!A102,PEDIDOS!$A:$A,0),2)</f>
        <v>#N/A</v>
      </c>
      <c r="D102" s="3" t="e">
        <f>INDEX(PEDIDOS!$A:$D,MATCH(FORNECEDOR!A102,PEDIDOS!$A:$A,0),3)</f>
        <v>#N/A</v>
      </c>
      <c r="E102" s="3" t="e">
        <f>INDEX(PEDIDOS!$A:$D,MATCH(FORNECEDOR!A102,PEDIDOS!$A:$A,0),4)</f>
        <v>#N/A</v>
      </c>
    </row>
    <row r="103" spans="1:5" hidden="1" x14ac:dyDescent="0.25">
      <c r="A103" s="1" t="s">
        <v>102</v>
      </c>
      <c r="B103" s="3">
        <f>COUNTIF(PEDIDOS!$A:$A,FORNECEDOR!A103)</f>
        <v>0</v>
      </c>
      <c r="C103" s="3" t="e">
        <f>INDEX(PEDIDOS!$A:$D,MATCH(FORNECEDOR!A103,PEDIDOS!$A:$A,0),2)</f>
        <v>#N/A</v>
      </c>
      <c r="D103" s="3" t="e">
        <f>INDEX(PEDIDOS!$A:$D,MATCH(FORNECEDOR!A103,PEDIDOS!$A:$A,0),3)</f>
        <v>#N/A</v>
      </c>
      <c r="E103" s="3" t="e">
        <f>INDEX(PEDIDOS!$A:$D,MATCH(FORNECEDOR!A103,PEDIDOS!$A:$A,0),4)</f>
        <v>#N/A</v>
      </c>
    </row>
    <row r="104" spans="1:5" hidden="1" x14ac:dyDescent="0.25">
      <c r="A104" s="1" t="s">
        <v>103</v>
      </c>
      <c r="B104" s="3">
        <f>COUNTIF(PEDIDOS!$A:$A,FORNECEDOR!A104)</f>
        <v>0</v>
      </c>
      <c r="C104" s="3" t="e">
        <f>INDEX(PEDIDOS!$A:$D,MATCH(FORNECEDOR!A104,PEDIDOS!$A:$A,0),2)</f>
        <v>#N/A</v>
      </c>
      <c r="D104" s="3" t="e">
        <f>INDEX(PEDIDOS!$A:$D,MATCH(FORNECEDOR!A104,PEDIDOS!$A:$A,0),3)</f>
        <v>#N/A</v>
      </c>
      <c r="E104" s="3" t="e">
        <f>INDEX(PEDIDOS!$A:$D,MATCH(FORNECEDOR!A104,PEDIDOS!$A:$A,0),4)</f>
        <v>#N/A</v>
      </c>
    </row>
    <row r="105" spans="1:5" hidden="1" x14ac:dyDescent="0.25">
      <c r="A105" s="1" t="s">
        <v>104</v>
      </c>
      <c r="B105" s="3">
        <f>COUNTIF(PEDIDOS!$A:$A,FORNECEDOR!A105)</f>
        <v>0</v>
      </c>
      <c r="C105" s="3" t="e">
        <f>INDEX(PEDIDOS!$A:$D,MATCH(FORNECEDOR!A105,PEDIDOS!$A:$A,0),2)</f>
        <v>#N/A</v>
      </c>
      <c r="D105" s="3" t="e">
        <f>INDEX(PEDIDOS!$A:$D,MATCH(FORNECEDOR!A105,PEDIDOS!$A:$A,0),3)</f>
        <v>#N/A</v>
      </c>
      <c r="E105" s="3" t="e">
        <f>INDEX(PEDIDOS!$A:$D,MATCH(FORNECEDOR!A105,PEDIDOS!$A:$A,0),4)</f>
        <v>#N/A</v>
      </c>
    </row>
    <row r="106" spans="1:5" hidden="1" x14ac:dyDescent="0.25">
      <c r="A106" s="1" t="s">
        <v>105</v>
      </c>
      <c r="B106" s="3">
        <f>COUNTIF(PEDIDOS!$A:$A,FORNECEDOR!A106)</f>
        <v>0</v>
      </c>
      <c r="C106" s="3" t="e">
        <f>INDEX(PEDIDOS!$A:$D,MATCH(FORNECEDOR!A106,PEDIDOS!$A:$A,0),2)</f>
        <v>#N/A</v>
      </c>
      <c r="D106" s="3" t="e">
        <f>INDEX(PEDIDOS!$A:$D,MATCH(FORNECEDOR!A106,PEDIDOS!$A:$A,0),3)</f>
        <v>#N/A</v>
      </c>
      <c r="E106" s="3" t="e">
        <f>INDEX(PEDIDOS!$A:$D,MATCH(FORNECEDOR!A106,PEDIDOS!$A:$A,0),4)</f>
        <v>#N/A</v>
      </c>
    </row>
    <row r="107" spans="1:5" hidden="1" x14ac:dyDescent="0.25">
      <c r="A107" s="1" t="s">
        <v>106</v>
      </c>
      <c r="B107" s="3">
        <f>COUNTIF(PEDIDOS!$A:$A,FORNECEDOR!A107)</f>
        <v>0</v>
      </c>
      <c r="C107" s="3" t="e">
        <f>INDEX(PEDIDOS!$A:$D,MATCH(FORNECEDOR!A107,PEDIDOS!$A:$A,0),2)</f>
        <v>#N/A</v>
      </c>
      <c r="D107" s="3" t="e">
        <f>INDEX(PEDIDOS!$A:$D,MATCH(FORNECEDOR!A107,PEDIDOS!$A:$A,0),3)</f>
        <v>#N/A</v>
      </c>
      <c r="E107" s="3" t="e">
        <f>INDEX(PEDIDOS!$A:$D,MATCH(FORNECEDOR!A107,PEDIDOS!$A:$A,0),4)</f>
        <v>#N/A</v>
      </c>
    </row>
    <row r="108" spans="1:5" hidden="1" x14ac:dyDescent="0.25">
      <c r="A108" s="1" t="s">
        <v>107</v>
      </c>
      <c r="B108" s="3">
        <f>COUNTIF(PEDIDOS!$A:$A,FORNECEDOR!A108)</f>
        <v>0</v>
      </c>
      <c r="C108" s="3" t="e">
        <f>INDEX(PEDIDOS!$A:$D,MATCH(FORNECEDOR!A108,PEDIDOS!$A:$A,0),2)</f>
        <v>#N/A</v>
      </c>
      <c r="D108" s="3" t="e">
        <f>INDEX(PEDIDOS!$A:$D,MATCH(FORNECEDOR!A108,PEDIDOS!$A:$A,0),3)</f>
        <v>#N/A</v>
      </c>
      <c r="E108" s="3" t="e">
        <f>INDEX(PEDIDOS!$A:$D,MATCH(FORNECEDOR!A108,PEDIDOS!$A:$A,0),4)</f>
        <v>#N/A</v>
      </c>
    </row>
    <row r="109" spans="1:5" hidden="1" x14ac:dyDescent="0.25">
      <c r="A109" s="1" t="s">
        <v>108</v>
      </c>
      <c r="B109" s="3">
        <f>COUNTIF(PEDIDOS!$A:$A,FORNECEDOR!A109)</f>
        <v>0</v>
      </c>
      <c r="C109" s="3" t="e">
        <f>INDEX(PEDIDOS!$A:$D,MATCH(FORNECEDOR!A109,PEDIDOS!$A:$A,0),2)</f>
        <v>#N/A</v>
      </c>
      <c r="D109" s="3" t="e">
        <f>INDEX(PEDIDOS!$A:$D,MATCH(FORNECEDOR!A109,PEDIDOS!$A:$A,0),3)</f>
        <v>#N/A</v>
      </c>
      <c r="E109" s="3" t="e">
        <f>INDEX(PEDIDOS!$A:$D,MATCH(FORNECEDOR!A109,PEDIDOS!$A:$A,0),4)</f>
        <v>#N/A</v>
      </c>
    </row>
    <row r="110" spans="1:5" hidden="1" x14ac:dyDescent="0.25">
      <c r="A110" s="1" t="s">
        <v>109</v>
      </c>
      <c r="B110" s="3">
        <f>COUNTIF(PEDIDOS!$A:$A,FORNECEDOR!A110)</f>
        <v>0</v>
      </c>
      <c r="C110" s="3" t="e">
        <f>INDEX(PEDIDOS!$A:$D,MATCH(FORNECEDOR!A110,PEDIDOS!$A:$A,0),2)</f>
        <v>#N/A</v>
      </c>
      <c r="D110" s="3" t="e">
        <f>INDEX(PEDIDOS!$A:$D,MATCH(FORNECEDOR!A110,PEDIDOS!$A:$A,0),3)</f>
        <v>#N/A</v>
      </c>
      <c r="E110" s="3" t="e">
        <f>INDEX(PEDIDOS!$A:$D,MATCH(FORNECEDOR!A110,PEDIDOS!$A:$A,0),4)</f>
        <v>#N/A</v>
      </c>
    </row>
    <row r="111" spans="1:5" hidden="1" x14ac:dyDescent="0.25">
      <c r="A111" s="1" t="s">
        <v>110</v>
      </c>
      <c r="B111" s="3">
        <f>COUNTIF(PEDIDOS!$A:$A,FORNECEDOR!A111)</f>
        <v>0</v>
      </c>
      <c r="C111" s="3" t="e">
        <f>INDEX(PEDIDOS!$A:$D,MATCH(FORNECEDOR!A111,PEDIDOS!$A:$A,0),2)</f>
        <v>#N/A</v>
      </c>
      <c r="D111" s="3" t="e">
        <f>INDEX(PEDIDOS!$A:$D,MATCH(FORNECEDOR!A111,PEDIDOS!$A:$A,0),3)</f>
        <v>#N/A</v>
      </c>
      <c r="E111" s="3" t="e">
        <f>INDEX(PEDIDOS!$A:$D,MATCH(FORNECEDOR!A111,PEDIDOS!$A:$A,0),4)</f>
        <v>#N/A</v>
      </c>
    </row>
    <row r="112" spans="1:5" hidden="1" x14ac:dyDescent="0.25">
      <c r="A112" s="1" t="s">
        <v>111</v>
      </c>
      <c r="B112" s="3">
        <f>COUNTIF(PEDIDOS!$A:$A,FORNECEDOR!A112)</f>
        <v>0</v>
      </c>
      <c r="C112" s="3" t="e">
        <f>INDEX(PEDIDOS!$A:$D,MATCH(FORNECEDOR!A112,PEDIDOS!$A:$A,0),2)</f>
        <v>#N/A</v>
      </c>
      <c r="D112" s="3" t="e">
        <f>INDEX(PEDIDOS!$A:$D,MATCH(FORNECEDOR!A112,PEDIDOS!$A:$A,0),3)</f>
        <v>#N/A</v>
      </c>
      <c r="E112" s="3" t="e">
        <f>INDEX(PEDIDOS!$A:$D,MATCH(FORNECEDOR!A112,PEDIDOS!$A:$A,0),4)</f>
        <v>#N/A</v>
      </c>
    </row>
    <row r="113" spans="1:5" hidden="1" x14ac:dyDescent="0.25">
      <c r="A113" s="1" t="s">
        <v>112</v>
      </c>
      <c r="B113" s="3">
        <f>COUNTIF(PEDIDOS!$A:$A,FORNECEDOR!A113)</f>
        <v>0</v>
      </c>
      <c r="C113" s="3" t="e">
        <f>INDEX(PEDIDOS!$A:$D,MATCH(FORNECEDOR!A113,PEDIDOS!$A:$A,0),2)</f>
        <v>#N/A</v>
      </c>
      <c r="D113" s="3" t="e">
        <f>INDEX(PEDIDOS!$A:$D,MATCH(FORNECEDOR!A113,PEDIDOS!$A:$A,0),3)</f>
        <v>#N/A</v>
      </c>
      <c r="E113" s="3" t="e">
        <f>INDEX(PEDIDOS!$A:$D,MATCH(FORNECEDOR!A113,PEDIDOS!$A:$A,0),4)</f>
        <v>#N/A</v>
      </c>
    </row>
    <row r="114" spans="1:5" hidden="1" x14ac:dyDescent="0.25">
      <c r="A114" s="1" t="s">
        <v>113</v>
      </c>
      <c r="B114" s="3">
        <f>COUNTIF(PEDIDOS!$A:$A,FORNECEDOR!A114)</f>
        <v>0</v>
      </c>
      <c r="C114" s="3" t="e">
        <f>INDEX(PEDIDOS!$A:$D,MATCH(FORNECEDOR!A114,PEDIDOS!$A:$A,0),2)</f>
        <v>#N/A</v>
      </c>
      <c r="D114" s="3" t="e">
        <f>INDEX(PEDIDOS!$A:$D,MATCH(FORNECEDOR!A114,PEDIDOS!$A:$A,0),3)</f>
        <v>#N/A</v>
      </c>
      <c r="E114" s="3" t="e">
        <f>INDEX(PEDIDOS!$A:$D,MATCH(FORNECEDOR!A114,PEDIDOS!$A:$A,0),4)</f>
        <v>#N/A</v>
      </c>
    </row>
    <row r="115" spans="1:5" hidden="1" x14ac:dyDescent="0.25">
      <c r="A115" s="1" t="s">
        <v>114</v>
      </c>
      <c r="B115" s="3">
        <f>COUNTIF(PEDIDOS!$A:$A,FORNECEDOR!A115)</f>
        <v>0</v>
      </c>
      <c r="C115" s="3" t="e">
        <f>INDEX(PEDIDOS!$A:$D,MATCH(FORNECEDOR!A115,PEDIDOS!$A:$A,0),2)</f>
        <v>#N/A</v>
      </c>
      <c r="D115" s="3" t="e">
        <f>INDEX(PEDIDOS!$A:$D,MATCH(FORNECEDOR!A115,PEDIDOS!$A:$A,0),3)</f>
        <v>#N/A</v>
      </c>
      <c r="E115" s="3" t="e">
        <f>INDEX(PEDIDOS!$A:$D,MATCH(FORNECEDOR!A115,PEDIDOS!$A:$A,0),4)</f>
        <v>#N/A</v>
      </c>
    </row>
    <row r="116" spans="1:5" hidden="1" x14ac:dyDescent="0.25">
      <c r="A116" s="1" t="s">
        <v>115</v>
      </c>
      <c r="B116" s="3">
        <f>COUNTIF(PEDIDOS!$A:$A,FORNECEDOR!A116)</f>
        <v>0</v>
      </c>
      <c r="C116" s="3" t="e">
        <f>INDEX(PEDIDOS!$A:$D,MATCH(FORNECEDOR!A116,PEDIDOS!$A:$A,0),2)</f>
        <v>#N/A</v>
      </c>
      <c r="D116" s="3" t="e">
        <f>INDEX(PEDIDOS!$A:$D,MATCH(FORNECEDOR!A116,PEDIDOS!$A:$A,0),3)</f>
        <v>#N/A</v>
      </c>
      <c r="E116" s="3" t="e">
        <f>INDEX(PEDIDOS!$A:$D,MATCH(FORNECEDOR!A116,PEDIDOS!$A:$A,0),4)</f>
        <v>#N/A</v>
      </c>
    </row>
    <row r="117" spans="1:5" x14ac:dyDescent="0.25">
      <c r="A117" s="1" t="s">
        <v>116</v>
      </c>
      <c r="B117" s="3">
        <f>COUNTIF(PEDIDOS!$A:$A,FORNECEDOR!A117)</f>
        <v>2</v>
      </c>
      <c r="C117" s="3" t="str">
        <f>INDEX(PEDIDOS!$A:$D,MATCH(FORNECEDOR!A117,PEDIDOS!$A:$A,0),2)</f>
        <v>CD NAVEGANTES</v>
      </c>
      <c r="D117" s="3" t="str">
        <f>INDEX(PEDIDOS!$A:$D,MATCH(FORNECEDOR!A117,PEDIDOS!$A:$A,0),3)</f>
        <v>MATRIZ</v>
      </c>
      <c r="E117" s="3" t="str">
        <f>INDEX(PEDIDOS!$A:$D,MATCH(FORNECEDOR!A117,PEDIDOS!$A:$A,0),4)</f>
        <v>CD NAVEGANTES</v>
      </c>
    </row>
    <row r="118" spans="1:5" x14ac:dyDescent="0.25">
      <c r="A118" s="1" t="s">
        <v>117</v>
      </c>
      <c r="B118" s="3">
        <f>COUNTIF(PEDIDOS!$A:$A,FORNECEDOR!A118)</f>
        <v>1</v>
      </c>
      <c r="C118" s="3" t="str">
        <f>INDEX(PEDIDOS!$A:$D,MATCH(FORNECEDOR!A118,PEDIDOS!$A:$A,0),2)</f>
        <v>MATRIZ</v>
      </c>
      <c r="D118" s="3" t="str">
        <f>INDEX(PEDIDOS!$A:$D,MATCH(FORNECEDOR!A118,PEDIDOS!$A:$A,0),3)</f>
        <v>MATRIZ</v>
      </c>
      <c r="E118" s="3" t="str">
        <f>INDEX(PEDIDOS!$A:$D,MATCH(FORNECEDOR!A118,PEDIDOS!$A:$A,0),4)</f>
        <v>MATRIZ</v>
      </c>
    </row>
    <row r="119" spans="1:5" hidden="1" x14ac:dyDescent="0.25">
      <c r="A119" s="1" t="s">
        <v>118</v>
      </c>
      <c r="B119" s="3">
        <f>COUNTIF(PEDIDOS!$A:$A,FORNECEDOR!A119)</f>
        <v>0</v>
      </c>
      <c r="C119" s="3" t="e">
        <f>INDEX(PEDIDOS!$A:$D,MATCH(FORNECEDOR!A119,PEDIDOS!$A:$A,0),2)</f>
        <v>#N/A</v>
      </c>
      <c r="D119" s="3" t="e">
        <f>INDEX(PEDIDOS!$A:$D,MATCH(FORNECEDOR!A119,PEDIDOS!$A:$A,0),3)</f>
        <v>#N/A</v>
      </c>
      <c r="E119" s="3" t="e">
        <f>INDEX(PEDIDOS!$A:$D,MATCH(FORNECEDOR!A119,PEDIDOS!$A:$A,0),4)</f>
        <v>#N/A</v>
      </c>
    </row>
    <row r="120" spans="1:5" x14ac:dyDescent="0.25">
      <c r="A120" s="1" t="s">
        <v>119</v>
      </c>
      <c r="B120" s="3">
        <f>COUNTIF(PEDIDOS!$A:$A,FORNECEDOR!A120)</f>
        <v>2</v>
      </c>
      <c r="C120" s="3" t="str">
        <f>INDEX(PEDIDOS!$A:$D,MATCH(FORNECEDOR!A120,PEDIDOS!$A:$A,0),2)</f>
        <v>CD REGIS</v>
      </c>
      <c r="D120" s="3" t="str">
        <f>INDEX(PEDIDOS!$A:$D,MATCH(FORNECEDOR!A120,PEDIDOS!$A:$A,0),3)</f>
        <v>CD REGIS</v>
      </c>
      <c r="E120" s="3" t="str">
        <f>INDEX(PEDIDOS!$A:$D,MATCH(FORNECEDOR!A120,PEDIDOS!$A:$A,0),4)</f>
        <v>CD REGIS</v>
      </c>
    </row>
    <row r="121" spans="1:5" hidden="1" x14ac:dyDescent="0.25">
      <c r="A121" s="1" t="s">
        <v>120</v>
      </c>
      <c r="B121" s="3">
        <f>COUNTIF(PEDIDOS!$A:$A,FORNECEDOR!A121)</f>
        <v>0</v>
      </c>
      <c r="C121" s="3" t="e">
        <f>INDEX(PEDIDOS!$A:$D,MATCH(FORNECEDOR!A121,PEDIDOS!$A:$A,0),2)</f>
        <v>#N/A</v>
      </c>
      <c r="D121" s="3" t="e">
        <f>INDEX(PEDIDOS!$A:$D,MATCH(FORNECEDOR!A121,PEDIDOS!$A:$A,0),3)</f>
        <v>#N/A</v>
      </c>
      <c r="E121" s="3" t="e">
        <f>INDEX(PEDIDOS!$A:$D,MATCH(FORNECEDOR!A121,PEDIDOS!$A:$A,0),4)</f>
        <v>#N/A</v>
      </c>
    </row>
    <row r="122" spans="1:5" hidden="1" x14ac:dyDescent="0.25">
      <c r="A122" s="1" t="s">
        <v>121</v>
      </c>
      <c r="B122" s="3">
        <f>COUNTIF(PEDIDOS!$A:$A,FORNECEDOR!A122)</f>
        <v>0</v>
      </c>
      <c r="C122" s="3" t="e">
        <f>INDEX(PEDIDOS!$A:$D,MATCH(FORNECEDOR!A122,PEDIDOS!$A:$A,0),2)</f>
        <v>#N/A</v>
      </c>
      <c r="D122" s="3" t="e">
        <f>INDEX(PEDIDOS!$A:$D,MATCH(FORNECEDOR!A122,PEDIDOS!$A:$A,0),3)</f>
        <v>#N/A</v>
      </c>
      <c r="E122" s="3" t="e">
        <f>INDEX(PEDIDOS!$A:$D,MATCH(FORNECEDOR!A122,PEDIDOS!$A:$A,0),4)</f>
        <v>#N/A</v>
      </c>
    </row>
    <row r="123" spans="1:5" hidden="1" x14ac:dyDescent="0.25">
      <c r="A123" s="1" t="s">
        <v>122</v>
      </c>
      <c r="B123" s="3">
        <f>COUNTIF(PEDIDOS!$A:$A,FORNECEDOR!A123)</f>
        <v>0</v>
      </c>
      <c r="C123" s="3" t="e">
        <f>INDEX(PEDIDOS!$A:$D,MATCH(FORNECEDOR!A123,PEDIDOS!$A:$A,0),2)</f>
        <v>#N/A</v>
      </c>
      <c r="D123" s="3" t="e">
        <f>INDEX(PEDIDOS!$A:$D,MATCH(FORNECEDOR!A123,PEDIDOS!$A:$A,0),3)</f>
        <v>#N/A</v>
      </c>
      <c r="E123" s="3" t="e">
        <f>INDEX(PEDIDOS!$A:$D,MATCH(FORNECEDOR!A123,PEDIDOS!$A:$A,0),4)</f>
        <v>#N/A</v>
      </c>
    </row>
    <row r="124" spans="1:5" hidden="1" x14ac:dyDescent="0.25">
      <c r="A124" s="1" t="s">
        <v>123</v>
      </c>
      <c r="B124" s="3">
        <f>COUNTIF(PEDIDOS!$A:$A,FORNECEDOR!A124)</f>
        <v>0</v>
      </c>
      <c r="C124" s="3" t="e">
        <f>INDEX(PEDIDOS!$A:$D,MATCH(FORNECEDOR!A124,PEDIDOS!$A:$A,0),2)</f>
        <v>#N/A</v>
      </c>
      <c r="D124" s="3" t="e">
        <f>INDEX(PEDIDOS!$A:$D,MATCH(FORNECEDOR!A124,PEDIDOS!$A:$A,0),3)</f>
        <v>#N/A</v>
      </c>
      <c r="E124" s="3" t="e">
        <f>INDEX(PEDIDOS!$A:$D,MATCH(FORNECEDOR!A124,PEDIDOS!$A:$A,0),4)</f>
        <v>#N/A</v>
      </c>
    </row>
    <row r="125" spans="1:5" x14ac:dyDescent="0.25">
      <c r="A125" s="1" t="s">
        <v>124</v>
      </c>
      <c r="B125" s="3">
        <f>COUNTIF(PEDIDOS!$A:$A,FORNECEDOR!A125)</f>
        <v>1</v>
      </c>
      <c r="C125" s="3" t="str">
        <f>INDEX(PEDIDOS!$A:$D,MATCH(FORNECEDOR!A125,PEDIDOS!$A:$A,0),2)</f>
        <v>CD REGIS</v>
      </c>
      <c r="D125" s="3" t="str">
        <f>INDEX(PEDIDOS!$A:$D,MATCH(FORNECEDOR!A125,PEDIDOS!$A:$A,0),3)</f>
        <v>TATUAPE</v>
      </c>
      <c r="E125" s="3" t="str">
        <f>INDEX(PEDIDOS!$A:$D,MATCH(FORNECEDOR!A125,PEDIDOS!$A:$A,0),4)</f>
        <v>CD REGIS</v>
      </c>
    </row>
    <row r="126" spans="1:5" hidden="1" x14ac:dyDescent="0.25">
      <c r="A126" s="1" t="s">
        <v>125</v>
      </c>
      <c r="B126" s="3">
        <f>COUNTIF(PEDIDOS!$A:$A,FORNECEDOR!A126)</f>
        <v>0</v>
      </c>
      <c r="C126" s="3" t="e">
        <f>INDEX(PEDIDOS!$A:$D,MATCH(FORNECEDOR!A126,PEDIDOS!$A:$A,0),2)</f>
        <v>#N/A</v>
      </c>
      <c r="D126" s="3" t="e">
        <f>INDEX(PEDIDOS!$A:$D,MATCH(FORNECEDOR!A126,PEDIDOS!$A:$A,0),3)</f>
        <v>#N/A</v>
      </c>
      <c r="E126" s="3" t="e">
        <f>INDEX(PEDIDOS!$A:$D,MATCH(FORNECEDOR!A126,PEDIDOS!$A:$A,0),4)</f>
        <v>#N/A</v>
      </c>
    </row>
    <row r="127" spans="1:5" x14ac:dyDescent="0.25">
      <c r="A127" s="1" t="s">
        <v>126</v>
      </c>
      <c r="B127" s="3">
        <f>COUNTIF(PEDIDOS!$A:$A,FORNECEDOR!A127)</f>
        <v>1</v>
      </c>
      <c r="C127" s="3" t="str">
        <f>INDEX(PEDIDOS!$A:$D,MATCH(FORNECEDOR!A127,PEDIDOS!$A:$A,0),2)</f>
        <v>MATRIZ</v>
      </c>
      <c r="D127" s="3" t="str">
        <f>INDEX(PEDIDOS!$A:$D,MATCH(FORNECEDOR!A127,PEDIDOS!$A:$A,0),3)</f>
        <v>MATRIZ</v>
      </c>
      <c r="E127" s="3" t="str">
        <f>INDEX(PEDIDOS!$A:$D,MATCH(FORNECEDOR!A127,PEDIDOS!$A:$A,0),4)</f>
        <v>MATRIZ</v>
      </c>
    </row>
    <row r="128" spans="1:5" hidden="1" x14ac:dyDescent="0.25">
      <c r="A128" s="1" t="s">
        <v>127</v>
      </c>
      <c r="B128" s="3">
        <f>COUNTIF(PEDIDOS!$A:$A,FORNECEDOR!A128)</f>
        <v>0</v>
      </c>
      <c r="C128" s="3" t="e">
        <f>INDEX(PEDIDOS!$A:$D,MATCH(FORNECEDOR!A128,PEDIDOS!$A:$A,0),2)</f>
        <v>#N/A</v>
      </c>
      <c r="D128" s="3" t="e">
        <f>INDEX(PEDIDOS!$A:$D,MATCH(FORNECEDOR!A128,PEDIDOS!$A:$A,0),3)</f>
        <v>#N/A</v>
      </c>
      <c r="E128" s="3" t="e">
        <f>INDEX(PEDIDOS!$A:$D,MATCH(FORNECEDOR!A128,PEDIDOS!$A:$A,0),4)</f>
        <v>#N/A</v>
      </c>
    </row>
    <row r="129" spans="1:5" hidden="1" x14ac:dyDescent="0.25">
      <c r="A129" s="1" t="s">
        <v>128</v>
      </c>
      <c r="B129" s="3">
        <f>COUNTIF(PEDIDOS!$A:$A,FORNECEDOR!A129)</f>
        <v>0</v>
      </c>
      <c r="C129" s="3" t="e">
        <f>INDEX(PEDIDOS!$A:$D,MATCH(FORNECEDOR!A129,PEDIDOS!$A:$A,0),2)</f>
        <v>#N/A</v>
      </c>
      <c r="D129" s="3" t="e">
        <f>INDEX(PEDIDOS!$A:$D,MATCH(FORNECEDOR!A129,PEDIDOS!$A:$A,0),3)</f>
        <v>#N/A</v>
      </c>
      <c r="E129" s="3" t="e">
        <f>INDEX(PEDIDOS!$A:$D,MATCH(FORNECEDOR!A129,PEDIDOS!$A:$A,0),4)</f>
        <v>#N/A</v>
      </c>
    </row>
    <row r="130" spans="1:5" x14ac:dyDescent="0.25">
      <c r="A130" s="1" t="s">
        <v>129</v>
      </c>
      <c r="B130" s="3">
        <f>COUNTIF(PEDIDOS!$A:$A,FORNECEDOR!A130)</f>
        <v>1</v>
      </c>
      <c r="C130" s="3" t="str">
        <f>INDEX(PEDIDOS!$A:$D,MATCH(FORNECEDOR!A130,PEDIDOS!$A:$A,0),2)</f>
        <v>CD REGIS</v>
      </c>
      <c r="D130" s="3" t="str">
        <f>INDEX(PEDIDOS!$A:$D,MATCH(FORNECEDOR!A130,PEDIDOS!$A:$A,0),3)</f>
        <v>MATRIZ</v>
      </c>
      <c r="E130" s="3" t="str">
        <f>INDEX(PEDIDOS!$A:$D,MATCH(FORNECEDOR!A130,PEDIDOS!$A:$A,0),4)</f>
        <v>CD REGIS</v>
      </c>
    </row>
    <row r="131" spans="1:5" x14ac:dyDescent="0.25">
      <c r="A131" s="1" t="s">
        <v>130</v>
      </c>
      <c r="B131" s="3">
        <f>COUNTIF(PEDIDOS!$A:$A,FORNECEDOR!A131)</f>
        <v>3</v>
      </c>
      <c r="C131" s="3" t="str">
        <f>INDEX(PEDIDOS!$A:$D,MATCH(FORNECEDOR!A131,PEDIDOS!$A:$A,0),2)</f>
        <v>CD NAVEGANTES</v>
      </c>
      <c r="D131" s="3" t="str">
        <f>INDEX(PEDIDOS!$A:$D,MATCH(FORNECEDOR!A131,PEDIDOS!$A:$A,0),3)</f>
        <v>MATRIZ</v>
      </c>
      <c r="E131" s="3" t="str">
        <f>INDEX(PEDIDOS!$A:$D,MATCH(FORNECEDOR!A131,PEDIDOS!$A:$A,0),4)</f>
        <v>CD NAVEGANTES</v>
      </c>
    </row>
    <row r="132" spans="1:5" hidden="1" x14ac:dyDescent="0.25">
      <c r="A132" s="1" t="s">
        <v>131</v>
      </c>
      <c r="B132" s="3">
        <f>COUNTIF(PEDIDOS!$A:$A,FORNECEDOR!A132)</f>
        <v>0</v>
      </c>
      <c r="C132" s="3" t="e">
        <f>INDEX(PEDIDOS!$A:$D,MATCH(FORNECEDOR!A132,PEDIDOS!$A:$A,0),2)</f>
        <v>#N/A</v>
      </c>
      <c r="D132" s="3" t="e">
        <f>INDEX(PEDIDOS!$A:$D,MATCH(FORNECEDOR!A132,PEDIDOS!$A:$A,0),3)</f>
        <v>#N/A</v>
      </c>
      <c r="E132" s="3" t="e">
        <f>INDEX(PEDIDOS!$A:$D,MATCH(FORNECEDOR!A132,PEDIDOS!$A:$A,0),4)</f>
        <v>#N/A</v>
      </c>
    </row>
    <row r="133" spans="1:5" hidden="1" x14ac:dyDescent="0.25">
      <c r="A133" s="1" t="s">
        <v>132</v>
      </c>
      <c r="B133" s="3">
        <f>COUNTIF(PEDIDOS!$A:$A,FORNECEDOR!A133)</f>
        <v>0</v>
      </c>
      <c r="C133" s="3" t="e">
        <f>INDEX(PEDIDOS!$A:$D,MATCH(FORNECEDOR!A133,PEDIDOS!$A:$A,0),2)</f>
        <v>#N/A</v>
      </c>
      <c r="D133" s="3" t="e">
        <f>INDEX(PEDIDOS!$A:$D,MATCH(FORNECEDOR!A133,PEDIDOS!$A:$A,0),3)</f>
        <v>#N/A</v>
      </c>
      <c r="E133" s="3" t="e">
        <f>INDEX(PEDIDOS!$A:$D,MATCH(FORNECEDOR!A133,PEDIDOS!$A:$A,0),4)</f>
        <v>#N/A</v>
      </c>
    </row>
    <row r="134" spans="1:5" hidden="1" x14ac:dyDescent="0.25">
      <c r="A134" s="1" t="s">
        <v>133</v>
      </c>
      <c r="B134" s="3">
        <f>COUNTIF(PEDIDOS!$A:$A,FORNECEDOR!A134)</f>
        <v>0</v>
      </c>
      <c r="C134" s="3" t="e">
        <f>INDEX(PEDIDOS!$A:$D,MATCH(FORNECEDOR!A134,PEDIDOS!$A:$A,0),2)</f>
        <v>#N/A</v>
      </c>
      <c r="D134" s="3" t="e">
        <f>INDEX(PEDIDOS!$A:$D,MATCH(FORNECEDOR!A134,PEDIDOS!$A:$A,0),3)</f>
        <v>#N/A</v>
      </c>
      <c r="E134" s="3" t="e">
        <f>INDEX(PEDIDOS!$A:$D,MATCH(FORNECEDOR!A134,PEDIDOS!$A:$A,0),4)</f>
        <v>#N/A</v>
      </c>
    </row>
    <row r="135" spans="1:5" hidden="1" x14ac:dyDescent="0.25">
      <c r="A135" s="1" t="s">
        <v>134</v>
      </c>
      <c r="B135" s="3">
        <f>COUNTIF(PEDIDOS!$A:$A,FORNECEDOR!A135)</f>
        <v>0</v>
      </c>
      <c r="C135" s="3" t="e">
        <f>INDEX(PEDIDOS!$A:$D,MATCH(FORNECEDOR!A135,PEDIDOS!$A:$A,0),2)</f>
        <v>#N/A</v>
      </c>
      <c r="D135" s="3" t="e">
        <f>INDEX(PEDIDOS!$A:$D,MATCH(FORNECEDOR!A135,PEDIDOS!$A:$A,0),3)</f>
        <v>#N/A</v>
      </c>
      <c r="E135" s="3" t="e">
        <f>INDEX(PEDIDOS!$A:$D,MATCH(FORNECEDOR!A135,PEDIDOS!$A:$A,0),4)</f>
        <v>#N/A</v>
      </c>
    </row>
    <row r="136" spans="1:5" hidden="1" x14ac:dyDescent="0.25">
      <c r="A136" s="1" t="s">
        <v>135</v>
      </c>
      <c r="B136" s="3">
        <f>COUNTIF(PEDIDOS!$A:$A,FORNECEDOR!A136)</f>
        <v>0</v>
      </c>
      <c r="C136" s="3" t="e">
        <f>INDEX(PEDIDOS!$A:$D,MATCH(FORNECEDOR!A136,PEDIDOS!$A:$A,0),2)</f>
        <v>#N/A</v>
      </c>
      <c r="D136" s="3" t="e">
        <f>INDEX(PEDIDOS!$A:$D,MATCH(FORNECEDOR!A136,PEDIDOS!$A:$A,0),3)</f>
        <v>#N/A</v>
      </c>
      <c r="E136" s="3" t="e">
        <f>INDEX(PEDIDOS!$A:$D,MATCH(FORNECEDOR!A136,PEDIDOS!$A:$A,0),4)</f>
        <v>#N/A</v>
      </c>
    </row>
    <row r="137" spans="1:5" hidden="1" x14ac:dyDescent="0.25">
      <c r="A137" s="1" t="s">
        <v>136</v>
      </c>
      <c r="B137" s="3">
        <f>COUNTIF(PEDIDOS!$A:$A,FORNECEDOR!A137)</f>
        <v>0</v>
      </c>
      <c r="C137" s="3" t="e">
        <f>INDEX(PEDIDOS!$A:$D,MATCH(FORNECEDOR!A137,PEDIDOS!$A:$A,0),2)</f>
        <v>#N/A</v>
      </c>
      <c r="D137" s="3" t="e">
        <f>INDEX(PEDIDOS!$A:$D,MATCH(FORNECEDOR!A137,PEDIDOS!$A:$A,0),3)</f>
        <v>#N/A</v>
      </c>
      <c r="E137" s="3" t="e">
        <f>INDEX(PEDIDOS!$A:$D,MATCH(FORNECEDOR!A137,PEDIDOS!$A:$A,0),4)</f>
        <v>#N/A</v>
      </c>
    </row>
    <row r="138" spans="1:5" hidden="1" x14ac:dyDescent="0.25">
      <c r="A138" s="1" t="s">
        <v>137</v>
      </c>
      <c r="B138" s="3">
        <f>COUNTIF(PEDIDOS!$A:$A,FORNECEDOR!A138)</f>
        <v>0</v>
      </c>
      <c r="C138" s="3" t="e">
        <f>INDEX(PEDIDOS!$A:$D,MATCH(FORNECEDOR!A138,PEDIDOS!$A:$A,0),2)</f>
        <v>#N/A</v>
      </c>
      <c r="D138" s="3" t="e">
        <f>INDEX(PEDIDOS!$A:$D,MATCH(FORNECEDOR!A138,PEDIDOS!$A:$A,0),3)</f>
        <v>#N/A</v>
      </c>
      <c r="E138" s="3" t="e">
        <f>INDEX(PEDIDOS!$A:$D,MATCH(FORNECEDOR!A138,PEDIDOS!$A:$A,0),4)</f>
        <v>#N/A</v>
      </c>
    </row>
    <row r="139" spans="1:5" hidden="1" x14ac:dyDescent="0.25">
      <c r="A139" s="1" t="s">
        <v>138</v>
      </c>
      <c r="B139" s="3">
        <f>COUNTIF(PEDIDOS!$A:$A,FORNECEDOR!A139)</f>
        <v>0</v>
      </c>
      <c r="C139" s="3" t="e">
        <f>INDEX(PEDIDOS!$A:$D,MATCH(FORNECEDOR!A139,PEDIDOS!$A:$A,0),2)</f>
        <v>#N/A</v>
      </c>
      <c r="D139" s="3" t="e">
        <f>INDEX(PEDIDOS!$A:$D,MATCH(FORNECEDOR!A139,PEDIDOS!$A:$A,0),3)</f>
        <v>#N/A</v>
      </c>
      <c r="E139" s="3" t="e">
        <f>INDEX(PEDIDOS!$A:$D,MATCH(FORNECEDOR!A139,PEDIDOS!$A:$A,0),4)</f>
        <v>#N/A</v>
      </c>
    </row>
    <row r="140" spans="1:5" hidden="1" x14ac:dyDescent="0.25">
      <c r="A140" s="1" t="s">
        <v>139</v>
      </c>
      <c r="B140" s="3">
        <f>COUNTIF(PEDIDOS!$A:$A,FORNECEDOR!A140)</f>
        <v>0</v>
      </c>
      <c r="C140" s="3" t="e">
        <f>INDEX(PEDIDOS!$A:$D,MATCH(FORNECEDOR!A140,PEDIDOS!$A:$A,0),2)</f>
        <v>#N/A</v>
      </c>
      <c r="D140" s="3" t="e">
        <f>INDEX(PEDIDOS!$A:$D,MATCH(FORNECEDOR!A140,PEDIDOS!$A:$A,0),3)</f>
        <v>#N/A</v>
      </c>
      <c r="E140" s="3" t="e">
        <f>INDEX(PEDIDOS!$A:$D,MATCH(FORNECEDOR!A140,PEDIDOS!$A:$A,0),4)</f>
        <v>#N/A</v>
      </c>
    </row>
    <row r="141" spans="1:5" hidden="1" x14ac:dyDescent="0.25">
      <c r="A141" s="1" t="s">
        <v>140</v>
      </c>
      <c r="B141" s="3">
        <f>COUNTIF(PEDIDOS!$A:$A,FORNECEDOR!A141)</f>
        <v>0</v>
      </c>
      <c r="C141" s="3" t="e">
        <f>INDEX(PEDIDOS!$A:$D,MATCH(FORNECEDOR!A141,PEDIDOS!$A:$A,0),2)</f>
        <v>#N/A</v>
      </c>
      <c r="D141" s="3" t="e">
        <f>INDEX(PEDIDOS!$A:$D,MATCH(FORNECEDOR!A141,PEDIDOS!$A:$A,0),3)</f>
        <v>#N/A</v>
      </c>
      <c r="E141" s="3" t="e">
        <f>INDEX(PEDIDOS!$A:$D,MATCH(FORNECEDOR!A141,PEDIDOS!$A:$A,0),4)</f>
        <v>#N/A</v>
      </c>
    </row>
    <row r="142" spans="1:5" hidden="1" x14ac:dyDescent="0.25">
      <c r="A142" s="1" t="s">
        <v>141</v>
      </c>
      <c r="B142" s="3">
        <f>COUNTIF(PEDIDOS!$A:$A,FORNECEDOR!A142)</f>
        <v>0</v>
      </c>
      <c r="C142" s="3" t="e">
        <f>INDEX(PEDIDOS!$A:$D,MATCH(FORNECEDOR!A142,PEDIDOS!$A:$A,0),2)</f>
        <v>#N/A</v>
      </c>
      <c r="D142" s="3" t="e">
        <f>INDEX(PEDIDOS!$A:$D,MATCH(FORNECEDOR!A142,PEDIDOS!$A:$A,0),3)</f>
        <v>#N/A</v>
      </c>
      <c r="E142" s="3" t="e">
        <f>INDEX(PEDIDOS!$A:$D,MATCH(FORNECEDOR!A142,PEDIDOS!$A:$A,0),4)</f>
        <v>#N/A</v>
      </c>
    </row>
    <row r="143" spans="1:5" x14ac:dyDescent="0.25">
      <c r="A143" s="1" t="s">
        <v>142</v>
      </c>
      <c r="B143" s="3">
        <f>COUNTIF(PEDIDOS!$A:$A,FORNECEDOR!A143)</f>
        <v>1</v>
      </c>
      <c r="C143" s="3" t="str">
        <f>INDEX(PEDIDOS!$A:$D,MATCH(FORNECEDOR!A143,PEDIDOS!$A:$A,0),2)</f>
        <v>CD REGIS</v>
      </c>
      <c r="D143" s="3" t="str">
        <f>INDEX(PEDIDOS!$A:$D,MATCH(FORNECEDOR!A143,PEDIDOS!$A:$A,0),3)</f>
        <v>CD REGIS</v>
      </c>
      <c r="E143" s="3" t="str">
        <f>INDEX(PEDIDOS!$A:$D,MATCH(FORNECEDOR!A143,PEDIDOS!$A:$A,0),4)</f>
        <v>CD REGIS</v>
      </c>
    </row>
    <row r="144" spans="1:5" hidden="1" x14ac:dyDescent="0.25">
      <c r="A144" s="1" t="s">
        <v>143</v>
      </c>
      <c r="B144" s="3">
        <f>COUNTIF(PEDIDOS!$A:$A,FORNECEDOR!A144)</f>
        <v>0</v>
      </c>
      <c r="C144" s="3" t="e">
        <f>INDEX(PEDIDOS!$A:$D,MATCH(FORNECEDOR!A144,PEDIDOS!$A:$A,0),2)</f>
        <v>#N/A</v>
      </c>
      <c r="D144" s="3" t="e">
        <f>INDEX(PEDIDOS!$A:$D,MATCH(FORNECEDOR!A144,PEDIDOS!$A:$A,0),3)</f>
        <v>#N/A</v>
      </c>
      <c r="E144" s="3" t="e">
        <f>INDEX(PEDIDOS!$A:$D,MATCH(FORNECEDOR!A144,PEDIDOS!$A:$A,0),4)</f>
        <v>#N/A</v>
      </c>
    </row>
    <row r="145" spans="1:5" hidden="1" x14ac:dyDescent="0.25">
      <c r="A145" s="1" t="s">
        <v>144</v>
      </c>
      <c r="B145" s="3">
        <f>COUNTIF(PEDIDOS!$A:$A,FORNECEDOR!A145)</f>
        <v>0</v>
      </c>
      <c r="C145" s="3" t="e">
        <f>INDEX(PEDIDOS!$A:$D,MATCH(FORNECEDOR!A145,PEDIDOS!$A:$A,0),2)</f>
        <v>#N/A</v>
      </c>
      <c r="D145" s="3" t="e">
        <f>INDEX(PEDIDOS!$A:$D,MATCH(FORNECEDOR!A145,PEDIDOS!$A:$A,0),3)</f>
        <v>#N/A</v>
      </c>
      <c r="E145" s="3" t="e">
        <f>INDEX(PEDIDOS!$A:$D,MATCH(FORNECEDOR!A145,PEDIDOS!$A:$A,0),4)</f>
        <v>#N/A</v>
      </c>
    </row>
    <row r="146" spans="1:5" x14ac:dyDescent="0.25">
      <c r="A146" s="1" t="s">
        <v>145</v>
      </c>
      <c r="B146" s="3">
        <f>COUNTIF(PEDIDOS!$A:$A,FORNECEDOR!A146)</f>
        <v>4</v>
      </c>
      <c r="C146" s="3" t="str">
        <f>INDEX(PEDIDOS!$A:$D,MATCH(FORNECEDOR!A146,PEDIDOS!$A:$A,0),2)</f>
        <v>CD ARAQUARI</v>
      </c>
      <c r="D146" s="3" t="str">
        <f>INDEX(PEDIDOS!$A:$D,MATCH(FORNECEDOR!A146,PEDIDOS!$A:$A,0),3)</f>
        <v>MATRIZ</v>
      </c>
      <c r="E146" s="3" t="str">
        <f>INDEX(PEDIDOS!$A:$D,MATCH(FORNECEDOR!A146,PEDIDOS!$A:$A,0),4)</f>
        <v>CD ARAQUARI</v>
      </c>
    </row>
    <row r="147" spans="1:5" x14ac:dyDescent="0.25">
      <c r="A147" s="1" t="s">
        <v>146</v>
      </c>
      <c r="B147" s="3">
        <f>COUNTIF(PEDIDOS!$A:$A,FORNECEDOR!A147)</f>
        <v>2</v>
      </c>
      <c r="C147" s="3" t="str">
        <f>INDEX(PEDIDOS!$A:$D,MATCH(FORNECEDOR!A147,PEDIDOS!$A:$A,0),2)</f>
        <v>CD ARAQUARI</v>
      </c>
      <c r="D147" s="3" t="str">
        <f>INDEX(PEDIDOS!$A:$D,MATCH(FORNECEDOR!A147,PEDIDOS!$A:$A,0),3)</f>
        <v>MATRIZ</v>
      </c>
      <c r="E147" s="3" t="str">
        <f>INDEX(PEDIDOS!$A:$D,MATCH(FORNECEDOR!A147,PEDIDOS!$A:$A,0),4)</f>
        <v>CD ARAQUARI</v>
      </c>
    </row>
    <row r="148" spans="1:5" x14ac:dyDescent="0.25">
      <c r="A148" s="1" t="s">
        <v>147</v>
      </c>
      <c r="B148" s="3">
        <f>COUNTIF(PEDIDOS!$A:$A,FORNECEDOR!A148)</f>
        <v>2</v>
      </c>
      <c r="C148" s="3" t="str">
        <f>INDEX(PEDIDOS!$A:$D,MATCH(FORNECEDOR!A148,PEDIDOS!$A:$A,0),2)</f>
        <v>MATRIZ</v>
      </c>
      <c r="D148" s="3" t="str">
        <f>INDEX(PEDIDOS!$A:$D,MATCH(FORNECEDOR!A148,PEDIDOS!$A:$A,0),3)</f>
        <v>MATRIZ</v>
      </c>
      <c r="E148" s="3" t="str">
        <f>INDEX(PEDIDOS!$A:$D,MATCH(FORNECEDOR!A148,PEDIDOS!$A:$A,0),4)</f>
        <v>MATRIZ</v>
      </c>
    </row>
    <row r="149" spans="1:5" hidden="1" x14ac:dyDescent="0.25">
      <c r="A149" s="1" t="s">
        <v>148</v>
      </c>
      <c r="B149" s="3">
        <f>COUNTIF(PEDIDOS!$A:$A,FORNECEDOR!A149)</f>
        <v>0</v>
      </c>
      <c r="C149" s="3" t="e">
        <f>INDEX(PEDIDOS!$A:$D,MATCH(FORNECEDOR!A149,PEDIDOS!$A:$A,0),2)</f>
        <v>#N/A</v>
      </c>
      <c r="D149" s="3" t="e">
        <f>INDEX(PEDIDOS!$A:$D,MATCH(FORNECEDOR!A149,PEDIDOS!$A:$A,0),3)</f>
        <v>#N/A</v>
      </c>
      <c r="E149" s="3" t="e">
        <f>INDEX(PEDIDOS!$A:$D,MATCH(FORNECEDOR!A149,PEDIDOS!$A:$A,0),4)</f>
        <v>#N/A</v>
      </c>
    </row>
    <row r="150" spans="1:5" hidden="1" x14ac:dyDescent="0.25">
      <c r="A150" s="1" t="s">
        <v>149</v>
      </c>
      <c r="B150" s="3">
        <f>COUNTIF(PEDIDOS!$A:$A,FORNECEDOR!A150)</f>
        <v>0</v>
      </c>
      <c r="C150" s="3" t="e">
        <f>INDEX(PEDIDOS!$A:$D,MATCH(FORNECEDOR!A150,PEDIDOS!$A:$A,0),2)</f>
        <v>#N/A</v>
      </c>
      <c r="D150" s="3" t="e">
        <f>INDEX(PEDIDOS!$A:$D,MATCH(FORNECEDOR!A150,PEDIDOS!$A:$A,0),3)</f>
        <v>#N/A</v>
      </c>
      <c r="E150" s="3" t="e">
        <f>INDEX(PEDIDOS!$A:$D,MATCH(FORNECEDOR!A150,PEDIDOS!$A:$A,0),4)</f>
        <v>#N/A</v>
      </c>
    </row>
    <row r="151" spans="1:5" x14ac:dyDescent="0.25">
      <c r="A151" s="1" t="s">
        <v>150</v>
      </c>
      <c r="B151" s="3">
        <f>COUNTIF(PEDIDOS!$A:$A,FORNECEDOR!A151)</f>
        <v>2</v>
      </c>
      <c r="C151" s="3" t="str">
        <f>INDEX(PEDIDOS!$A:$D,MATCH(FORNECEDOR!A151,PEDIDOS!$A:$A,0),2)</f>
        <v>AVANTI- ADM C.CREDITO</v>
      </c>
      <c r="D151" s="3" t="str">
        <f>INDEX(PEDIDOS!$A:$D,MATCH(FORNECEDOR!A151,PEDIDOS!$A:$A,0),3)</f>
        <v>AVANTI- ADM C.CREDITO</v>
      </c>
      <c r="E151" s="3" t="str">
        <f>INDEX(PEDIDOS!$A:$D,MATCH(FORNECEDOR!A151,PEDIDOS!$A:$A,0),4)</f>
        <v>AVANTI- ADM C.CREDITO</v>
      </c>
    </row>
    <row r="152" spans="1:5" hidden="1" x14ac:dyDescent="0.25">
      <c r="A152" s="1" t="s">
        <v>151</v>
      </c>
      <c r="B152" s="3">
        <f>COUNTIF(PEDIDOS!$A:$A,FORNECEDOR!A152)</f>
        <v>0</v>
      </c>
      <c r="C152" s="3" t="e">
        <f>INDEX(PEDIDOS!$A:$D,MATCH(FORNECEDOR!A152,PEDIDOS!$A:$A,0),2)</f>
        <v>#N/A</v>
      </c>
      <c r="D152" s="3" t="e">
        <f>INDEX(PEDIDOS!$A:$D,MATCH(FORNECEDOR!A152,PEDIDOS!$A:$A,0),3)</f>
        <v>#N/A</v>
      </c>
      <c r="E152" s="3" t="e">
        <f>INDEX(PEDIDOS!$A:$D,MATCH(FORNECEDOR!A152,PEDIDOS!$A:$A,0),4)</f>
        <v>#N/A</v>
      </c>
    </row>
    <row r="153" spans="1:5" hidden="1" x14ac:dyDescent="0.25">
      <c r="A153" s="1" t="s">
        <v>152</v>
      </c>
      <c r="B153" s="3">
        <f>COUNTIF(PEDIDOS!$A:$A,FORNECEDOR!A153)</f>
        <v>0</v>
      </c>
      <c r="C153" s="3" t="e">
        <f>INDEX(PEDIDOS!$A:$D,MATCH(FORNECEDOR!A153,PEDIDOS!$A:$A,0),2)</f>
        <v>#N/A</v>
      </c>
      <c r="D153" s="3" t="e">
        <f>INDEX(PEDIDOS!$A:$D,MATCH(FORNECEDOR!A153,PEDIDOS!$A:$A,0),3)</f>
        <v>#N/A</v>
      </c>
      <c r="E153" s="3" t="e">
        <f>INDEX(PEDIDOS!$A:$D,MATCH(FORNECEDOR!A153,PEDIDOS!$A:$A,0),4)</f>
        <v>#N/A</v>
      </c>
    </row>
    <row r="154" spans="1:5" hidden="1" x14ac:dyDescent="0.25">
      <c r="A154" s="1" t="s">
        <v>153</v>
      </c>
      <c r="B154" s="3">
        <f>COUNTIF(PEDIDOS!$A:$A,FORNECEDOR!A154)</f>
        <v>0</v>
      </c>
      <c r="C154" s="3" t="e">
        <f>INDEX(PEDIDOS!$A:$D,MATCH(FORNECEDOR!A154,PEDIDOS!$A:$A,0),2)</f>
        <v>#N/A</v>
      </c>
      <c r="D154" s="3" t="e">
        <f>INDEX(PEDIDOS!$A:$D,MATCH(FORNECEDOR!A154,PEDIDOS!$A:$A,0),3)</f>
        <v>#N/A</v>
      </c>
      <c r="E154" s="3" t="e">
        <f>INDEX(PEDIDOS!$A:$D,MATCH(FORNECEDOR!A154,PEDIDOS!$A:$A,0),4)</f>
        <v>#N/A</v>
      </c>
    </row>
    <row r="155" spans="1:5" hidden="1" x14ac:dyDescent="0.25">
      <c r="A155" s="1" t="s">
        <v>154</v>
      </c>
      <c r="B155" s="3">
        <f>COUNTIF(PEDIDOS!$A:$A,FORNECEDOR!A155)</f>
        <v>0</v>
      </c>
      <c r="C155" s="3" t="e">
        <f>INDEX(PEDIDOS!$A:$D,MATCH(FORNECEDOR!A155,PEDIDOS!$A:$A,0),2)</f>
        <v>#N/A</v>
      </c>
      <c r="D155" s="3" t="e">
        <f>INDEX(PEDIDOS!$A:$D,MATCH(FORNECEDOR!A155,PEDIDOS!$A:$A,0),3)</f>
        <v>#N/A</v>
      </c>
      <c r="E155" s="3" t="e">
        <f>INDEX(PEDIDOS!$A:$D,MATCH(FORNECEDOR!A155,PEDIDOS!$A:$A,0),4)</f>
        <v>#N/A</v>
      </c>
    </row>
    <row r="156" spans="1:5" x14ac:dyDescent="0.25">
      <c r="A156" s="1" t="s">
        <v>155</v>
      </c>
      <c r="B156" s="3">
        <f>COUNTIF(PEDIDOS!$A:$A,FORNECEDOR!A156)</f>
        <v>1</v>
      </c>
      <c r="C156" s="3" t="str">
        <f>INDEX(PEDIDOS!$A:$D,MATCH(FORNECEDOR!A156,PEDIDOS!$A:$A,0),2)</f>
        <v>MATRIZ</v>
      </c>
      <c r="D156" s="3" t="str">
        <f>INDEX(PEDIDOS!$A:$D,MATCH(FORNECEDOR!A156,PEDIDOS!$A:$A,0),3)</f>
        <v>MATRIZ</v>
      </c>
      <c r="E156" s="3" t="str">
        <f>INDEX(PEDIDOS!$A:$D,MATCH(FORNECEDOR!A156,PEDIDOS!$A:$A,0),4)</f>
        <v>MATRIZ</v>
      </c>
    </row>
    <row r="157" spans="1:5" hidden="1" x14ac:dyDescent="0.25">
      <c r="A157" s="1" t="s">
        <v>156</v>
      </c>
      <c r="B157" s="3">
        <f>COUNTIF(PEDIDOS!$A:$A,FORNECEDOR!A157)</f>
        <v>0</v>
      </c>
      <c r="C157" s="3" t="e">
        <f>INDEX(PEDIDOS!$A:$D,MATCH(FORNECEDOR!A157,PEDIDOS!$A:$A,0),2)</f>
        <v>#N/A</v>
      </c>
      <c r="D157" s="3" t="e">
        <f>INDEX(PEDIDOS!$A:$D,MATCH(FORNECEDOR!A157,PEDIDOS!$A:$A,0),3)</f>
        <v>#N/A</v>
      </c>
      <c r="E157" s="3" t="e">
        <f>INDEX(PEDIDOS!$A:$D,MATCH(FORNECEDOR!A157,PEDIDOS!$A:$A,0),4)</f>
        <v>#N/A</v>
      </c>
    </row>
    <row r="158" spans="1:5" hidden="1" x14ac:dyDescent="0.25">
      <c r="A158" s="1" t="s">
        <v>157</v>
      </c>
      <c r="B158" s="3">
        <f>COUNTIF(PEDIDOS!$A:$A,FORNECEDOR!A158)</f>
        <v>0</v>
      </c>
      <c r="C158" s="3" t="e">
        <f>INDEX(PEDIDOS!$A:$D,MATCH(FORNECEDOR!A158,PEDIDOS!$A:$A,0),2)</f>
        <v>#N/A</v>
      </c>
      <c r="D158" s="3" t="e">
        <f>INDEX(PEDIDOS!$A:$D,MATCH(FORNECEDOR!A158,PEDIDOS!$A:$A,0),3)</f>
        <v>#N/A</v>
      </c>
      <c r="E158" s="3" t="e">
        <f>INDEX(PEDIDOS!$A:$D,MATCH(FORNECEDOR!A158,PEDIDOS!$A:$A,0),4)</f>
        <v>#N/A</v>
      </c>
    </row>
    <row r="159" spans="1:5" hidden="1" x14ac:dyDescent="0.25">
      <c r="A159" s="1" t="s">
        <v>158</v>
      </c>
      <c r="B159" s="3">
        <f>COUNTIF(PEDIDOS!$A:$A,FORNECEDOR!A159)</f>
        <v>0</v>
      </c>
      <c r="C159" s="3" t="e">
        <f>INDEX(PEDIDOS!$A:$D,MATCH(FORNECEDOR!A159,PEDIDOS!$A:$A,0),2)</f>
        <v>#N/A</v>
      </c>
      <c r="D159" s="3" t="e">
        <f>INDEX(PEDIDOS!$A:$D,MATCH(FORNECEDOR!A159,PEDIDOS!$A:$A,0),3)</f>
        <v>#N/A</v>
      </c>
      <c r="E159" s="3" t="e">
        <f>INDEX(PEDIDOS!$A:$D,MATCH(FORNECEDOR!A159,PEDIDOS!$A:$A,0),4)</f>
        <v>#N/A</v>
      </c>
    </row>
    <row r="160" spans="1:5" hidden="1" x14ac:dyDescent="0.25">
      <c r="A160" s="1" t="s">
        <v>159</v>
      </c>
      <c r="B160" s="3">
        <f>COUNTIF(PEDIDOS!$A:$A,FORNECEDOR!A160)</f>
        <v>0</v>
      </c>
      <c r="C160" s="3" t="e">
        <f>INDEX(PEDIDOS!$A:$D,MATCH(FORNECEDOR!A160,PEDIDOS!$A:$A,0),2)</f>
        <v>#N/A</v>
      </c>
      <c r="D160" s="3" t="e">
        <f>INDEX(PEDIDOS!$A:$D,MATCH(FORNECEDOR!A160,PEDIDOS!$A:$A,0),3)</f>
        <v>#N/A</v>
      </c>
      <c r="E160" s="3" t="e">
        <f>INDEX(PEDIDOS!$A:$D,MATCH(FORNECEDOR!A160,PEDIDOS!$A:$A,0),4)</f>
        <v>#N/A</v>
      </c>
    </row>
    <row r="161" spans="1:5" hidden="1" x14ac:dyDescent="0.25">
      <c r="A161" s="1" t="s">
        <v>160</v>
      </c>
      <c r="B161" s="3">
        <f>COUNTIF(PEDIDOS!$A:$A,FORNECEDOR!A161)</f>
        <v>0</v>
      </c>
      <c r="C161" s="3" t="e">
        <f>INDEX(PEDIDOS!$A:$D,MATCH(FORNECEDOR!A161,PEDIDOS!$A:$A,0),2)</f>
        <v>#N/A</v>
      </c>
      <c r="D161" s="3" t="e">
        <f>INDEX(PEDIDOS!$A:$D,MATCH(FORNECEDOR!A161,PEDIDOS!$A:$A,0),3)</f>
        <v>#N/A</v>
      </c>
      <c r="E161" s="3" t="e">
        <f>INDEX(PEDIDOS!$A:$D,MATCH(FORNECEDOR!A161,PEDIDOS!$A:$A,0),4)</f>
        <v>#N/A</v>
      </c>
    </row>
    <row r="162" spans="1:5" x14ac:dyDescent="0.25">
      <c r="A162" s="1" t="s">
        <v>161</v>
      </c>
      <c r="B162" s="3">
        <f>COUNTIF(PEDIDOS!$A:$A,FORNECEDOR!A162)</f>
        <v>1</v>
      </c>
      <c r="C162" s="3" t="str">
        <f>INDEX(PEDIDOS!$A:$D,MATCH(FORNECEDOR!A162,PEDIDOS!$A:$A,0),2)</f>
        <v>CD REGIS</v>
      </c>
      <c r="D162" s="3" t="str">
        <f>INDEX(PEDIDOS!$A:$D,MATCH(FORNECEDOR!A162,PEDIDOS!$A:$A,0),3)</f>
        <v>TATUAPE</v>
      </c>
      <c r="E162" s="3" t="str">
        <f>INDEX(PEDIDOS!$A:$D,MATCH(FORNECEDOR!A162,PEDIDOS!$A:$A,0),4)</f>
        <v>CD REGIS</v>
      </c>
    </row>
    <row r="163" spans="1:5" hidden="1" x14ac:dyDescent="0.25">
      <c r="A163" s="1" t="s">
        <v>162</v>
      </c>
      <c r="B163" s="3">
        <f>COUNTIF(PEDIDOS!$A:$A,FORNECEDOR!A163)</f>
        <v>0</v>
      </c>
      <c r="C163" s="3" t="e">
        <f>INDEX(PEDIDOS!$A:$D,MATCH(FORNECEDOR!A163,PEDIDOS!$A:$A,0),2)</f>
        <v>#N/A</v>
      </c>
      <c r="D163" s="3" t="e">
        <f>INDEX(PEDIDOS!$A:$D,MATCH(FORNECEDOR!A163,PEDIDOS!$A:$A,0),3)</f>
        <v>#N/A</v>
      </c>
      <c r="E163" s="3" t="e">
        <f>INDEX(PEDIDOS!$A:$D,MATCH(FORNECEDOR!A163,PEDIDOS!$A:$A,0),4)</f>
        <v>#N/A</v>
      </c>
    </row>
    <row r="164" spans="1:5" hidden="1" x14ac:dyDescent="0.25">
      <c r="A164" s="1" t="s">
        <v>163</v>
      </c>
      <c r="B164" s="3">
        <f>COUNTIF(PEDIDOS!$A:$A,FORNECEDOR!A164)</f>
        <v>0</v>
      </c>
      <c r="C164" s="3" t="e">
        <f>INDEX(PEDIDOS!$A:$D,MATCH(FORNECEDOR!A164,PEDIDOS!$A:$A,0),2)</f>
        <v>#N/A</v>
      </c>
      <c r="D164" s="3" t="e">
        <f>INDEX(PEDIDOS!$A:$D,MATCH(FORNECEDOR!A164,PEDIDOS!$A:$A,0),3)</f>
        <v>#N/A</v>
      </c>
      <c r="E164" s="3" t="e">
        <f>INDEX(PEDIDOS!$A:$D,MATCH(FORNECEDOR!A164,PEDIDOS!$A:$A,0),4)</f>
        <v>#N/A</v>
      </c>
    </row>
    <row r="165" spans="1:5" x14ac:dyDescent="0.25">
      <c r="A165" s="1" t="s">
        <v>164</v>
      </c>
      <c r="B165" s="3">
        <f>COUNTIF(PEDIDOS!$A:$A,FORNECEDOR!A165)</f>
        <v>2</v>
      </c>
      <c r="C165" s="3" t="str">
        <f>INDEX(PEDIDOS!$A:$D,MATCH(FORNECEDOR!A165,PEDIDOS!$A:$A,0),2)</f>
        <v>CD REGIS</v>
      </c>
      <c r="D165" s="3" t="str">
        <f>INDEX(PEDIDOS!$A:$D,MATCH(FORNECEDOR!A165,PEDIDOS!$A:$A,0),3)</f>
        <v>MATRIZ</v>
      </c>
      <c r="E165" s="3" t="str">
        <f>INDEX(PEDIDOS!$A:$D,MATCH(FORNECEDOR!A165,PEDIDOS!$A:$A,0),4)</f>
        <v>CD REGIS</v>
      </c>
    </row>
    <row r="166" spans="1:5" hidden="1" x14ac:dyDescent="0.25">
      <c r="A166" s="1" t="s">
        <v>165</v>
      </c>
      <c r="B166" s="3">
        <f>COUNTIF(PEDIDOS!$A:$A,FORNECEDOR!A166)</f>
        <v>0</v>
      </c>
      <c r="C166" s="3" t="e">
        <f>INDEX(PEDIDOS!$A:$D,MATCH(FORNECEDOR!A166,PEDIDOS!$A:$A,0),2)</f>
        <v>#N/A</v>
      </c>
      <c r="D166" s="3" t="e">
        <f>INDEX(PEDIDOS!$A:$D,MATCH(FORNECEDOR!A166,PEDIDOS!$A:$A,0),3)</f>
        <v>#N/A</v>
      </c>
      <c r="E166" s="3" t="e">
        <f>INDEX(PEDIDOS!$A:$D,MATCH(FORNECEDOR!A166,PEDIDOS!$A:$A,0),4)</f>
        <v>#N/A</v>
      </c>
    </row>
    <row r="167" spans="1:5" hidden="1" x14ac:dyDescent="0.25">
      <c r="A167" s="1" t="s">
        <v>166</v>
      </c>
      <c r="B167" s="3">
        <f>COUNTIF(PEDIDOS!$A:$A,FORNECEDOR!A167)</f>
        <v>0</v>
      </c>
      <c r="C167" s="3" t="e">
        <f>INDEX(PEDIDOS!$A:$D,MATCH(FORNECEDOR!A167,PEDIDOS!$A:$A,0),2)</f>
        <v>#N/A</v>
      </c>
      <c r="D167" s="3" t="e">
        <f>INDEX(PEDIDOS!$A:$D,MATCH(FORNECEDOR!A167,PEDIDOS!$A:$A,0),3)</f>
        <v>#N/A</v>
      </c>
      <c r="E167" s="3" t="e">
        <f>INDEX(PEDIDOS!$A:$D,MATCH(FORNECEDOR!A167,PEDIDOS!$A:$A,0),4)</f>
        <v>#N/A</v>
      </c>
    </row>
    <row r="168" spans="1:5" x14ac:dyDescent="0.25">
      <c r="A168" s="1" t="s">
        <v>167</v>
      </c>
      <c r="B168" s="3">
        <f>COUNTIF(PEDIDOS!$A:$A,FORNECEDOR!A168)</f>
        <v>1</v>
      </c>
      <c r="C168" s="3" t="str">
        <f>INDEX(PEDIDOS!$A:$D,MATCH(FORNECEDOR!A168,PEDIDOS!$A:$A,0),2)</f>
        <v>CD REGIS</v>
      </c>
      <c r="D168" s="3" t="str">
        <f>INDEX(PEDIDOS!$A:$D,MATCH(FORNECEDOR!A168,PEDIDOS!$A:$A,0),3)</f>
        <v>CD REGIS</v>
      </c>
      <c r="E168" s="3" t="str">
        <f>INDEX(PEDIDOS!$A:$D,MATCH(FORNECEDOR!A168,PEDIDOS!$A:$A,0),4)</f>
        <v>CD REGIS</v>
      </c>
    </row>
    <row r="169" spans="1:5" hidden="1" x14ac:dyDescent="0.25">
      <c r="A169" s="1" t="s">
        <v>168</v>
      </c>
      <c r="B169" s="3">
        <f>COUNTIF(PEDIDOS!$A:$A,FORNECEDOR!A169)</f>
        <v>0</v>
      </c>
      <c r="C169" s="3" t="e">
        <f>INDEX(PEDIDOS!$A:$D,MATCH(FORNECEDOR!A169,PEDIDOS!$A:$A,0),2)</f>
        <v>#N/A</v>
      </c>
      <c r="D169" s="3" t="e">
        <f>INDEX(PEDIDOS!$A:$D,MATCH(FORNECEDOR!A169,PEDIDOS!$A:$A,0),3)</f>
        <v>#N/A</v>
      </c>
      <c r="E169" s="3" t="e">
        <f>INDEX(PEDIDOS!$A:$D,MATCH(FORNECEDOR!A169,PEDIDOS!$A:$A,0),4)</f>
        <v>#N/A</v>
      </c>
    </row>
    <row r="170" spans="1:5" hidden="1" x14ac:dyDescent="0.25">
      <c r="A170" s="1" t="s">
        <v>169</v>
      </c>
      <c r="B170" s="3">
        <f>COUNTIF(PEDIDOS!$A:$A,FORNECEDOR!A170)</f>
        <v>0</v>
      </c>
      <c r="C170" s="3" t="e">
        <f>INDEX(PEDIDOS!$A:$D,MATCH(FORNECEDOR!A170,PEDIDOS!$A:$A,0),2)</f>
        <v>#N/A</v>
      </c>
      <c r="D170" s="3" t="e">
        <f>INDEX(PEDIDOS!$A:$D,MATCH(FORNECEDOR!A170,PEDIDOS!$A:$A,0),3)</f>
        <v>#N/A</v>
      </c>
      <c r="E170" s="3" t="e">
        <f>INDEX(PEDIDOS!$A:$D,MATCH(FORNECEDOR!A170,PEDIDOS!$A:$A,0),4)</f>
        <v>#N/A</v>
      </c>
    </row>
    <row r="171" spans="1:5" hidden="1" x14ac:dyDescent="0.25">
      <c r="A171" s="1" t="s">
        <v>170</v>
      </c>
      <c r="B171" s="3">
        <f>COUNTIF(PEDIDOS!$A:$A,FORNECEDOR!A171)</f>
        <v>0</v>
      </c>
      <c r="C171" s="3" t="e">
        <f>INDEX(PEDIDOS!$A:$D,MATCH(FORNECEDOR!A171,PEDIDOS!$A:$A,0),2)</f>
        <v>#N/A</v>
      </c>
      <c r="D171" s="3" t="e">
        <f>INDEX(PEDIDOS!$A:$D,MATCH(FORNECEDOR!A171,PEDIDOS!$A:$A,0),3)</f>
        <v>#N/A</v>
      </c>
      <c r="E171" s="3" t="e">
        <f>INDEX(PEDIDOS!$A:$D,MATCH(FORNECEDOR!A171,PEDIDOS!$A:$A,0),4)</f>
        <v>#N/A</v>
      </c>
    </row>
    <row r="172" spans="1:5" hidden="1" x14ac:dyDescent="0.25">
      <c r="A172" s="1" t="s">
        <v>171</v>
      </c>
      <c r="B172" s="3">
        <f>COUNTIF(PEDIDOS!$A:$A,FORNECEDOR!A172)</f>
        <v>0</v>
      </c>
      <c r="C172" s="3" t="e">
        <f>INDEX(PEDIDOS!$A:$D,MATCH(FORNECEDOR!A172,PEDIDOS!$A:$A,0),2)</f>
        <v>#N/A</v>
      </c>
      <c r="D172" s="3" t="e">
        <f>INDEX(PEDIDOS!$A:$D,MATCH(FORNECEDOR!A172,PEDIDOS!$A:$A,0),3)</f>
        <v>#N/A</v>
      </c>
      <c r="E172" s="3" t="e">
        <f>INDEX(PEDIDOS!$A:$D,MATCH(FORNECEDOR!A172,PEDIDOS!$A:$A,0),4)</f>
        <v>#N/A</v>
      </c>
    </row>
    <row r="173" spans="1:5" hidden="1" x14ac:dyDescent="0.25">
      <c r="A173" s="1" t="s">
        <v>172</v>
      </c>
      <c r="B173" s="3">
        <f>COUNTIF(PEDIDOS!$A:$A,FORNECEDOR!A173)</f>
        <v>0</v>
      </c>
      <c r="C173" s="3" t="e">
        <f>INDEX(PEDIDOS!$A:$D,MATCH(FORNECEDOR!A173,PEDIDOS!$A:$A,0),2)</f>
        <v>#N/A</v>
      </c>
      <c r="D173" s="3" t="e">
        <f>INDEX(PEDIDOS!$A:$D,MATCH(FORNECEDOR!A173,PEDIDOS!$A:$A,0),3)</f>
        <v>#N/A</v>
      </c>
      <c r="E173" s="3" t="e">
        <f>INDEX(PEDIDOS!$A:$D,MATCH(FORNECEDOR!A173,PEDIDOS!$A:$A,0),4)</f>
        <v>#N/A</v>
      </c>
    </row>
    <row r="174" spans="1:5" hidden="1" x14ac:dyDescent="0.25">
      <c r="A174" s="1" t="s">
        <v>173</v>
      </c>
      <c r="B174" s="3">
        <f>COUNTIF(PEDIDOS!$A:$A,FORNECEDOR!A174)</f>
        <v>0</v>
      </c>
      <c r="C174" s="3" t="e">
        <f>INDEX(PEDIDOS!$A:$D,MATCH(FORNECEDOR!A174,PEDIDOS!$A:$A,0),2)</f>
        <v>#N/A</v>
      </c>
      <c r="D174" s="3" t="e">
        <f>INDEX(PEDIDOS!$A:$D,MATCH(FORNECEDOR!A174,PEDIDOS!$A:$A,0),3)</f>
        <v>#N/A</v>
      </c>
      <c r="E174" s="3" t="e">
        <f>INDEX(PEDIDOS!$A:$D,MATCH(FORNECEDOR!A174,PEDIDOS!$A:$A,0),4)</f>
        <v>#N/A</v>
      </c>
    </row>
    <row r="175" spans="1:5" hidden="1" x14ac:dyDescent="0.25">
      <c r="A175" s="1" t="s">
        <v>174</v>
      </c>
      <c r="B175" s="3">
        <f>COUNTIF(PEDIDOS!$A:$A,FORNECEDOR!A175)</f>
        <v>0</v>
      </c>
      <c r="C175" s="3" t="e">
        <f>INDEX(PEDIDOS!$A:$D,MATCH(FORNECEDOR!A175,PEDIDOS!$A:$A,0),2)</f>
        <v>#N/A</v>
      </c>
      <c r="D175" s="3" t="e">
        <f>INDEX(PEDIDOS!$A:$D,MATCH(FORNECEDOR!A175,PEDIDOS!$A:$A,0),3)</f>
        <v>#N/A</v>
      </c>
      <c r="E175" s="3" t="e">
        <f>INDEX(PEDIDOS!$A:$D,MATCH(FORNECEDOR!A175,PEDIDOS!$A:$A,0),4)</f>
        <v>#N/A</v>
      </c>
    </row>
    <row r="176" spans="1:5" hidden="1" x14ac:dyDescent="0.25">
      <c r="A176" s="1" t="s">
        <v>175</v>
      </c>
      <c r="B176" s="3">
        <f>COUNTIF(PEDIDOS!$A:$A,FORNECEDOR!A176)</f>
        <v>0</v>
      </c>
      <c r="C176" s="3" t="e">
        <f>INDEX(PEDIDOS!$A:$D,MATCH(FORNECEDOR!A176,PEDIDOS!$A:$A,0),2)</f>
        <v>#N/A</v>
      </c>
      <c r="D176" s="3" t="e">
        <f>INDEX(PEDIDOS!$A:$D,MATCH(FORNECEDOR!A176,PEDIDOS!$A:$A,0),3)</f>
        <v>#N/A</v>
      </c>
      <c r="E176" s="3" t="e">
        <f>INDEX(PEDIDOS!$A:$D,MATCH(FORNECEDOR!A176,PEDIDOS!$A:$A,0),4)</f>
        <v>#N/A</v>
      </c>
    </row>
    <row r="177" spans="1:5" x14ac:dyDescent="0.25">
      <c r="A177" s="1" t="s">
        <v>176</v>
      </c>
      <c r="B177" s="3">
        <f>COUNTIF(PEDIDOS!$A:$A,FORNECEDOR!A177)</f>
        <v>1</v>
      </c>
      <c r="C177" s="3" t="str">
        <f>INDEX(PEDIDOS!$A:$D,MATCH(FORNECEDOR!A177,PEDIDOS!$A:$A,0),2)</f>
        <v>CD REGIS</v>
      </c>
      <c r="D177" s="3" t="str">
        <f>INDEX(PEDIDOS!$A:$D,MATCH(FORNECEDOR!A177,PEDIDOS!$A:$A,0),3)</f>
        <v>CD REGIS</v>
      </c>
      <c r="E177" s="3" t="str">
        <f>INDEX(PEDIDOS!$A:$D,MATCH(FORNECEDOR!A177,PEDIDOS!$A:$A,0),4)</f>
        <v>CD REGIS</v>
      </c>
    </row>
    <row r="178" spans="1:5" x14ac:dyDescent="0.25">
      <c r="A178" s="1" t="s">
        <v>177</v>
      </c>
      <c r="B178" s="3">
        <f>COUNTIF(PEDIDOS!$A:$A,FORNECEDOR!A178)</f>
        <v>2</v>
      </c>
      <c r="C178" s="3" t="str">
        <f>INDEX(PEDIDOS!$A:$D,MATCH(FORNECEDOR!A178,PEDIDOS!$A:$A,0),2)</f>
        <v>ANPPLA</v>
      </c>
      <c r="D178" s="3" t="str">
        <f>INDEX(PEDIDOS!$A:$D,MATCH(FORNECEDOR!A178,PEDIDOS!$A:$A,0),3)</f>
        <v>ANPPLA</v>
      </c>
      <c r="E178" s="3" t="str">
        <f>INDEX(PEDIDOS!$A:$D,MATCH(FORNECEDOR!A178,PEDIDOS!$A:$A,0),4)</f>
        <v>ANPPLA</v>
      </c>
    </row>
    <row r="179" spans="1:5" x14ac:dyDescent="0.25">
      <c r="A179" s="1" t="s">
        <v>178</v>
      </c>
      <c r="B179" s="3">
        <f>COUNTIF(PEDIDOS!$A:$A,FORNECEDOR!A179)</f>
        <v>1</v>
      </c>
      <c r="C179" s="3" t="str">
        <f>INDEX(PEDIDOS!$A:$D,MATCH(FORNECEDOR!A179,PEDIDOS!$A:$A,0),2)</f>
        <v>CD REGIS</v>
      </c>
      <c r="D179" s="3" t="str">
        <f>INDEX(PEDIDOS!$A:$D,MATCH(FORNECEDOR!A179,PEDIDOS!$A:$A,0),3)</f>
        <v>MATRIZ</v>
      </c>
      <c r="E179" s="3" t="str">
        <f>INDEX(PEDIDOS!$A:$D,MATCH(FORNECEDOR!A179,PEDIDOS!$A:$A,0),4)</f>
        <v>CD REGIS</v>
      </c>
    </row>
    <row r="180" spans="1:5" x14ac:dyDescent="0.25">
      <c r="A180" s="1" t="s">
        <v>179</v>
      </c>
      <c r="B180" s="3">
        <f>COUNTIF(PEDIDOS!$A:$A,FORNECEDOR!A180)</f>
        <v>2</v>
      </c>
      <c r="C180" s="3" t="str">
        <f>INDEX(PEDIDOS!$A:$D,MATCH(FORNECEDOR!A180,PEDIDOS!$A:$A,0),2)</f>
        <v>CD NAVEGANTES</v>
      </c>
      <c r="D180" s="3" t="str">
        <f>INDEX(PEDIDOS!$A:$D,MATCH(FORNECEDOR!A180,PEDIDOS!$A:$A,0),3)</f>
        <v>MATRIZ</v>
      </c>
      <c r="E180" s="3" t="str">
        <f>INDEX(PEDIDOS!$A:$D,MATCH(FORNECEDOR!A180,PEDIDOS!$A:$A,0),4)</f>
        <v>CD NAVEGANTES</v>
      </c>
    </row>
    <row r="181" spans="1:5" hidden="1" x14ac:dyDescent="0.25">
      <c r="A181" s="1" t="s">
        <v>180</v>
      </c>
      <c r="B181" s="3">
        <f>COUNTIF(PEDIDOS!$A:$A,FORNECEDOR!A181)</f>
        <v>0</v>
      </c>
      <c r="C181" s="3" t="e">
        <f>INDEX(PEDIDOS!$A:$D,MATCH(FORNECEDOR!A181,PEDIDOS!$A:$A,0),2)</f>
        <v>#N/A</v>
      </c>
      <c r="D181" s="3" t="e">
        <f>INDEX(PEDIDOS!$A:$D,MATCH(FORNECEDOR!A181,PEDIDOS!$A:$A,0),3)</f>
        <v>#N/A</v>
      </c>
      <c r="E181" s="3" t="e">
        <f>INDEX(PEDIDOS!$A:$D,MATCH(FORNECEDOR!A181,PEDIDOS!$A:$A,0),4)</f>
        <v>#N/A</v>
      </c>
    </row>
    <row r="182" spans="1:5" hidden="1" x14ac:dyDescent="0.25">
      <c r="A182" s="1" t="s">
        <v>181</v>
      </c>
      <c r="B182" s="3">
        <f>COUNTIF(PEDIDOS!$A:$A,FORNECEDOR!A182)</f>
        <v>0</v>
      </c>
      <c r="C182" s="3" t="e">
        <f>INDEX(PEDIDOS!$A:$D,MATCH(FORNECEDOR!A182,PEDIDOS!$A:$A,0),2)</f>
        <v>#N/A</v>
      </c>
      <c r="D182" s="3" t="e">
        <f>INDEX(PEDIDOS!$A:$D,MATCH(FORNECEDOR!A182,PEDIDOS!$A:$A,0),3)</f>
        <v>#N/A</v>
      </c>
      <c r="E182" s="3" t="e">
        <f>INDEX(PEDIDOS!$A:$D,MATCH(FORNECEDOR!A182,PEDIDOS!$A:$A,0),4)</f>
        <v>#N/A</v>
      </c>
    </row>
    <row r="183" spans="1:5" hidden="1" x14ac:dyDescent="0.25">
      <c r="A183" s="1" t="s">
        <v>182</v>
      </c>
      <c r="B183" s="3">
        <f>COUNTIF(PEDIDOS!$A:$A,FORNECEDOR!A183)</f>
        <v>0</v>
      </c>
      <c r="C183" s="3" t="e">
        <f>INDEX(PEDIDOS!$A:$D,MATCH(FORNECEDOR!A183,PEDIDOS!$A:$A,0),2)</f>
        <v>#N/A</v>
      </c>
      <c r="D183" s="3" t="e">
        <f>INDEX(PEDIDOS!$A:$D,MATCH(FORNECEDOR!A183,PEDIDOS!$A:$A,0),3)</f>
        <v>#N/A</v>
      </c>
      <c r="E183" s="3" t="e">
        <f>INDEX(PEDIDOS!$A:$D,MATCH(FORNECEDOR!A183,PEDIDOS!$A:$A,0),4)</f>
        <v>#N/A</v>
      </c>
    </row>
    <row r="184" spans="1:5" x14ac:dyDescent="0.25">
      <c r="A184" s="1" t="s">
        <v>183</v>
      </c>
      <c r="B184" s="3">
        <f>COUNTIF(PEDIDOS!$A:$A,FORNECEDOR!A184)</f>
        <v>2</v>
      </c>
      <c r="C184" s="3" t="str">
        <f>INDEX(PEDIDOS!$A:$D,MATCH(FORNECEDOR!A184,PEDIDOS!$A:$A,0),2)</f>
        <v>MATRIZ</v>
      </c>
      <c r="D184" s="3" t="str">
        <f>INDEX(PEDIDOS!$A:$D,MATCH(FORNECEDOR!A184,PEDIDOS!$A:$A,0),3)</f>
        <v>MATRIZ</v>
      </c>
      <c r="E184" s="3" t="str">
        <f>INDEX(PEDIDOS!$A:$D,MATCH(FORNECEDOR!A184,PEDIDOS!$A:$A,0),4)</f>
        <v>MATRIZ</v>
      </c>
    </row>
    <row r="185" spans="1:5" hidden="1" x14ac:dyDescent="0.25">
      <c r="A185" s="1" t="s">
        <v>184</v>
      </c>
      <c r="B185" s="3">
        <f>COUNTIF(PEDIDOS!$A:$A,FORNECEDOR!A185)</f>
        <v>0</v>
      </c>
      <c r="C185" s="3" t="e">
        <f>INDEX(PEDIDOS!$A:$D,MATCH(FORNECEDOR!A185,PEDIDOS!$A:$A,0),2)</f>
        <v>#N/A</v>
      </c>
      <c r="D185" s="3" t="e">
        <f>INDEX(PEDIDOS!$A:$D,MATCH(FORNECEDOR!A185,PEDIDOS!$A:$A,0),3)</f>
        <v>#N/A</v>
      </c>
      <c r="E185" s="3" t="e">
        <f>INDEX(PEDIDOS!$A:$D,MATCH(FORNECEDOR!A185,PEDIDOS!$A:$A,0),4)</f>
        <v>#N/A</v>
      </c>
    </row>
    <row r="186" spans="1:5" hidden="1" x14ac:dyDescent="0.25">
      <c r="A186" s="1" t="s">
        <v>185</v>
      </c>
      <c r="B186" s="3">
        <f>COUNTIF(PEDIDOS!$A:$A,FORNECEDOR!A186)</f>
        <v>0</v>
      </c>
      <c r="C186" s="3" t="e">
        <f>INDEX(PEDIDOS!$A:$D,MATCH(FORNECEDOR!A186,PEDIDOS!$A:$A,0),2)</f>
        <v>#N/A</v>
      </c>
      <c r="D186" s="3" t="e">
        <f>INDEX(PEDIDOS!$A:$D,MATCH(FORNECEDOR!A186,PEDIDOS!$A:$A,0),3)</f>
        <v>#N/A</v>
      </c>
      <c r="E186" s="3" t="e">
        <f>INDEX(PEDIDOS!$A:$D,MATCH(FORNECEDOR!A186,PEDIDOS!$A:$A,0),4)</f>
        <v>#N/A</v>
      </c>
    </row>
    <row r="187" spans="1:5" hidden="1" x14ac:dyDescent="0.25">
      <c r="A187" s="1" t="s">
        <v>186</v>
      </c>
      <c r="B187" s="3">
        <f>COUNTIF(PEDIDOS!$A:$A,FORNECEDOR!A187)</f>
        <v>0</v>
      </c>
      <c r="C187" s="3" t="e">
        <f>INDEX(PEDIDOS!$A:$D,MATCH(FORNECEDOR!A187,PEDIDOS!$A:$A,0),2)</f>
        <v>#N/A</v>
      </c>
      <c r="D187" s="3" t="e">
        <f>INDEX(PEDIDOS!$A:$D,MATCH(FORNECEDOR!A187,PEDIDOS!$A:$A,0),3)</f>
        <v>#N/A</v>
      </c>
      <c r="E187" s="3" t="e">
        <f>INDEX(PEDIDOS!$A:$D,MATCH(FORNECEDOR!A187,PEDIDOS!$A:$A,0),4)</f>
        <v>#N/A</v>
      </c>
    </row>
    <row r="188" spans="1:5" x14ac:dyDescent="0.25">
      <c r="A188" s="1" t="s">
        <v>187</v>
      </c>
      <c r="B188" s="3">
        <f>COUNTIF(PEDIDOS!$A:$A,FORNECEDOR!A188)</f>
        <v>2</v>
      </c>
      <c r="C188" s="3" t="str">
        <f>INDEX(PEDIDOS!$A:$D,MATCH(FORNECEDOR!A188,PEDIDOS!$A:$A,0),2)</f>
        <v>CD REGIS</v>
      </c>
      <c r="D188" s="3" t="str">
        <f>INDEX(PEDIDOS!$A:$D,MATCH(FORNECEDOR!A188,PEDIDOS!$A:$A,0),3)</f>
        <v>MATRIZ</v>
      </c>
      <c r="E188" s="3" t="str">
        <f>INDEX(PEDIDOS!$A:$D,MATCH(FORNECEDOR!A188,PEDIDOS!$A:$A,0),4)</f>
        <v>CD REGIS</v>
      </c>
    </row>
    <row r="189" spans="1:5" hidden="1" x14ac:dyDescent="0.25">
      <c r="A189" s="1" t="s">
        <v>188</v>
      </c>
      <c r="B189" s="3">
        <f>COUNTIF(PEDIDOS!$A:$A,FORNECEDOR!A189)</f>
        <v>0</v>
      </c>
      <c r="C189" s="3" t="e">
        <f>INDEX(PEDIDOS!$A:$D,MATCH(FORNECEDOR!A189,PEDIDOS!$A:$A,0),2)</f>
        <v>#N/A</v>
      </c>
      <c r="D189" s="3" t="e">
        <f>INDEX(PEDIDOS!$A:$D,MATCH(FORNECEDOR!A189,PEDIDOS!$A:$A,0),3)</f>
        <v>#N/A</v>
      </c>
      <c r="E189" s="3" t="e">
        <f>INDEX(PEDIDOS!$A:$D,MATCH(FORNECEDOR!A189,PEDIDOS!$A:$A,0),4)</f>
        <v>#N/A</v>
      </c>
    </row>
    <row r="190" spans="1:5" x14ac:dyDescent="0.25">
      <c r="A190" s="1" t="s">
        <v>189</v>
      </c>
      <c r="B190" s="3">
        <f>COUNTIF(PEDIDOS!$A:$A,FORNECEDOR!A190)</f>
        <v>2</v>
      </c>
      <c r="C190" s="3" t="str">
        <f>INDEX(PEDIDOS!$A:$D,MATCH(FORNECEDOR!A190,PEDIDOS!$A:$A,0),2)</f>
        <v>CD REGIS</v>
      </c>
      <c r="D190" s="3" t="str">
        <f>INDEX(PEDIDOS!$A:$D,MATCH(FORNECEDOR!A190,PEDIDOS!$A:$A,0),3)</f>
        <v>MATRIZ</v>
      </c>
      <c r="E190" s="3" t="str">
        <f>INDEX(PEDIDOS!$A:$D,MATCH(FORNECEDOR!A190,PEDIDOS!$A:$A,0),4)</f>
        <v>CD REGIS</v>
      </c>
    </row>
    <row r="191" spans="1:5" x14ac:dyDescent="0.25">
      <c r="A191" s="1" t="s">
        <v>190</v>
      </c>
      <c r="B191" s="3">
        <f>COUNTIF(PEDIDOS!$A:$A,FORNECEDOR!A191)</f>
        <v>13</v>
      </c>
      <c r="C191" s="3" t="str">
        <f>INDEX(PEDIDOS!$A:$D,MATCH(FORNECEDOR!A191,PEDIDOS!$A:$A,0),2)</f>
        <v>AVANTI- ADM C.CREDITO</v>
      </c>
      <c r="D191" s="3" t="str">
        <f>INDEX(PEDIDOS!$A:$D,MATCH(FORNECEDOR!A191,PEDIDOS!$A:$A,0),3)</f>
        <v>AVANTI- ADM C.CREDITO</v>
      </c>
      <c r="E191" s="3" t="str">
        <f>INDEX(PEDIDOS!$A:$D,MATCH(FORNECEDOR!A191,PEDIDOS!$A:$A,0),4)</f>
        <v>AVANTI- ADM C.CREDITO</v>
      </c>
    </row>
    <row r="192" spans="1:5" hidden="1" x14ac:dyDescent="0.25">
      <c r="A192" s="1" t="s">
        <v>191</v>
      </c>
      <c r="B192" s="3">
        <f>COUNTIF(PEDIDOS!$A:$A,FORNECEDOR!A192)</f>
        <v>0</v>
      </c>
      <c r="C192" s="3" t="e">
        <f>INDEX(PEDIDOS!$A:$D,MATCH(FORNECEDOR!A192,PEDIDOS!$A:$A,0),2)</f>
        <v>#N/A</v>
      </c>
      <c r="D192" s="3" t="e">
        <f>INDEX(PEDIDOS!$A:$D,MATCH(FORNECEDOR!A192,PEDIDOS!$A:$A,0),3)</f>
        <v>#N/A</v>
      </c>
      <c r="E192" s="3" t="e">
        <f>INDEX(PEDIDOS!$A:$D,MATCH(FORNECEDOR!A192,PEDIDOS!$A:$A,0),4)</f>
        <v>#N/A</v>
      </c>
    </row>
    <row r="193" spans="1:5" hidden="1" x14ac:dyDescent="0.25">
      <c r="A193" s="1" t="s">
        <v>192</v>
      </c>
      <c r="B193" s="3">
        <f>COUNTIF(PEDIDOS!$A:$A,FORNECEDOR!A193)</f>
        <v>0</v>
      </c>
      <c r="C193" s="3" t="e">
        <f>INDEX(PEDIDOS!$A:$D,MATCH(FORNECEDOR!A193,PEDIDOS!$A:$A,0),2)</f>
        <v>#N/A</v>
      </c>
      <c r="D193" s="3" t="e">
        <f>INDEX(PEDIDOS!$A:$D,MATCH(FORNECEDOR!A193,PEDIDOS!$A:$A,0),3)</f>
        <v>#N/A</v>
      </c>
      <c r="E193" s="3" t="e">
        <f>INDEX(PEDIDOS!$A:$D,MATCH(FORNECEDOR!A193,PEDIDOS!$A:$A,0),4)</f>
        <v>#N/A</v>
      </c>
    </row>
    <row r="194" spans="1:5" hidden="1" x14ac:dyDescent="0.25">
      <c r="A194" s="1" t="s">
        <v>193</v>
      </c>
      <c r="B194" s="3">
        <f>COUNTIF(PEDIDOS!$A:$A,FORNECEDOR!A194)</f>
        <v>0</v>
      </c>
      <c r="C194" s="3" t="e">
        <f>INDEX(PEDIDOS!$A:$D,MATCH(FORNECEDOR!A194,PEDIDOS!$A:$A,0),2)</f>
        <v>#N/A</v>
      </c>
      <c r="D194" s="3" t="e">
        <f>INDEX(PEDIDOS!$A:$D,MATCH(FORNECEDOR!A194,PEDIDOS!$A:$A,0),3)</f>
        <v>#N/A</v>
      </c>
      <c r="E194" s="3" t="e">
        <f>INDEX(PEDIDOS!$A:$D,MATCH(FORNECEDOR!A194,PEDIDOS!$A:$A,0),4)</f>
        <v>#N/A</v>
      </c>
    </row>
    <row r="195" spans="1:5" x14ac:dyDescent="0.25">
      <c r="A195" s="1" t="s">
        <v>194</v>
      </c>
      <c r="B195" s="3">
        <f>COUNTIF(PEDIDOS!$A:$A,FORNECEDOR!A195)</f>
        <v>2</v>
      </c>
      <c r="C195" s="3" t="str">
        <f>INDEX(PEDIDOS!$A:$D,MATCH(FORNECEDOR!A195,PEDIDOS!$A:$A,0),2)</f>
        <v>MATRIZ</v>
      </c>
      <c r="D195" s="3" t="str">
        <f>INDEX(PEDIDOS!$A:$D,MATCH(FORNECEDOR!A195,PEDIDOS!$A:$A,0),3)</f>
        <v>MATRIZ</v>
      </c>
      <c r="E195" s="3" t="str">
        <f>INDEX(PEDIDOS!$A:$D,MATCH(FORNECEDOR!A195,PEDIDOS!$A:$A,0),4)</f>
        <v>MATRIZ</v>
      </c>
    </row>
    <row r="196" spans="1:5" hidden="1" x14ac:dyDescent="0.25">
      <c r="A196" s="1" t="s">
        <v>195</v>
      </c>
      <c r="B196" s="3">
        <f>COUNTIF(PEDIDOS!$A:$A,FORNECEDOR!A196)</f>
        <v>0</v>
      </c>
      <c r="C196" s="3" t="e">
        <f>INDEX(PEDIDOS!$A:$D,MATCH(FORNECEDOR!A196,PEDIDOS!$A:$A,0),2)</f>
        <v>#N/A</v>
      </c>
      <c r="D196" s="3" t="e">
        <f>INDEX(PEDIDOS!$A:$D,MATCH(FORNECEDOR!A196,PEDIDOS!$A:$A,0),3)</f>
        <v>#N/A</v>
      </c>
      <c r="E196" s="3" t="e">
        <f>INDEX(PEDIDOS!$A:$D,MATCH(FORNECEDOR!A196,PEDIDOS!$A:$A,0),4)</f>
        <v>#N/A</v>
      </c>
    </row>
    <row r="197" spans="1:5" x14ac:dyDescent="0.25">
      <c r="A197" s="1" t="s">
        <v>196</v>
      </c>
      <c r="B197" s="3">
        <f>COUNTIF(PEDIDOS!$A:$A,FORNECEDOR!A197)</f>
        <v>1</v>
      </c>
      <c r="C197" s="3" t="str">
        <f>INDEX(PEDIDOS!$A:$D,MATCH(FORNECEDOR!A197,PEDIDOS!$A:$A,0),2)</f>
        <v>SP - PARI</v>
      </c>
      <c r="D197" s="3" t="str">
        <f>INDEX(PEDIDOS!$A:$D,MATCH(FORNECEDOR!A197,PEDIDOS!$A:$A,0),3)</f>
        <v>SP - PARI</v>
      </c>
      <c r="E197" s="3" t="str">
        <f>INDEX(PEDIDOS!$A:$D,MATCH(FORNECEDOR!A197,PEDIDOS!$A:$A,0),4)</f>
        <v>SP - PARI</v>
      </c>
    </row>
    <row r="198" spans="1:5" hidden="1" x14ac:dyDescent="0.25">
      <c r="A198" s="1" t="s">
        <v>197</v>
      </c>
      <c r="B198" s="3">
        <f>COUNTIF(PEDIDOS!$A:$A,FORNECEDOR!A198)</f>
        <v>0</v>
      </c>
      <c r="C198" s="3" t="e">
        <f>INDEX(PEDIDOS!$A:$D,MATCH(FORNECEDOR!A198,PEDIDOS!$A:$A,0),2)</f>
        <v>#N/A</v>
      </c>
      <c r="D198" s="3" t="e">
        <f>INDEX(PEDIDOS!$A:$D,MATCH(FORNECEDOR!A198,PEDIDOS!$A:$A,0),3)</f>
        <v>#N/A</v>
      </c>
      <c r="E198" s="3" t="e">
        <f>INDEX(PEDIDOS!$A:$D,MATCH(FORNECEDOR!A198,PEDIDOS!$A:$A,0),4)</f>
        <v>#N/A</v>
      </c>
    </row>
    <row r="199" spans="1:5" hidden="1" x14ac:dyDescent="0.25">
      <c r="A199" s="1" t="s">
        <v>198</v>
      </c>
      <c r="B199" s="3">
        <f>COUNTIF(PEDIDOS!$A:$A,FORNECEDOR!A199)</f>
        <v>0</v>
      </c>
      <c r="C199" s="3" t="e">
        <f>INDEX(PEDIDOS!$A:$D,MATCH(FORNECEDOR!A199,PEDIDOS!$A:$A,0),2)</f>
        <v>#N/A</v>
      </c>
      <c r="D199" s="3" t="e">
        <f>INDEX(PEDIDOS!$A:$D,MATCH(FORNECEDOR!A199,PEDIDOS!$A:$A,0),3)</f>
        <v>#N/A</v>
      </c>
      <c r="E199" s="3" t="e">
        <f>INDEX(PEDIDOS!$A:$D,MATCH(FORNECEDOR!A199,PEDIDOS!$A:$A,0),4)</f>
        <v>#N/A</v>
      </c>
    </row>
    <row r="200" spans="1:5" x14ac:dyDescent="0.25">
      <c r="A200" s="1" t="s">
        <v>199</v>
      </c>
      <c r="B200" s="3">
        <f>COUNTIF(PEDIDOS!$A:$A,FORNECEDOR!A200)</f>
        <v>2</v>
      </c>
      <c r="C200" s="3" t="str">
        <f>INDEX(PEDIDOS!$A:$D,MATCH(FORNECEDOR!A200,PEDIDOS!$A:$A,0),2)</f>
        <v>CD REGIS</v>
      </c>
      <c r="D200" s="3" t="str">
        <f>INDEX(PEDIDOS!$A:$D,MATCH(FORNECEDOR!A200,PEDIDOS!$A:$A,0),3)</f>
        <v>MATRIZ</v>
      </c>
      <c r="E200" s="3" t="str">
        <f>INDEX(PEDIDOS!$A:$D,MATCH(FORNECEDOR!A200,PEDIDOS!$A:$A,0),4)</f>
        <v>CD REGIS</v>
      </c>
    </row>
    <row r="201" spans="1:5" hidden="1" x14ac:dyDescent="0.25">
      <c r="A201" s="1" t="s">
        <v>200</v>
      </c>
      <c r="B201" s="3">
        <f>COUNTIF(PEDIDOS!$A:$A,FORNECEDOR!A201)</f>
        <v>0</v>
      </c>
      <c r="C201" s="3" t="e">
        <f>INDEX(PEDIDOS!$A:$D,MATCH(FORNECEDOR!A201,PEDIDOS!$A:$A,0),2)</f>
        <v>#N/A</v>
      </c>
      <c r="D201" s="3" t="e">
        <f>INDEX(PEDIDOS!$A:$D,MATCH(FORNECEDOR!A201,PEDIDOS!$A:$A,0),3)</f>
        <v>#N/A</v>
      </c>
      <c r="E201" s="3" t="e">
        <f>INDEX(PEDIDOS!$A:$D,MATCH(FORNECEDOR!A201,PEDIDOS!$A:$A,0),4)</f>
        <v>#N/A</v>
      </c>
    </row>
    <row r="202" spans="1:5" hidden="1" x14ac:dyDescent="0.25">
      <c r="A202" s="1" t="s">
        <v>201</v>
      </c>
      <c r="B202" s="3">
        <f>COUNTIF(PEDIDOS!$A:$A,FORNECEDOR!A202)</f>
        <v>0</v>
      </c>
      <c r="C202" s="3" t="e">
        <f>INDEX(PEDIDOS!$A:$D,MATCH(FORNECEDOR!A202,PEDIDOS!$A:$A,0),2)</f>
        <v>#N/A</v>
      </c>
      <c r="D202" s="3" t="e">
        <f>INDEX(PEDIDOS!$A:$D,MATCH(FORNECEDOR!A202,PEDIDOS!$A:$A,0),3)</f>
        <v>#N/A</v>
      </c>
      <c r="E202" s="3" t="e">
        <f>INDEX(PEDIDOS!$A:$D,MATCH(FORNECEDOR!A202,PEDIDOS!$A:$A,0),4)</f>
        <v>#N/A</v>
      </c>
    </row>
    <row r="203" spans="1:5" x14ac:dyDescent="0.25">
      <c r="A203" s="1" t="s">
        <v>202</v>
      </c>
      <c r="B203" s="3">
        <f>COUNTIF(PEDIDOS!$A:$A,FORNECEDOR!A203)</f>
        <v>1</v>
      </c>
      <c r="C203" s="3" t="str">
        <f>INDEX(PEDIDOS!$A:$D,MATCH(FORNECEDOR!A203,PEDIDOS!$A:$A,0),2)</f>
        <v>MATRIZ</v>
      </c>
      <c r="D203" s="3" t="str">
        <f>INDEX(PEDIDOS!$A:$D,MATCH(FORNECEDOR!A203,PEDIDOS!$A:$A,0),3)</f>
        <v>MATRIZ</v>
      </c>
      <c r="E203" s="3" t="str">
        <f>INDEX(PEDIDOS!$A:$D,MATCH(FORNECEDOR!A203,PEDIDOS!$A:$A,0),4)</f>
        <v>MATRIZ</v>
      </c>
    </row>
    <row r="204" spans="1:5" x14ac:dyDescent="0.25">
      <c r="A204" s="1" t="s">
        <v>203</v>
      </c>
      <c r="B204" s="3">
        <f>COUNTIF(PEDIDOS!$A:$A,FORNECEDOR!A204)</f>
        <v>1</v>
      </c>
      <c r="C204" s="3" t="str">
        <f>INDEX(PEDIDOS!$A:$D,MATCH(FORNECEDOR!A204,PEDIDOS!$A:$A,0),2)</f>
        <v>MATRIZ</v>
      </c>
      <c r="D204" s="3" t="str">
        <f>INDEX(PEDIDOS!$A:$D,MATCH(FORNECEDOR!A204,PEDIDOS!$A:$A,0),3)</f>
        <v>MATRIZ</v>
      </c>
      <c r="E204" s="3" t="str">
        <f>INDEX(PEDIDOS!$A:$D,MATCH(FORNECEDOR!A204,PEDIDOS!$A:$A,0),4)</f>
        <v>MATRIZ</v>
      </c>
    </row>
    <row r="205" spans="1:5" hidden="1" x14ac:dyDescent="0.25">
      <c r="A205" s="1" t="s">
        <v>204</v>
      </c>
      <c r="B205" s="3">
        <f>COUNTIF(PEDIDOS!$A:$A,FORNECEDOR!A205)</f>
        <v>0</v>
      </c>
      <c r="C205" s="3" t="e">
        <f>INDEX(PEDIDOS!$A:$D,MATCH(FORNECEDOR!A205,PEDIDOS!$A:$A,0),2)</f>
        <v>#N/A</v>
      </c>
      <c r="D205" s="3" t="e">
        <f>INDEX(PEDIDOS!$A:$D,MATCH(FORNECEDOR!A205,PEDIDOS!$A:$A,0),3)</f>
        <v>#N/A</v>
      </c>
      <c r="E205" s="3" t="e">
        <f>INDEX(PEDIDOS!$A:$D,MATCH(FORNECEDOR!A205,PEDIDOS!$A:$A,0),4)</f>
        <v>#N/A</v>
      </c>
    </row>
    <row r="206" spans="1:5" hidden="1" x14ac:dyDescent="0.25">
      <c r="A206" s="1" t="s">
        <v>205</v>
      </c>
      <c r="B206" s="3">
        <f>COUNTIF(PEDIDOS!$A:$A,FORNECEDOR!A206)</f>
        <v>0</v>
      </c>
      <c r="C206" s="3" t="e">
        <f>INDEX(PEDIDOS!$A:$D,MATCH(FORNECEDOR!A206,PEDIDOS!$A:$A,0),2)</f>
        <v>#N/A</v>
      </c>
      <c r="D206" s="3" t="e">
        <f>INDEX(PEDIDOS!$A:$D,MATCH(FORNECEDOR!A206,PEDIDOS!$A:$A,0),3)</f>
        <v>#N/A</v>
      </c>
      <c r="E206" s="3" t="e">
        <f>INDEX(PEDIDOS!$A:$D,MATCH(FORNECEDOR!A206,PEDIDOS!$A:$A,0),4)</f>
        <v>#N/A</v>
      </c>
    </row>
    <row r="207" spans="1:5" hidden="1" x14ac:dyDescent="0.25">
      <c r="A207" s="1" t="s">
        <v>206</v>
      </c>
      <c r="B207" s="3">
        <f>COUNTIF(PEDIDOS!$A:$A,FORNECEDOR!A207)</f>
        <v>0</v>
      </c>
      <c r="C207" s="3" t="e">
        <f>INDEX(PEDIDOS!$A:$D,MATCH(FORNECEDOR!A207,PEDIDOS!$A:$A,0),2)</f>
        <v>#N/A</v>
      </c>
      <c r="D207" s="3" t="e">
        <f>INDEX(PEDIDOS!$A:$D,MATCH(FORNECEDOR!A207,PEDIDOS!$A:$A,0),3)</f>
        <v>#N/A</v>
      </c>
      <c r="E207" s="3" t="e">
        <f>INDEX(PEDIDOS!$A:$D,MATCH(FORNECEDOR!A207,PEDIDOS!$A:$A,0),4)</f>
        <v>#N/A</v>
      </c>
    </row>
    <row r="208" spans="1:5" x14ac:dyDescent="0.25">
      <c r="A208" s="1" t="s">
        <v>207</v>
      </c>
      <c r="B208" s="3">
        <f>COUNTIF(PEDIDOS!$A:$A,FORNECEDOR!A208)</f>
        <v>2</v>
      </c>
      <c r="C208" s="3" t="str">
        <f>INDEX(PEDIDOS!$A:$D,MATCH(FORNECEDOR!A208,PEDIDOS!$A:$A,0),2)</f>
        <v>CD REGIS</v>
      </c>
      <c r="D208" s="3" t="str">
        <f>INDEX(PEDIDOS!$A:$D,MATCH(FORNECEDOR!A208,PEDIDOS!$A:$A,0),3)</f>
        <v>MATRIZ</v>
      </c>
      <c r="E208" s="3" t="str">
        <f>INDEX(PEDIDOS!$A:$D,MATCH(FORNECEDOR!A208,PEDIDOS!$A:$A,0),4)</f>
        <v>CD REGIS</v>
      </c>
    </row>
    <row r="209" spans="1:5" x14ac:dyDescent="0.25">
      <c r="A209" s="1" t="s">
        <v>208</v>
      </c>
      <c r="B209" s="3">
        <f>COUNTIF(PEDIDOS!$A:$A,FORNECEDOR!A209)</f>
        <v>1</v>
      </c>
      <c r="C209" s="3" t="str">
        <f>INDEX(PEDIDOS!$A:$D,MATCH(FORNECEDOR!A209,PEDIDOS!$A:$A,0),2)</f>
        <v>CD REGIS</v>
      </c>
      <c r="D209" s="3" t="str">
        <f>INDEX(PEDIDOS!$A:$D,MATCH(FORNECEDOR!A209,PEDIDOS!$A:$A,0),3)</f>
        <v>MATRIZ</v>
      </c>
      <c r="E209" s="3" t="str">
        <f>INDEX(PEDIDOS!$A:$D,MATCH(FORNECEDOR!A209,PEDIDOS!$A:$A,0),4)</f>
        <v>CD REGIS</v>
      </c>
    </row>
    <row r="210" spans="1:5" hidden="1" x14ac:dyDescent="0.25">
      <c r="A210" s="1" t="s">
        <v>209</v>
      </c>
      <c r="B210" s="3">
        <f>COUNTIF(PEDIDOS!$A:$A,FORNECEDOR!A210)</f>
        <v>0</v>
      </c>
      <c r="C210" s="3" t="e">
        <f>INDEX(PEDIDOS!$A:$D,MATCH(FORNECEDOR!A210,PEDIDOS!$A:$A,0),2)</f>
        <v>#N/A</v>
      </c>
      <c r="D210" s="3" t="e">
        <f>INDEX(PEDIDOS!$A:$D,MATCH(FORNECEDOR!A210,PEDIDOS!$A:$A,0),3)</f>
        <v>#N/A</v>
      </c>
      <c r="E210" s="3" t="e">
        <f>INDEX(PEDIDOS!$A:$D,MATCH(FORNECEDOR!A210,PEDIDOS!$A:$A,0),4)</f>
        <v>#N/A</v>
      </c>
    </row>
    <row r="211" spans="1:5" hidden="1" x14ac:dyDescent="0.25">
      <c r="A211" s="1" t="s">
        <v>210</v>
      </c>
      <c r="B211" s="3">
        <f>COUNTIF(PEDIDOS!$A:$A,FORNECEDOR!A211)</f>
        <v>0</v>
      </c>
      <c r="C211" s="3" t="e">
        <f>INDEX(PEDIDOS!$A:$D,MATCH(FORNECEDOR!A211,PEDIDOS!$A:$A,0),2)</f>
        <v>#N/A</v>
      </c>
      <c r="D211" s="3" t="e">
        <f>INDEX(PEDIDOS!$A:$D,MATCH(FORNECEDOR!A211,PEDIDOS!$A:$A,0),3)</f>
        <v>#N/A</v>
      </c>
      <c r="E211" s="3" t="e">
        <f>INDEX(PEDIDOS!$A:$D,MATCH(FORNECEDOR!A211,PEDIDOS!$A:$A,0),4)</f>
        <v>#N/A</v>
      </c>
    </row>
    <row r="212" spans="1:5" hidden="1" x14ac:dyDescent="0.25">
      <c r="A212" s="1" t="s">
        <v>211</v>
      </c>
      <c r="B212" s="3">
        <f>COUNTIF(PEDIDOS!$A:$A,FORNECEDOR!A212)</f>
        <v>0</v>
      </c>
      <c r="C212" s="3" t="e">
        <f>INDEX(PEDIDOS!$A:$D,MATCH(FORNECEDOR!A212,PEDIDOS!$A:$A,0),2)</f>
        <v>#N/A</v>
      </c>
      <c r="D212" s="3" t="e">
        <f>INDEX(PEDIDOS!$A:$D,MATCH(FORNECEDOR!A212,PEDIDOS!$A:$A,0),3)</f>
        <v>#N/A</v>
      </c>
      <c r="E212" s="3" t="e">
        <f>INDEX(PEDIDOS!$A:$D,MATCH(FORNECEDOR!A212,PEDIDOS!$A:$A,0),4)</f>
        <v>#N/A</v>
      </c>
    </row>
    <row r="213" spans="1:5" x14ac:dyDescent="0.25">
      <c r="A213" s="1" t="s">
        <v>212</v>
      </c>
      <c r="B213" s="3">
        <f>COUNTIF(PEDIDOS!$A:$A,FORNECEDOR!A213)</f>
        <v>1</v>
      </c>
      <c r="C213" s="3" t="str">
        <f>INDEX(PEDIDOS!$A:$D,MATCH(FORNECEDOR!A213,PEDIDOS!$A:$A,0),2)</f>
        <v>CD REGIS</v>
      </c>
      <c r="D213" s="3" t="str">
        <f>INDEX(PEDIDOS!$A:$D,MATCH(FORNECEDOR!A213,PEDIDOS!$A:$A,0),3)</f>
        <v>TATUAPE</v>
      </c>
      <c r="E213" s="3" t="str">
        <f>INDEX(PEDIDOS!$A:$D,MATCH(FORNECEDOR!A213,PEDIDOS!$A:$A,0),4)</f>
        <v>CD REGIS</v>
      </c>
    </row>
    <row r="214" spans="1:5" hidden="1" x14ac:dyDescent="0.25">
      <c r="A214" s="1" t="s">
        <v>213</v>
      </c>
      <c r="B214" s="3">
        <f>COUNTIF(PEDIDOS!$A:$A,FORNECEDOR!A214)</f>
        <v>0</v>
      </c>
      <c r="C214" s="3" t="e">
        <f>INDEX(PEDIDOS!$A:$D,MATCH(FORNECEDOR!A214,PEDIDOS!$A:$A,0),2)</f>
        <v>#N/A</v>
      </c>
      <c r="D214" s="3" t="e">
        <f>INDEX(PEDIDOS!$A:$D,MATCH(FORNECEDOR!A214,PEDIDOS!$A:$A,0),3)</f>
        <v>#N/A</v>
      </c>
      <c r="E214" s="3" t="e">
        <f>INDEX(PEDIDOS!$A:$D,MATCH(FORNECEDOR!A214,PEDIDOS!$A:$A,0),4)</f>
        <v>#N/A</v>
      </c>
    </row>
    <row r="215" spans="1:5" hidden="1" x14ac:dyDescent="0.25">
      <c r="A215" s="1" t="s">
        <v>214</v>
      </c>
      <c r="B215" s="3">
        <f>COUNTIF(PEDIDOS!$A:$A,FORNECEDOR!A215)</f>
        <v>0</v>
      </c>
      <c r="C215" s="3" t="e">
        <f>INDEX(PEDIDOS!$A:$D,MATCH(FORNECEDOR!A215,PEDIDOS!$A:$A,0),2)</f>
        <v>#N/A</v>
      </c>
      <c r="D215" s="3" t="e">
        <f>INDEX(PEDIDOS!$A:$D,MATCH(FORNECEDOR!A215,PEDIDOS!$A:$A,0),3)</f>
        <v>#N/A</v>
      </c>
      <c r="E215" s="3" t="e">
        <f>INDEX(PEDIDOS!$A:$D,MATCH(FORNECEDOR!A215,PEDIDOS!$A:$A,0),4)</f>
        <v>#N/A</v>
      </c>
    </row>
    <row r="216" spans="1:5" hidden="1" x14ac:dyDescent="0.25">
      <c r="A216" s="1" t="s">
        <v>215</v>
      </c>
      <c r="B216" s="3">
        <f>COUNTIF(PEDIDOS!$A:$A,FORNECEDOR!A216)</f>
        <v>0</v>
      </c>
      <c r="C216" s="3" t="e">
        <f>INDEX(PEDIDOS!$A:$D,MATCH(FORNECEDOR!A216,PEDIDOS!$A:$A,0),2)</f>
        <v>#N/A</v>
      </c>
      <c r="D216" s="3" t="e">
        <f>INDEX(PEDIDOS!$A:$D,MATCH(FORNECEDOR!A216,PEDIDOS!$A:$A,0),3)</f>
        <v>#N/A</v>
      </c>
      <c r="E216" s="3" t="e">
        <f>INDEX(PEDIDOS!$A:$D,MATCH(FORNECEDOR!A216,PEDIDOS!$A:$A,0),4)</f>
        <v>#N/A</v>
      </c>
    </row>
    <row r="217" spans="1:5" x14ac:dyDescent="0.25">
      <c r="A217" s="1" t="s">
        <v>216</v>
      </c>
      <c r="B217" s="3">
        <f>COUNTIF(PEDIDOS!$A:$A,FORNECEDOR!A217)</f>
        <v>1</v>
      </c>
      <c r="C217" s="3" t="str">
        <f>INDEX(PEDIDOS!$A:$D,MATCH(FORNECEDOR!A217,PEDIDOS!$A:$A,0),2)</f>
        <v>MATRIZ</v>
      </c>
      <c r="D217" s="3" t="str">
        <f>INDEX(PEDIDOS!$A:$D,MATCH(FORNECEDOR!A217,PEDIDOS!$A:$A,0),3)</f>
        <v>MATRIZ</v>
      </c>
      <c r="E217" s="3" t="str">
        <f>INDEX(PEDIDOS!$A:$D,MATCH(FORNECEDOR!A217,PEDIDOS!$A:$A,0),4)</f>
        <v>MATRIZ</v>
      </c>
    </row>
    <row r="218" spans="1:5" x14ac:dyDescent="0.25">
      <c r="A218" s="1" t="s">
        <v>217</v>
      </c>
      <c r="B218" s="3">
        <f>COUNTIF(PEDIDOS!$A:$A,FORNECEDOR!A218)</f>
        <v>1</v>
      </c>
      <c r="C218" s="3" t="str">
        <f>INDEX(PEDIDOS!$A:$D,MATCH(FORNECEDOR!A218,PEDIDOS!$A:$A,0),2)</f>
        <v>MATRIZ</v>
      </c>
      <c r="D218" s="3" t="str">
        <f>INDEX(PEDIDOS!$A:$D,MATCH(FORNECEDOR!A218,PEDIDOS!$A:$A,0),3)</f>
        <v>MATRIZ</v>
      </c>
      <c r="E218" s="3" t="str">
        <f>INDEX(PEDIDOS!$A:$D,MATCH(FORNECEDOR!A218,PEDIDOS!$A:$A,0),4)</f>
        <v>MATRIZ</v>
      </c>
    </row>
    <row r="219" spans="1:5" x14ac:dyDescent="0.25">
      <c r="A219" s="1" t="s">
        <v>218</v>
      </c>
      <c r="B219" s="3">
        <f>COUNTIF(PEDIDOS!$A:$A,FORNECEDOR!A219)</f>
        <v>2</v>
      </c>
      <c r="C219" s="3" t="str">
        <f>INDEX(PEDIDOS!$A:$D,MATCH(FORNECEDOR!A219,PEDIDOS!$A:$A,0),2)</f>
        <v>CD EMBU</v>
      </c>
      <c r="D219" s="3" t="str">
        <f>INDEX(PEDIDOS!$A:$D,MATCH(FORNECEDOR!A219,PEDIDOS!$A:$A,0),3)</f>
        <v>CD EMBU</v>
      </c>
      <c r="E219" s="3" t="str">
        <f>INDEX(PEDIDOS!$A:$D,MATCH(FORNECEDOR!A219,PEDIDOS!$A:$A,0),4)</f>
        <v>CD EMBU</v>
      </c>
    </row>
    <row r="220" spans="1:5" hidden="1" x14ac:dyDescent="0.25">
      <c r="A220" s="1" t="s">
        <v>219</v>
      </c>
      <c r="B220" s="3">
        <f>COUNTIF(PEDIDOS!$A:$A,FORNECEDOR!A220)</f>
        <v>0</v>
      </c>
      <c r="C220" s="3" t="e">
        <f>INDEX(PEDIDOS!$A:$D,MATCH(FORNECEDOR!A220,PEDIDOS!$A:$A,0),2)</f>
        <v>#N/A</v>
      </c>
      <c r="D220" s="3" t="e">
        <f>INDEX(PEDIDOS!$A:$D,MATCH(FORNECEDOR!A220,PEDIDOS!$A:$A,0),3)</f>
        <v>#N/A</v>
      </c>
      <c r="E220" s="3" t="e">
        <f>INDEX(PEDIDOS!$A:$D,MATCH(FORNECEDOR!A220,PEDIDOS!$A:$A,0),4)</f>
        <v>#N/A</v>
      </c>
    </row>
    <row r="221" spans="1:5" hidden="1" x14ac:dyDescent="0.25">
      <c r="A221" s="1" t="s">
        <v>220</v>
      </c>
      <c r="B221" s="3">
        <f>COUNTIF(PEDIDOS!$A:$A,FORNECEDOR!A221)</f>
        <v>0</v>
      </c>
      <c r="C221" s="3" t="e">
        <f>INDEX(PEDIDOS!$A:$D,MATCH(FORNECEDOR!A221,PEDIDOS!$A:$A,0),2)</f>
        <v>#N/A</v>
      </c>
      <c r="D221" s="3" t="e">
        <f>INDEX(PEDIDOS!$A:$D,MATCH(FORNECEDOR!A221,PEDIDOS!$A:$A,0),3)</f>
        <v>#N/A</v>
      </c>
      <c r="E221" s="3" t="e">
        <f>INDEX(PEDIDOS!$A:$D,MATCH(FORNECEDOR!A221,PEDIDOS!$A:$A,0),4)</f>
        <v>#N/A</v>
      </c>
    </row>
    <row r="222" spans="1:5" hidden="1" x14ac:dyDescent="0.25">
      <c r="A222" s="1" t="s">
        <v>221</v>
      </c>
      <c r="B222" s="3">
        <f>COUNTIF(PEDIDOS!$A:$A,FORNECEDOR!A222)</f>
        <v>0</v>
      </c>
      <c r="C222" s="3" t="e">
        <f>INDEX(PEDIDOS!$A:$D,MATCH(FORNECEDOR!A222,PEDIDOS!$A:$A,0),2)</f>
        <v>#N/A</v>
      </c>
      <c r="D222" s="3" t="e">
        <f>INDEX(PEDIDOS!$A:$D,MATCH(FORNECEDOR!A222,PEDIDOS!$A:$A,0),3)</f>
        <v>#N/A</v>
      </c>
      <c r="E222" s="3" t="e">
        <f>INDEX(PEDIDOS!$A:$D,MATCH(FORNECEDOR!A222,PEDIDOS!$A:$A,0),4)</f>
        <v>#N/A</v>
      </c>
    </row>
    <row r="223" spans="1:5" x14ac:dyDescent="0.25">
      <c r="A223" s="1" t="s">
        <v>222</v>
      </c>
      <c r="B223" s="3">
        <f>COUNTIF(PEDIDOS!$A:$A,FORNECEDOR!A223)</f>
        <v>2</v>
      </c>
      <c r="C223" s="3" t="str">
        <f>INDEX(PEDIDOS!$A:$D,MATCH(FORNECEDOR!A223,PEDIDOS!$A:$A,0),2)</f>
        <v>CD REGIS</v>
      </c>
      <c r="D223" s="3" t="str">
        <f>INDEX(PEDIDOS!$A:$D,MATCH(FORNECEDOR!A223,PEDIDOS!$A:$A,0),3)</f>
        <v>MATRIZ</v>
      </c>
      <c r="E223" s="3" t="str">
        <f>INDEX(PEDIDOS!$A:$D,MATCH(FORNECEDOR!A223,PEDIDOS!$A:$A,0),4)</f>
        <v>CD REGIS</v>
      </c>
    </row>
    <row r="224" spans="1:5" hidden="1" x14ac:dyDescent="0.25">
      <c r="A224" s="1" t="s">
        <v>223</v>
      </c>
      <c r="B224" s="3">
        <f>COUNTIF(PEDIDOS!$A:$A,FORNECEDOR!A224)</f>
        <v>0</v>
      </c>
      <c r="C224" s="3" t="e">
        <f>INDEX(PEDIDOS!$A:$D,MATCH(FORNECEDOR!A224,PEDIDOS!$A:$A,0),2)</f>
        <v>#N/A</v>
      </c>
      <c r="D224" s="3" t="e">
        <f>INDEX(PEDIDOS!$A:$D,MATCH(FORNECEDOR!A224,PEDIDOS!$A:$A,0),3)</f>
        <v>#N/A</v>
      </c>
      <c r="E224" s="3" t="e">
        <f>INDEX(PEDIDOS!$A:$D,MATCH(FORNECEDOR!A224,PEDIDOS!$A:$A,0),4)</f>
        <v>#N/A</v>
      </c>
    </row>
    <row r="225" spans="1:5" hidden="1" x14ac:dyDescent="0.25">
      <c r="A225" s="1" t="s">
        <v>224</v>
      </c>
      <c r="B225" s="3">
        <f>COUNTIF(PEDIDOS!$A:$A,FORNECEDOR!A225)</f>
        <v>0</v>
      </c>
      <c r="C225" s="3" t="e">
        <f>INDEX(PEDIDOS!$A:$D,MATCH(FORNECEDOR!A225,PEDIDOS!$A:$A,0),2)</f>
        <v>#N/A</v>
      </c>
      <c r="D225" s="3" t="e">
        <f>INDEX(PEDIDOS!$A:$D,MATCH(FORNECEDOR!A225,PEDIDOS!$A:$A,0),3)</f>
        <v>#N/A</v>
      </c>
      <c r="E225" s="3" t="e">
        <f>INDEX(PEDIDOS!$A:$D,MATCH(FORNECEDOR!A225,PEDIDOS!$A:$A,0),4)</f>
        <v>#N/A</v>
      </c>
    </row>
    <row r="226" spans="1:5" hidden="1" x14ac:dyDescent="0.25">
      <c r="A226" s="1" t="s">
        <v>225</v>
      </c>
      <c r="B226" s="3">
        <f>COUNTIF(PEDIDOS!$A:$A,FORNECEDOR!A226)</f>
        <v>0</v>
      </c>
      <c r="C226" s="3" t="e">
        <f>INDEX(PEDIDOS!$A:$D,MATCH(FORNECEDOR!A226,PEDIDOS!$A:$A,0),2)</f>
        <v>#N/A</v>
      </c>
      <c r="D226" s="3" t="e">
        <f>INDEX(PEDIDOS!$A:$D,MATCH(FORNECEDOR!A226,PEDIDOS!$A:$A,0),3)</f>
        <v>#N/A</v>
      </c>
      <c r="E226" s="3" t="e">
        <f>INDEX(PEDIDOS!$A:$D,MATCH(FORNECEDOR!A226,PEDIDOS!$A:$A,0),4)</f>
        <v>#N/A</v>
      </c>
    </row>
    <row r="227" spans="1:5" hidden="1" x14ac:dyDescent="0.25">
      <c r="A227" s="1" t="s">
        <v>226</v>
      </c>
      <c r="B227" s="3">
        <f>COUNTIF(PEDIDOS!$A:$A,FORNECEDOR!A227)</f>
        <v>0</v>
      </c>
      <c r="C227" s="3" t="e">
        <f>INDEX(PEDIDOS!$A:$D,MATCH(FORNECEDOR!A227,PEDIDOS!$A:$A,0),2)</f>
        <v>#N/A</v>
      </c>
      <c r="D227" s="3" t="e">
        <f>INDEX(PEDIDOS!$A:$D,MATCH(FORNECEDOR!A227,PEDIDOS!$A:$A,0),3)</f>
        <v>#N/A</v>
      </c>
      <c r="E227" s="3" t="e">
        <f>INDEX(PEDIDOS!$A:$D,MATCH(FORNECEDOR!A227,PEDIDOS!$A:$A,0),4)</f>
        <v>#N/A</v>
      </c>
    </row>
    <row r="228" spans="1:5" hidden="1" x14ac:dyDescent="0.25">
      <c r="A228" s="1" t="s">
        <v>227</v>
      </c>
      <c r="B228" s="3">
        <f>COUNTIF(PEDIDOS!$A:$A,FORNECEDOR!A228)</f>
        <v>0</v>
      </c>
      <c r="C228" s="3" t="e">
        <f>INDEX(PEDIDOS!$A:$D,MATCH(FORNECEDOR!A228,PEDIDOS!$A:$A,0),2)</f>
        <v>#N/A</v>
      </c>
      <c r="D228" s="3" t="e">
        <f>INDEX(PEDIDOS!$A:$D,MATCH(FORNECEDOR!A228,PEDIDOS!$A:$A,0),3)</f>
        <v>#N/A</v>
      </c>
      <c r="E228" s="3" t="e">
        <f>INDEX(PEDIDOS!$A:$D,MATCH(FORNECEDOR!A228,PEDIDOS!$A:$A,0),4)</f>
        <v>#N/A</v>
      </c>
    </row>
    <row r="229" spans="1:5" hidden="1" x14ac:dyDescent="0.25">
      <c r="A229" s="1" t="s">
        <v>228</v>
      </c>
      <c r="B229" s="3">
        <f>COUNTIF(PEDIDOS!$A:$A,FORNECEDOR!A229)</f>
        <v>0</v>
      </c>
      <c r="C229" s="3" t="e">
        <f>INDEX(PEDIDOS!$A:$D,MATCH(FORNECEDOR!A229,PEDIDOS!$A:$A,0),2)</f>
        <v>#N/A</v>
      </c>
      <c r="D229" s="3" t="e">
        <f>INDEX(PEDIDOS!$A:$D,MATCH(FORNECEDOR!A229,PEDIDOS!$A:$A,0),3)</f>
        <v>#N/A</v>
      </c>
      <c r="E229" s="3" t="e">
        <f>INDEX(PEDIDOS!$A:$D,MATCH(FORNECEDOR!A229,PEDIDOS!$A:$A,0),4)</f>
        <v>#N/A</v>
      </c>
    </row>
    <row r="230" spans="1:5" hidden="1" x14ac:dyDescent="0.25">
      <c r="A230" s="1" t="s">
        <v>229</v>
      </c>
      <c r="B230" s="3">
        <f>COUNTIF(PEDIDOS!$A:$A,FORNECEDOR!A230)</f>
        <v>0</v>
      </c>
      <c r="C230" s="3" t="e">
        <f>INDEX(PEDIDOS!$A:$D,MATCH(FORNECEDOR!A230,PEDIDOS!$A:$A,0),2)</f>
        <v>#N/A</v>
      </c>
      <c r="D230" s="3" t="e">
        <f>INDEX(PEDIDOS!$A:$D,MATCH(FORNECEDOR!A230,PEDIDOS!$A:$A,0),3)</f>
        <v>#N/A</v>
      </c>
      <c r="E230" s="3" t="e">
        <f>INDEX(PEDIDOS!$A:$D,MATCH(FORNECEDOR!A230,PEDIDOS!$A:$A,0),4)</f>
        <v>#N/A</v>
      </c>
    </row>
    <row r="231" spans="1:5" hidden="1" x14ac:dyDescent="0.25">
      <c r="A231" s="1" t="s">
        <v>230</v>
      </c>
      <c r="B231" s="3">
        <f>COUNTIF(PEDIDOS!$A:$A,FORNECEDOR!A231)</f>
        <v>0</v>
      </c>
      <c r="C231" s="3" t="e">
        <f>INDEX(PEDIDOS!$A:$D,MATCH(FORNECEDOR!A231,PEDIDOS!$A:$A,0),2)</f>
        <v>#N/A</v>
      </c>
      <c r="D231" s="3" t="e">
        <f>INDEX(PEDIDOS!$A:$D,MATCH(FORNECEDOR!A231,PEDIDOS!$A:$A,0),3)</f>
        <v>#N/A</v>
      </c>
      <c r="E231" s="3" t="e">
        <f>INDEX(PEDIDOS!$A:$D,MATCH(FORNECEDOR!A231,PEDIDOS!$A:$A,0),4)</f>
        <v>#N/A</v>
      </c>
    </row>
    <row r="232" spans="1:5" hidden="1" x14ac:dyDescent="0.25">
      <c r="A232" s="1" t="s">
        <v>231</v>
      </c>
      <c r="B232" s="3">
        <f>COUNTIF(PEDIDOS!$A:$A,FORNECEDOR!A232)</f>
        <v>0</v>
      </c>
      <c r="C232" s="3" t="e">
        <f>INDEX(PEDIDOS!$A:$D,MATCH(FORNECEDOR!A232,PEDIDOS!$A:$A,0),2)</f>
        <v>#N/A</v>
      </c>
      <c r="D232" s="3" t="e">
        <f>INDEX(PEDIDOS!$A:$D,MATCH(FORNECEDOR!A232,PEDIDOS!$A:$A,0),3)</f>
        <v>#N/A</v>
      </c>
      <c r="E232" s="3" t="e">
        <f>INDEX(PEDIDOS!$A:$D,MATCH(FORNECEDOR!A232,PEDIDOS!$A:$A,0),4)</f>
        <v>#N/A</v>
      </c>
    </row>
    <row r="233" spans="1:5" x14ac:dyDescent="0.25">
      <c r="A233" s="1" t="s">
        <v>232</v>
      </c>
      <c r="B233" s="3">
        <f>COUNTIF(PEDIDOS!$A:$A,FORNECEDOR!A233)</f>
        <v>2</v>
      </c>
      <c r="C233" s="3" t="str">
        <f>INDEX(PEDIDOS!$A:$D,MATCH(FORNECEDOR!A233,PEDIDOS!$A:$A,0),2)</f>
        <v>CD REGIS</v>
      </c>
      <c r="D233" s="3" t="str">
        <f>INDEX(PEDIDOS!$A:$D,MATCH(FORNECEDOR!A233,PEDIDOS!$A:$A,0),3)</f>
        <v>MATRIZ</v>
      </c>
      <c r="E233" s="3" t="str">
        <f>INDEX(PEDIDOS!$A:$D,MATCH(FORNECEDOR!A233,PEDIDOS!$A:$A,0),4)</f>
        <v>CD REGIS</v>
      </c>
    </row>
    <row r="234" spans="1:5" x14ac:dyDescent="0.25">
      <c r="A234" s="1" t="s">
        <v>233</v>
      </c>
      <c r="B234" s="3">
        <f>COUNTIF(PEDIDOS!$A:$A,FORNECEDOR!A234)</f>
        <v>1</v>
      </c>
      <c r="C234" s="3" t="str">
        <f>INDEX(PEDIDOS!$A:$D,MATCH(FORNECEDOR!A234,PEDIDOS!$A:$A,0),2)</f>
        <v>CD REGIS</v>
      </c>
      <c r="D234" s="3" t="str">
        <f>INDEX(PEDIDOS!$A:$D,MATCH(FORNECEDOR!A234,PEDIDOS!$A:$A,0),3)</f>
        <v>TATUAPE</v>
      </c>
      <c r="E234" s="3" t="str">
        <f>INDEX(PEDIDOS!$A:$D,MATCH(FORNECEDOR!A234,PEDIDOS!$A:$A,0),4)</f>
        <v>CD REGIS</v>
      </c>
    </row>
    <row r="235" spans="1:5" x14ac:dyDescent="0.25">
      <c r="A235" s="1" t="s">
        <v>234</v>
      </c>
      <c r="B235" s="3">
        <f>COUNTIF(PEDIDOS!$A:$A,FORNECEDOR!A235)</f>
        <v>2</v>
      </c>
      <c r="C235" s="3" t="str">
        <f>INDEX(PEDIDOS!$A:$D,MATCH(FORNECEDOR!A235,PEDIDOS!$A:$A,0),2)</f>
        <v>CD REGIS</v>
      </c>
      <c r="D235" s="3" t="str">
        <f>INDEX(PEDIDOS!$A:$D,MATCH(FORNECEDOR!A235,PEDIDOS!$A:$A,0),3)</f>
        <v>MATRIZ</v>
      </c>
      <c r="E235" s="3" t="str">
        <f>INDEX(PEDIDOS!$A:$D,MATCH(FORNECEDOR!A235,PEDIDOS!$A:$A,0),4)</f>
        <v>CD REGIS</v>
      </c>
    </row>
    <row r="236" spans="1:5" hidden="1" x14ac:dyDescent="0.25">
      <c r="A236" s="1" t="s">
        <v>235</v>
      </c>
      <c r="B236" s="3">
        <f>COUNTIF(PEDIDOS!$A:$A,FORNECEDOR!A236)</f>
        <v>0</v>
      </c>
      <c r="C236" s="3" t="e">
        <f>INDEX(PEDIDOS!$A:$D,MATCH(FORNECEDOR!A236,PEDIDOS!$A:$A,0),2)</f>
        <v>#N/A</v>
      </c>
      <c r="D236" s="3" t="e">
        <f>INDEX(PEDIDOS!$A:$D,MATCH(FORNECEDOR!A236,PEDIDOS!$A:$A,0),3)</f>
        <v>#N/A</v>
      </c>
      <c r="E236" s="3" t="e">
        <f>INDEX(PEDIDOS!$A:$D,MATCH(FORNECEDOR!A236,PEDIDOS!$A:$A,0),4)</f>
        <v>#N/A</v>
      </c>
    </row>
    <row r="237" spans="1:5" hidden="1" x14ac:dyDescent="0.25">
      <c r="A237" s="1" t="s">
        <v>236</v>
      </c>
      <c r="B237" s="3">
        <f>COUNTIF(PEDIDOS!$A:$A,FORNECEDOR!A237)</f>
        <v>0</v>
      </c>
      <c r="C237" s="3" t="e">
        <f>INDEX(PEDIDOS!$A:$D,MATCH(FORNECEDOR!A237,PEDIDOS!$A:$A,0),2)</f>
        <v>#N/A</v>
      </c>
      <c r="D237" s="3" t="e">
        <f>INDEX(PEDIDOS!$A:$D,MATCH(FORNECEDOR!A237,PEDIDOS!$A:$A,0),3)</f>
        <v>#N/A</v>
      </c>
      <c r="E237" s="3" t="e">
        <f>INDEX(PEDIDOS!$A:$D,MATCH(FORNECEDOR!A237,PEDIDOS!$A:$A,0),4)</f>
        <v>#N/A</v>
      </c>
    </row>
    <row r="238" spans="1:5" x14ac:dyDescent="0.25">
      <c r="A238" s="1" t="s">
        <v>237</v>
      </c>
      <c r="B238" s="3">
        <f>COUNTIF(PEDIDOS!$A:$A,FORNECEDOR!A238)</f>
        <v>1</v>
      </c>
      <c r="C238" s="3" t="str">
        <f>INDEX(PEDIDOS!$A:$D,MATCH(FORNECEDOR!A238,PEDIDOS!$A:$A,0),2)</f>
        <v>CD REGIS</v>
      </c>
      <c r="D238" s="3" t="str">
        <f>INDEX(PEDIDOS!$A:$D,MATCH(FORNECEDOR!A238,PEDIDOS!$A:$A,0),3)</f>
        <v>TATUAPE</v>
      </c>
      <c r="E238" s="3" t="str">
        <f>INDEX(PEDIDOS!$A:$D,MATCH(FORNECEDOR!A238,PEDIDOS!$A:$A,0),4)</f>
        <v>CD REGIS</v>
      </c>
    </row>
    <row r="239" spans="1:5" x14ac:dyDescent="0.25">
      <c r="A239" s="1" t="s">
        <v>238</v>
      </c>
      <c r="B239" s="3">
        <f>COUNTIF(PEDIDOS!$A:$A,FORNECEDOR!A239)</f>
        <v>1</v>
      </c>
      <c r="C239" s="3" t="str">
        <f>INDEX(PEDIDOS!$A:$D,MATCH(FORNECEDOR!A239,PEDIDOS!$A:$A,0),2)</f>
        <v>CD REGIS</v>
      </c>
      <c r="D239" s="3" t="str">
        <f>INDEX(PEDIDOS!$A:$D,MATCH(FORNECEDOR!A239,PEDIDOS!$A:$A,0),3)</f>
        <v>CD REGIS</v>
      </c>
      <c r="E239" s="3" t="str">
        <f>INDEX(PEDIDOS!$A:$D,MATCH(FORNECEDOR!A239,PEDIDOS!$A:$A,0),4)</f>
        <v>CD REGIS</v>
      </c>
    </row>
    <row r="240" spans="1:5" x14ac:dyDescent="0.25">
      <c r="A240" s="1" t="s">
        <v>239</v>
      </c>
      <c r="B240" s="3">
        <f>COUNTIF(PEDIDOS!$A:$A,FORNECEDOR!A240)</f>
        <v>2</v>
      </c>
      <c r="C240" s="3" t="str">
        <f>INDEX(PEDIDOS!$A:$D,MATCH(FORNECEDOR!A240,PEDIDOS!$A:$A,0),2)</f>
        <v>CD REGIS</v>
      </c>
      <c r="D240" s="3" t="str">
        <f>INDEX(PEDIDOS!$A:$D,MATCH(FORNECEDOR!A240,PEDIDOS!$A:$A,0),3)</f>
        <v>MATRIZ</v>
      </c>
      <c r="E240" s="3" t="str">
        <f>INDEX(PEDIDOS!$A:$D,MATCH(FORNECEDOR!A240,PEDIDOS!$A:$A,0),4)</f>
        <v>CD REGIS</v>
      </c>
    </row>
    <row r="241" spans="1:5" x14ac:dyDescent="0.25">
      <c r="A241" s="1" t="s">
        <v>240</v>
      </c>
      <c r="B241" s="3">
        <f>COUNTIF(PEDIDOS!$A:$A,FORNECEDOR!A241)</f>
        <v>2</v>
      </c>
      <c r="C241" s="3" t="str">
        <f>INDEX(PEDIDOS!$A:$D,MATCH(FORNECEDOR!A241,PEDIDOS!$A:$A,0),2)</f>
        <v>CD REGIS</v>
      </c>
      <c r="D241" s="3" t="str">
        <f>INDEX(PEDIDOS!$A:$D,MATCH(FORNECEDOR!A241,PEDIDOS!$A:$A,0),3)</f>
        <v>MATRIZ</v>
      </c>
      <c r="E241" s="3" t="str">
        <f>INDEX(PEDIDOS!$A:$D,MATCH(FORNECEDOR!A241,PEDIDOS!$A:$A,0),4)</f>
        <v>CD REGIS</v>
      </c>
    </row>
    <row r="242" spans="1:5" x14ac:dyDescent="0.25">
      <c r="A242" s="1" t="s">
        <v>241</v>
      </c>
      <c r="B242" s="3">
        <f>COUNTIF(PEDIDOS!$A:$A,FORNECEDOR!A242)</f>
        <v>1</v>
      </c>
      <c r="C242" s="3" t="str">
        <f>INDEX(PEDIDOS!$A:$D,MATCH(FORNECEDOR!A242,PEDIDOS!$A:$A,0),2)</f>
        <v>SP - PARI</v>
      </c>
      <c r="D242" s="3" t="str">
        <f>INDEX(PEDIDOS!$A:$D,MATCH(FORNECEDOR!A242,PEDIDOS!$A:$A,0),3)</f>
        <v>SP - PARI</v>
      </c>
      <c r="E242" s="3" t="str">
        <f>INDEX(PEDIDOS!$A:$D,MATCH(FORNECEDOR!A242,PEDIDOS!$A:$A,0),4)</f>
        <v>SP - PARI</v>
      </c>
    </row>
    <row r="243" spans="1:5" hidden="1" x14ac:dyDescent="0.25">
      <c r="A243" s="1" t="s">
        <v>242</v>
      </c>
      <c r="B243" s="3">
        <f>COUNTIF(PEDIDOS!$A:$A,FORNECEDOR!A243)</f>
        <v>0</v>
      </c>
      <c r="C243" s="3" t="e">
        <f>INDEX(PEDIDOS!$A:$D,MATCH(FORNECEDOR!A243,PEDIDOS!$A:$A,0),2)</f>
        <v>#N/A</v>
      </c>
      <c r="D243" s="3" t="e">
        <f>INDEX(PEDIDOS!$A:$D,MATCH(FORNECEDOR!A243,PEDIDOS!$A:$A,0),3)</f>
        <v>#N/A</v>
      </c>
      <c r="E243" s="3" t="e">
        <f>INDEX(PEDIDOS!$A:$D,MATCH(FORNECEDOR!A243,PEDIDOS!$A:$A,0),4)</f>
        <v>#N/A</v>
      </c>
    </row>
    <row r="244" spans="1:5" hidden="1" x14ac:dyDescent="0.25">
      <c r="A244" s="1" t="s">
        <v>243</v>
      </c>
      <c r="B244" s="3">
        <f>COUNTIF(PEDIDOS!$A:$A,FORNECEDOR!A244)</f>
        <v>0</v>
      </c>
      <c r="C244" s="3" t="e">
        <f>INDEX(PEDIDOS!$A:$D,MATCH(FORNECEDOR!A244,PEDIDOS!$A:$A,0),2)</f>
        <v>#N/A</v>
      </c>
      <c r="D244" s="3" t="e">
        <f>INDEX(PEDIDOS!$A:$D,MATCH(FORNECEDOR!A244,PEDIDOS!$A:$A,0),3)</f>
        <v>#N/A</v>
      </c>
      <c r="E244" s="3" t="e">
        <f>INDEX(PEDIDOS!$A:$D,MATCH(FORNECEDOR!A244,PEDIDOS!$A:$A,0),4)</f>
        <v>#N/A</v>
      </c>
    </row>
    <row r="245" spans="1:5" hidden="1" x14ac:dyDescent="0.25">
      <c r="A245" s="1" t="s">
        <v>244</v>
      </c>
      <c r="B245" s="3">
        <f>COUNTIF(PEDIDOS!$A:$A,FORNECEDOR!A245)</f>
        <v>0</v>
      </c>
      <c r="C245" s="3" t="e">
        <f>INDEX(PEDIDOS!$A:$D,MATCH(FORNECEDOR!A245,PEDIDOS!$A:$A,0),2)</f>
        <v>#N/A</v>
      </c>
      <c r="D245" s="3" t="e">
        <f>INDEX(PEDIDOS!$A:$D,MATCH(FORNECEDOR!A245,PEDIDOS!$A:$A,0),3)</f>
        <v>#N/A</v>
      </c>
      <c r="E245" s="3" t="e">
        <f>INDEX(PEDIDOS!$A:$D,MATCH(FORNECEDOR!A245,PEDIDOS!$A:$A,0),4)</f>
        <v>#N/A</v>
      </c>
    </row>
    <row r="246" spans="1:5" hidden="1" x14ac:dyDescent="0.25">
      <c r="A246" s="1" t="s">
        <v>245</v>
      </c>
      <c r="B246" s="3">
        <f>COUNTIF(PEDIDOS!$A:$A,FORNECEDOR!A246)</f>
        <v>0</v>
      </c>
      <c r="C246" s="3" t="e">
        <f>INDEX(PEDIDOS!$A:$D,MATCH(FORNECEDOR!A246,PEDIDOS!$A:$A,0),2)</f>
        <v>#N/A</v>
      </c>
      <c r="D246" s="3" t="e">
        <f>INDEX(PEDIDOS!$A:$D,MATCH(FORNECEDOR!A246,PEDIDOS!$A:$A,0),3)</f>
        <v>#N/A</v>
      </c>
      <c r="E246" s="3" t="e">
        <f>INDEX(PEDIDOS!$A:$D,MATCH(FORNECEDOR!A246,PEDIDOS!$A:$A,0),4)</f>
        <v>#N/A</v>
      </c>
    </row>
    <row r="247" spans="1:5" hidden="1" x14ac:dyDescent="0.25">
      <c r="A247" s="1" t="s">
        <v>246</v>
      </c>
      <c r="B247" s="3">
        <f>COUNTIF(PEDIDOS!$A:$A,FORNECEDOR!A247)</f>
        <v>0</v>
      </c>
      <c r="C247" s="3" t="e">
        <f>INDEX(PEDIDOS!$A:$D,MATCH(FORNECEDOR!A247,PEDIDOS!$A:$A,0),2)</f>
        <v>#N/A</v>
      </c>
      <c r="D247" s="3" t="e">
        <f>INDEX(PEDIDOS!$A:$D,MATCH(FORNECEDOR!A247,PEDIDOS!$A:$A,0),3)</f>
        <v>#N/A</v>
      </c>
      <c r="E247" s="3" t="e">
        <f>INDEX(PEDIDOS!$A:$D,MATCH(FORNECEDOR!A247,PEDIDOS!$A:$A,0),4)</f>
        <v>#N/A</v>
      </c>
    </row>
    <row r="248" spans="1:5" hidden="1" x14ac:dyDescent="0.25">
      <c r="A248" s="1" t="s">
        <v>247</v>
      </c>
      <c r="B248" s="3">
        <f>COUNTIF(PEDIDOS!$A:$A,FORNECEDOR!A248)</f>
        <v>0</v>
      </c>
      <c r="C248" s="3" t="e">
        <f>INDEX(PEDIDOS!$A:$D,MATCH(FORNECEDOR!A248,PEDIDOS!$A:$A,0),2)</f>
        <v>#N/A</v>
      </c>
      <c r="D248" s="3" t="e">
        <f>INDEX(PEDIDOS!$A:$D,MATCH(FORNECEDOR!A248,PEDIDOS!$A:$A,0),3)</f>
        <v>#N/A</v>
      </c>
      <c r="E248" s="3" t="e">
        <f>INDEX(PEDIDOS!$A:$D,MATCH(FORNECEDOR!A248,PEDIDOS!$A:$A,0),4)</f>
        <v>#N/A</v>
      </c>
    </row>
    <row r="249" spans="1:5" x14ac:dyDescent="0.25">
      <c r="A249" s="1" t="s">
        <v>248</v>
      </c>
      <c r="B249" s="3">
        <f>COUNTIF(PEDIDOS!$A:$A,FORNECEDOR!A249)</f>
        <v>1</v>
      </c>
      <c r="C249" s="3" t="str">
        <f>INDEX(PEDIDOS!$A:$D,MATCH(FORNECEDOR!A249,PEDIDOS!$A:$A,0),2)</f>
        <v>SP - PARI</v>
      </c>
      <c r="D249" s="3" t="str">
        <f>INDEX(PEDIDOS!$A:$D,MATCH(FORNECEDOR!A249,PEDIDOS!$A:$A,0),3)</f>
        <v>SP - PARI</v>
      </c>
      <c r="E249" s="3" t="str">
        <f>INDEX(PEDIDOS!$A:$D,MATCH(FORNECEDOR!A249,PEDIDOS!$A:$A,0),4)</f>
        <v>SP - PARI</v>
      </c>
    </row>
    <row r="250" spans="1:5" x14ac:dyDescent="0.25">
      <c r="A250" s="1" t="s">
        <v>249</v>
      </c>
      <c r="B250" s="3">
        <f>COUNTIF(PEDIDOS!$A:$A,FORNECEDOR!A250)</f>
        <v>1</v>
      </c>
      <c r="C250" s="3" t="str">
        <f>INDEX(PEDIDOS!$A:$D,MATCH(FORNECEDOR!A250,PEDIDOS!$A:$A,0),2)</f>
        <v>CD REGIS</v>
      </c>
      <c r="D250" s="3" t="str">
        <f>INDEX(PEDIDOS!$A:$D,MATCH(FORNECEDOR!A250,PEDIDOS!$A:$A,0),3)</f>
        <v>TATUAPE</v>
      </c>
      <c r="E250" s="3" t="str">
        <f>INDEX(PEDIDOS!$A:$D,MATCH(FORNECEDOR!A250,PEDIDOS!$A:$A,0),4)</f>
        <v>CD REGIS</v>
      </c>
    </row>
    <row r="251" spans="1:5" hidden="1" x14ac:dyDescent="0.25">
      <c r="A251" s="1" t="s">
        <v>250</v>
      </c>
      <c r="B251" s="3">
        <f>COUNTIF(PEDIDOS!$A:$A,FORNECEDOR!A251)</f>
        <v>0</v>
      </c>
      <c r="C251" s="3" t="e">
        <f>INDEX(PEDIDOS!$A:$D,MATCH(FORNECEDOR!A251,PEDIDOS!$A:$A,0),2)</f>
        <v>#N/A</v>
      </c>
      <c r="D251" s="3" t="e">
        <f>INDEX(PEDIDOS!$A:$D,MATCH(FORNECEDOR!A251,PEDIDOS!$A:$A,0),3)</f>
        <v>#N/A</v>
      </c>
      <c r="E251" s="3" t="e">
        <f>INDEX(PEDIDOS!$A:$D,MATCH(FORNECEDOR!A251,PEDIDOS!$A:$A,0),4)</f>
        <v>#N/A</v>
      </c>
    </row>
    <row r="252" spans="1:5" hidden="1" x14ac:dyDescent="0.25">
      <c r="A252" s="1" t="s">
        <v>251</v>
      </c>
      <c r="B252" s="3">
        <f>COUNTIF(PEDIDOS!$A:$A,FORNECEDOR!A252)</f>
        <v>0</v>
      </c>
      <c r="C252" s="3" t="e">
        <f>INDEX(PEDIDOS!$A:$D,MATCH(FORNECEDOR!A252,PEDIDOS!$A:$A,0),2)</f>
        <v>#N/A</v>
      </c>
      <c r="D252" s="3" t="e">
        <f>INDEX(PEDIDOS!$A:$D,MATCH(FORNECEDOR!A252,PEDIDOS!$A:$A,0),3)</f>
        <v>#N/A</v>
      </c>
      <c r="E252" s="3" t="e">
        <f>INDEX(PEDIDOS!$A:$D,MATCH(FORNECEDOR!A252,PEDIDOS!$A:$A,0),4)</f>
        <v>#N/A</v>
      </c>
    </row>
    <row r="253" spans="1:5" x14ac:dyDescent="0.25">
      <c r="A253" s="1" t="s">
        <v>252</v>
      </c>
      <c r="B253" s="3">
        <f>COUNTIF(PEDIDOS!$A:$A,FORNECEDOR!A253)</f>
        <v>1</v>
      </c>
      <c r="C253" s="3" t="str">
        <f>INDEX(PEDIDOS!$A:$D,MATCH(FORNECEDOR!A253,PEDIDOS!$A:$A,0),2)</f>
        <v>CD REGIS</v>
      </c>
      <c r="D253" s="3" t="str">
        <f>INDEX(PEDIDOS!$A:$D,MATCH(FORNECEDOR!A253,PEDIDOS!$A:$A,0),3)</f>
        <v>TATUAPE</v>
      </c>
      <c r="E253" s="3" t="str">
        <f>INDEX(PEDIDOS!$A:$D,MATCH(FORNECEDOR!A253,PEDIDOS!$A:$A,0),4)</f>
        <v>CD REGIS</v>
      </c>
    </row>
    <row r="254" spans="1:5" hidden="1" x14ac:dyDescent="0.25">
      <c r="A254" s="1" t="s">
        <v>253</v>
      </c>
      <c r="B254" s="3">
        <f>COUNTIF(PEDIDOS!$A:$A,FORNECEDOR!A254)</f>
        <v>0</v>
      </c>
      <c r="C254" s="3" t="e">
        <f>INDEX(PEDIDOS!$A:$D,MATCH(FORNECEDOR!A254,PEDIDOS!$A:$A,0),2)</f>
        <v>#N/A</v>
      </c>
      <c r="D254" s="3" t="e">
        <f>INDEX(PEDIDOS!$A:$D,MATCH(FORNECEDOR!A254,PEDIDOS!$A:$A,0),3)</f>
        <v>#N/A</v>
      </c>
      <c r="E254" s="3" t="e">
        <f>INDEX(PEDIDOS!$A:$D,MATCH(FORNECEDOR!A254,PEDIDOS!$A:$A,0),4)</f>
        <v>#N/A</v>
      </c>
    </row>
    <row r="255" spans="1:5" hidden="1" x14ac:dyDescent="0.25">
      <c r="A255" s="1" t="s">
        <v>254</v>
      </c>
      <c r="B255" s="3">
        <f>COUNTIF(PEDIDOS!$A:$A,FORNECEDOR!A255)</f>
        <v>0</v>
      </c>
      <c r="C255" s="3" t="e">
        <f>INDEX(PEDIDOS!$A:$D,MATCH(FORNECEDOR!A255,PEDIDOS!$A:$A,0),2)</f>
        <v>#N/A</v>
      </c>
      <c r="D255" s="3" t="e">
        <f>INDEX(PEDIDOS!$A:$D,MATCH(FORNECEDOR!A255,PEDIDOS!$A:$A,0),3)</f>
        <v>#N/A</v>
      </c>
      <c r="E255" s="3" t="e">
        <f>INDEX(PEDIDOS!$A:$D,MATCH(FORNECEDOR!A255,PEDIDOS!$A:$A,0),4)</f>
        <v>#N/A</v>
      </c>
    </row>
    <row r="256" spans="1:5" hidden="1" x14ac:dyDescent="0.25">
      <c r="A256" s="1" t="s">
        <v>255</v>
      </c>
      <c r="B256" s="3">
        <f>COUNTIF(PEDIDOS!$A:$A,FORNECEDOR!A256)</f>
        <v>0</v>
      </c>
      <c r="C256" s="3" t="e">
        <f>INDEX(PEDIDOS!$A:$D,MATCH(FORNECEDOR!A256,PEDIDOS!$A:$A,0),2)</f>
        <v>#N/A</v>
      </c>
      <c r="D256" s="3" t="e">
        <f>INDEX(PEDIDOS!$A:$D,MATCH(FORNECEDOR!A256,PEDIDOS!$A:$A,0),3)</f>
        <v>#N/A</v>
      </c>
      <c r="E256" s="3" t="e">
        <f>INDEX(PEDIDOS!$A:$D,MATCH(FORNECEDOR!A256,PEDIDOS!$A:$A,0),4)</f>
        <v>#N/A</v>
      </c>
    </row>
    <row r="257" spans="1:5" x14ac:dyDescent="0.25">
      <c r="A257" s="1" t="s">
        <v>256</v>
      </c>
      <c r="B257" s="3">
        <f>COUNTIF(PEDIDOS!$A:$A,FORNECEDOR!A257)</f>
        <v>1</v>
      </c>
      <c r="C257" s="3" t="str">
        <f>INDEX(PEDIDOS!$A:$D,MATCH(FORNECEDOR!A257,PEDIDOS!$A:$A,0),2)</f>
        <v>SP - PARI</v>
      </c>
      <c r="D257" s="3" t="str">
        <f>INDEX(PEDIDOS!$A:$D,MATCH(FORNECEDOR!A257,PEDIDOS!$A:$A,0),3)</f>
        <v>SP - PARI</v>
      </c>
      <c r="E257" s="3" t="str">
        <f>INDEX(PEDIDOS!$A:$D,MATCH(FORNECEDOR!A257,PEDIDOS!$A:$A,0),4)</f>
        <v>SP - PARI</v>
      </c>
    </row>
    <row r="258" spans="1:5" x14ac:dyDescent="0.25">
      <c r="A258" s="1" t="s">
        <v>257</v>
      </c>
      <c r="B258" s="3">
        <f>COUNTIF(PEDIDOS!$A:$A,FORNECEDOR!A258)</f>
        <v>2</v>
      </c>
      <c r="C258" s="3" t="str">
        <f>INDEX(PEDIDOS!$A:$D,MATCH(FORNECEDOR!A258,PEDIDOS!$A:$A,0),2)</f>
        <v>CD REGIS</v>
      </c>
      <c r="D258" s="3" t="str">
        <f>INDEX(PEDIDOS!$A:$D,MATCH(FORNECEDOR!A258,PEDIDOS!$A:$A,0),3)</f>
        <v>MATRIZ</v>
      </c>
      <c r="E258" s="3" t="str">
        <f>INDEX(PEDIDOS!$A:$D,MATCH(FORNECEDOR!A258,PEDIDOS!$A:$A,0),4)</f>
        <v>CD REGIS</v>
      </c>
    </row>
    <row r="259" spans="1:5" hidden="1" x14ac:dyDescent="0.25">
      <c r="A259" s="1" t="s">
        <v>258</v>
      </c>
      <c r="B259" s="3">
        <f>COUNTIF(PEDIDOS!$A:$A,FORNECEDOR!A259)</f>
        <v>0</v>
      </c>
      <c r="C259" s="3" t="e">
        <f>INDEX(PEDIDOS!$A:$D,MATCH(FORNECEDOR!A259,PEDIDOS!$A:$A,0),2)</f>
        <v>#N/A</v>
      </c>
      <c r="D259" s="3" t="e">
        <f>INDEX(PEDIDOS!$A:$D,MATCH(FORNECEDOR!A259,PEDIDOS!$A:$A,0),3)</f>
        <v>#N/A</v>
      </c>
      <c r="E259" s="3" t="e">
        <f>INDEX(PEDIDOS!$A:$D,MATCH(FORNECEDOR!A259,PEDIDOS!$A:$A,0),4)</f>
        <v>#N/A</v>
      </c>
    </row>
    <row r="260" spans="1:5" hidden="1" x14ac:dyDescent="0.25">
      <c r="A260" s="1" t="s">
        <v>259</v>
      </c>
      <c r="B260" s="3">
        <f>COUNTIF(PEDIDOS!$A:$A,FORNECEDOR!A260)</f>
        <v>0</v>
      </c>
      <c r="C260" s="3" t="e">
        <f>INDEX(PEDIDOS!$A:$D,MATCH(FORNECEDOR!A260,PEDIDOS!$A:$A,0),2)</f>
        <v>#N/A</v>
      </c>
      <c r="D260" s="3" t="e">
        <f>INDEX(PEDIDOS!$A:$D,MATCH(FORNECEDOR!A260,PEDIDOS!$A:$A,0),3)</f>
        <v>#N/A</v>
      </c>
      <c r="E260" s="3" t="e">
        <f>INDEX(PEDIDOS!$A:$D,MATCH(FORNECEDOR!A260,PEDIDOS!$A:$A,0),4)</f>
        <v>#N/A</v>
      </c>
    </row>
    <row r="261" spans="1:5" x14ac:dyDescent="0.25">
      <c r="A261" s="1" t="s">
        <v>260</v>
      </c>
      <c r="B261" s="3">
        <f>COUNTIF(PEDIDOS!$A:$A,FORNECEDOR!A261)</f>
        <v>2</v>
      </c>
      <c r="C261" s="3" t="str">
        <f>INDEX(PEDIDOS!$A:$D,MATCH(FORNECEDOR!A261,PEDIDOS!$A:$A,0),2)</f>
        <v>CD NAVEGANTES</v>
      </c>
      <c r="D261" s="3" t="str">
        <f>INDEX(PEDIDOS!$A:$D,MATCH(FORNECEDOR!A261,PEDIDOS!$A:$A,0),3)</f>
        <v>MATRIZ</v>
      </c>
      <c r="E261" s="3" t="str">
        <f>INDEX(PEDIDOS!$A:$D,MATCH(FORNECEDOR!A261,PEDIDOS!$A:$A,0),4)</f>
        <v>CD NAVEGANTES</v>
      </c>
    </row>
    <row r="262" spans="1:5" hidden="1" x14ac:dyDescent="0.25">
      <c r="A262" s="1" t="s">
        <v>261</v>
      </c>
      <c r="B262" s="3">
        <f>COUNTIF(PEDIDOS!$A:$A,FORNECEDOR!A262)</f>
        <v>0</v>
      </c>
      <c r="C262" s="3" t="e">
        <f>INDEX(PEDIDOS!$A:$D,MATCH(FORNECEDOR!A262,PEDIDOS!$A:$A,0),2)</f>
        <v>#N/A</v>
      </c>
      <c r="D262" s="3" t="e">
        <f>INDEX(PEDIDOS!$A:$D,MATCH(FORNECEDOR!A262,PEDIDOS!$A:$A,0),3)</f>
        <v>#N/A</v>
      </c>
      <c r="E262" s="3" t="e">
        <f>INDEX(PEDIDOS!$A:$D,MATCH(FORNECEDOR!A262,PEDIDOS!$A:$A,0),4)</f>
        <v>#N/A</v>
      </c>
    </row>
    <row r="263" spans="1:5" hidden="1" x14ac:dyDescent="0.25">
      <c r="A263" s="1" t="s">
        <v>262</v>
      </c>
      <c r="B263" s="3">
        <f>COUNTIF(PEDIDOS!$A:$A,FORNECEDOR!A263)</f>
        <v>0</v>
      </c>
      <c r="C263" s="3" t="e">
        <f>INDEX(PEDIDOS!$A:$D,MATCH(FORNECEDOR!A263,PEDIDOS!$A:$A,0),2)</f>
        <v>#N/A</v>
      </c>
      <c r="D263" s="3" t="e">
        <f>INDEX(PEDIDOS!$A:$D,MATCH(FORNECEDOR!A263,PEDIDOS!$A:$A,0),3)</f>
        <v>#N/A</v>
      </c>
      <c r="E263" s="3" t="e">
        <f>INDEX(PEDIDOS!$A:$D,MATCH(FORNECEDOR!A263,PEDIDOS!$A:$A,0),4)</f>
        <v>#N/A</v>
      </c>
    </row>
    <row r="264" spans="1:5" hidden="1" x14ac:dyDescent="0.25">
      <c r="A264" s="1" t="s">
        <v>263</v>
      </c>
      <c r="B264" s="3">
        <f>COUNTIF(PEDIDOS!$A:$A,FORNECEDOR!A264)</f>
        <v>0</v>
      </c>
      <c r="C264" s="3" t="e">
        <f>INDEX(PEDIDOS!$A:$D,MATCH(FORNECEDOR!A264,PEDIDOS!$A:$A,0),2)</f>
        <v>#N/A</v>
      </c>
      <c r="D264" s="3" t="e">
        <f>INDEX(PEDIDOS!$A:$D,MATCH(FORNECEDOR!A264,PEDIDOS!$A:$A,0),3)</f>
        <v>#N/A</v>
      </c>
      <c r="E264" s="3" t="e">
        <f>INDEX(PEDIDOS!$A:$D,MATCH(FORNECEDOR!A264,PEDIDOS!$A:$A,0),4)</f>
        <v>#N/A</v>
      </c>
    </row>
    <row r="265" spans="1:5" hidden="1" x14ac:dyDescent="0.25">
      <c r="A265" s="1" t="s">
        <v>264</v>
      </c>
      <c r="B265" s="3">
        <f>COUNTIF(PEDIDOS!$A:$A,FORNECEDOR!A265)</f>
        <v>0</v>
      </c>
      <c r="C265" s="3" t="e">
        <f>INDEX(PEDIDOS!$A:$D,MATCH(FORNECEDOR!A265,PEDIDOS!$A:$A,0),2)</f>
        <v>#N/A</v>
      </c>
      <c r="D265" s="3" t="e">
        <f>INDEX(PEDIDOS!$A:$D,MATCH(FORNECEDOR!A265,PEDIDOS!$A:$A,0),3)</f>
        <v>#N/A</v>
      </c>
      <c r="E265" s="3" t="e">
        <f>INDEX(PEDIDOS!$A:$D,MATCH(FORNECEDOR!A265,PEDIDOS!$A:$A,0),4)</f>
        <v>#N/A</v>
      </c>
    </row>
    <row r="266" spans="1:5" x14ac:dyDescent="0.25">
      <c r="A266" s="1" t="s">
        <v>265</v>
      </c>
      <c r="B266" s="3">
        <f>COUNTIF(PEDIDOS!$A:$A,FORNECEDOR!A266)</f>
        <v>4</v>
      </c>
      <c r="C266" s="3" t="str">
        <f>INDEX(PEDIDOS!$A:$D,MATCH(FORNECEDOR!A266,PEDIDOS!$A:$A,0),2)</f>
        <v>CD NAVEGANTES</v>
      </c>
      <c r="D266" s="3" t="str">
        <f>INDEX(PEDIDOS!$A:$D,MATCH(FORNECEDOR!A266,PEDIDOS!$A:$A,0),3)</f>
        <v>MATRIZ</v>
      </c>
      <c r="E266" s="3" t="str">
        <f>INDEX(PEDIDOS!$A:$D,MATCH(FORNECEDOR!A266,PEDIDOS!$A:$A,0),4)</f>
        <v>CD NAVEGANTES</v>
      </c>
    </row>
    <row r="267" spans="1:5" hidden="1" x14ac:dyDescent="0.25">
      <c r="A267" s="1" t="s">
        <v>266</v>
      </c>
      <c r="B267" s="3">
        <f>COUNTIF(PEDIDOS!$A:$A,FORNECEDOR!A267)</f>
        <v>0</v>
      </c>
      <c r="C267" s="3" t="e">
        <f>INDEX(PEDIDOS!$A:$D,MATCH(FORNECEDOR!A267,PEDIDOS!$A:$A,0),2)</f>
        <v>#N/A</v>
      </c>
      <c r="D267" s="3" t="e">
        <f>INDEX(PEDIDOS!$A:$D,MATCH(FORNECEDOR!A267,PEDIDOS!$A:$A,0),3)</f>
        <v>#N/A</v>
      </c>
      <c r="E267" s="3" t="e">
        <f>INDEX(PEDIDOS!$A:$D,MATCH(FORNECEDOR!A267,PEDIDOS!$A:$A,0),4)</f>
        <v>#N/A</v>
      </c>
    </row>
    <row r="268" spans="1:5" hidden="1" x14ac:dyDescent="0.25">
      <c r="A268" s="1" t="s">
        <v>267</v>
      </c>
      <c r="B268" s="3">
        <f>COUNTIF(PEDIDOS!$A:$A,FORNECEDOR!A268)</f>
        <v>0</v>
      </c>
      <c r="C268" s="3" t="e">
        <f>INDEX(PEDIDOS!$A:$D,MATCH(FORNECEDOR!A268,PEDIDOS!$A:$A,0),2)</f>
        <v>#N/A</v>
      </c>
      <c r="D268" s="3" t="e">
        <f>INDEX(PEDIDOS!$A:$D,MATCH(FORNECEDOR!A268,PEDIDOS!$A:$A,0),3)</f>
        <v>#N/A</v>
      </c>
      <c r="E268" s="3" t="e">
        <f>INDEX(PEDIDOS!$A:$D,MATCH(FORNECEDOR!A268,PEDIDOS!$A:$A,0),4)</f>
        <v>#N/A</v>
      </c>
    </row>
    <row r="269" spans="1:5" hidden="1" x14ac:dyDescent="0.25">
      <c r="A269" s="1" t="s">
        <v>268</v>
      </c>
      <c r="B269" s="3">
        <f>COUNTIF(PEDIDOS!$A:$A,FORNECEDOR!A269)</f>
        <v>0</v>
      </c>
      <c r="C269" s="3" t="e">
        <f>INDEX(PEDIDOS!$A:$D,MATCH(FORNECEDOR!A269,PEDIDOS!$A:$A,0),2)</f>
        <v>#N/A</v>
      </c>
      <c r="D269" s="3" t="e">
        <f>INDEX(PEDIDOS!$A:$D,MATCH(FORNECEDOR!A269,PEDIDOS!$A:$A,0),3)</f>
        <v>#N/A</v>
      </c>
      <c r="E269" s="3" t="e">
        <f>INDEX(PEDIDOS!$A:$D,MATCH(FORNECEDOR!A269,PEDIDOS!$A:$A,0),4)</f>
        <v>#N/A</v>
      </c>
    </row>
    <row r="270" spans="1:5" hidden="1" x14ac:dyDescent="0.25">
      <c r="A270" s="1" t="s">
        <v>269</v>
      </c>
      <c r="B270" s="3">
        <f>COUNTIF(PEDIDOS!$A:$A,FORNECEDOR!A270)</f>
        <v>0</v>
      </c>
      <c r="C270" s="3" t="e">
        <f>INDEX(PEDIDOS!$A:$D,MATCH(FORNECEDOR!A270,PEDIDOS!$A:$A,0),2)</f>
        <v>#N/A</v>
      </c>
      <c r="D270" s="3" t="e">
        <f>INDEX(PEDIDOS!$A:$D,MATCH(FORNECEDOR!A270,PEDIDOS!$A:$A,0),3)</f>
        <v>#N/A</v>
      </c>
      <c r="E270" s="3" t="e">
        <f>INDEX(PEDIDOS!$A:$D,MATCH(FORNECEDOR!A270,PEDIDOS!$A:$A,0),4)</f>
        <v>#N/A</v>
      </c>
    </row>
    <row r="271" spans="1:5" hidden="1" x14ac:dyDescent="0.25">
      <c r="A271" s="1" t="s">
        <v>270</v>
      </c>
      <c r="B271" s="3">
        <f>COUNTIF(PEDIDOS!$A:$A,FORNECEDOR!A271)</f>
        <v>0</v>
      </c>
      <c r="C271" s="3" t="e">
        <f>INDEX(PEDIDOS!$A:$D,MATCH(FORNECEDOR!A271,PEDIDOS!$A:$A,0),2)</f>
        <v>#N/A</v>
      </c>
      <c r="D271" s="3" t="e">
        <f>INDEX(PEDIDOS!$A:$D,MATCH(FORNECEDOR!A271,PEDIDOS!$A:$A,0),3)</f>
        <v>#N/A</v>
      </c>
      <c r="E271" s="3" t="e">
        <f>INDEX(PEDIDOS!$A:$D,MATCH(FORNECEDOR!A271,PEDIDOS!$A:$A,0),4)</f>
        <v>#N/A</v>
      </c>
    </row>
    <row r="272" spans="1:5" x14ac:dyDescent="0.25">
      <c r="A272" s="1" t="s">
        <v>271</v>
      </c>
      <c r="B272" s="3">
        <f>COUNTIF(PEDIDOS!$A:$A,FORNECEDOR!A272)</f>
        <v>1</v>
      </c>
      <c r="C272" s="3" t="str">
        <f>INDEX(PEDIDOS!$A:$D,MATCH(FORNECEDOR!A272,PEDIDOS!$A:$A,0),2)</f>
        <v>CD REGIS</v>
      </c>
      <c r="D272" s="3" t="str">
        <f>INDEX(PEDIDOS!$A:$D,MATCH(FORNECEDOR!A272,PEDIDOS!$A:$A,0),3)</f>
        <v>MATRIZ</v>
      </c>
      <c r="E272" s="3" t="str">
        <f>INDEX(PEDIDOS!$A:$D,MATCH(FORNECEDOR!A272,PEDIDOS!$A:$A,0),4)</f>
        <v>CD REGIS</v>
      </c>
    </row>
    <row r="273" spans="1:5" hidden="1" x14ac:dyDescent="0.25">
      <c r="A273" s="1" t="s">
        <v>272</v>
      </c>
      <c r="B273" s="3">
        <f>COUNTIF(PEDIDOS!$A:$A,FORNECEDOR!A273)</f>
        <v>0</v>
      </c>
      <c r="C273" s="3" t="e">
        <f>INDEX(PEDIDOS!$A:$D,MATCH(FORNECEDOR!A273,PEDIDOS!$A:$A,0),2)</f>
        <v>#N/A</v>
      </c>
      <c r="D273" s="3" t="e">
        <f>INDEX(PEDIDOS!$A:$D,MATCH(FORNECEDOR!A273,PEDIDOS!$A:$A,0),3)</f>
        <v>#N/A</v>
      </c>
      <c r="E273" s="3" t="e">
        <f>INDEX(PEDIDOS!$A:$D,MATCH(FORNECEDOR!A273,PEDIDOS!$A:$A,0),4)</f>
        <v>#N/A</v>
      </c>
    </row>
    <row r="274" spans="1:5" hidden="1" x14ac:dyDescent="0.25">
      <c r="A274" s="1" t="s">
        <v>273</v>
      </c>
      <c r="B274" s="3">
        <f>COUNTIF(PEDIDOS!$A:$A,FORNECEDOR!A274)</f>
        <v>0</v>
      </c>
      <c r="C274" s="3" t="e">
        <f>INDEX(PEDIDOS!$A:$D,MATCH(FORNECEDOR!A274,PEDIDOS!$A:$A,0),2)</f>
        <v>#N/A</v>
      </c>
      <c r="D274" s="3" t="e">
        <f>INDEX(PEDIDOS!$A:$D,MATCH(FORNECEDOR!A274,PEDIDOS!$A:$A,0),3)</f>
        <v>#N/A</v>
      </c>
      <c r="E274" s="3" t="e">
        <f>INDEX(PEDIDOS!$A:$D,MATCH(FORNECEDOR!A274,PEDIDOS!$A:$A,0),4)</f>
        <v>#N/A</v>
      </c>
    </row>
    <row r="275" spans="1:5" x14ac:dyDescent="0.25">
      <c r="A275" s="1" t="s">
        <v>274</v>
      </c>
      <c r="B275" s="3">
        <f>COUNTIF(PEDIDOS!$A:$A,FORNECEDOR!A275)</f>
        <v>1</v>
      </c>
      <c r="C275" s="3" t="str">
        <f>INDEX(PEDIDOS!$A:$D,MATCH(FORNECEDOR!A275,PEDIDOS!$A:$A,0),2)</f>
        <v>CD REGIS</v>
      </c>
      <c r="D275" s="3" t="str">
        <f>INDEX(PEDIDOS!$A:$D,MATCH(FORNECEDOR!A275,PEDIDOS!$A:$A,0),3)</f>
        <v>CD REGIS</v>
      </c>
      <c r="E275" s="3" t="str">
        <f>INDEX(PEDIDOS!$A:$D,MATCH(FORNECEDOR!A275,PEDIDOS!$A:$A,0),4)</f>
        <v>CD REGIS</v>
      </c>
    </row>
    <row r="276" spans="1:5" hidden="1" x14ac:dyDescent="0.25">
      <c r="A276" s="1" t="s">
        <v>275</v>
      </c>
      <c r="B276" s="3">
        <f>COUNTIF(PEDIDOS!$A:$A,FORNECEDOR!A276)</f>
        <v>0</v>
      </c>
      <c r="C276" s="3" t="e">
        <f>INDEX(PEDIDOS!$A:$D,MATCH(FORNECEDOR!A276,PEDIDOS!$A:$A,0),2)</f>
        <v>#N/A</v>
      </c>
      <c r="D276" s="3" t="e">
        <f>INDEX(PEDIDOS!$A:$D,MATCH(FORNECEDOR!A276,PEDIDOS!$A:$A,0),3)</f>
        <v>#N/A</v>
      </c>
      <c r="E276" s="3" t="e">
        <f>INDEX(PEDIDOS!$A:$D,MATCH(FORNECEDOR!A276,PEDIDOS!$A:$A,0),4)</f>
        <v>#N/A</v>
      </c>
    </row>
    <row r="277" spans="1:5" x14ac:dyDescent="0.25">
      <c r="A277" s="1" t="s">
        <v>276</v>
      </c>
      <c r="B277" s="3">
        <f>COUNTIF(PEDIDOS!$A:$A,FORNECEDOR!A277)</f>
        <v>1</v>
      </c>
      <c r="C277" s="3" t="str">
        <f>INDEX(PEDIDOS!$A:$D,MATCH(FORNECEDOR!A277,PEDIDOS!$A:$A,0),2)</f>
        <v>CD REGIS</v>
      </c>
      <c r="D277" s="3" t="str">
        <f>INDEX(PEDIDOS!$A:$D,MATCH(FORNECEDOR!A277,PEDIDOS!$A:$A,0),3)</f>
        <v>TATUAPE</v>
      </c>
      <c r="E277" s="3" t="str">
        <f>INDEX(PEDIDOS!$A:$D,MATCH(FORNECEDOR!A277,PEDIDOS!$A:$A,0),4)</f>
        <v>CD REGIS</v>
      </c>
    </row>
    <row r="278" spans="1:5" x14ac:dyDescent="0.25">
      <c r="A278" s="1" t="s">
        <v>277</v>
      </c>
      <c r="B278" s="3">
        <f>COUNTIF(PEDIDOS!$A:$A,FORNECEDOR!A278)</f>
        <v>1</v>
      </c>
      <c r="C278" s="3" t="str">
        <f>INDEX(PEDIDOS!$A:$D,MATCH(FORNECEDOR!A278,PEDIDOS!$A:$A,0),2)</f>
        <v>CD REGIS</v>
      </c>
      <c r="D278" s="3" t="str">
        <f>INDEX(PEDIDOS!$A:$D,MATCH(FORNECEDOR!A278,PEDIDOS!$A:$A,0),3)</f>
        <v>MATRIZ</v>
      </c>
      <c r="E278" s="3" t="str">
        <f>INDEX(PEDIDOS!$A:$D,MATCH(FORNECEDOR!A278,PEDIDOS!$A:$A,0),4)</f>
        <v>CD REGIS</v>
      </c>
    </row>
    <row r="279" spans="1:5" x14ac:dyDescent="0.25">
      <c r="A279" s="1" t="s">
        <v>278</v>
      </c>
      <c r="B279" s="3">
        <f>COUNTIF(PEDIDOS!$A:$A,FORNECEDOR!A279)</f>
        <v>1</v>
      </c>
      <c r="C279" s="3" t="str">
        <f>INDEX(PEDIDOS!$A:$D,MATCH(FORNECEDOR!A279,PEDIDOS!$A:$A,0),2)</f>
        <v>IPIRANGA</v>
      </c>
      <c r="D279" s="3" t="str">
        <f>INDEX(PEDIDOS!$A:$D,MATCH(FORNECEDOR!A279,PEDIDOS!$A:$A,0),3)</f>
        <v>IPIRANGA</v>
      </c>
      <c r="E279" s="3" t="str">
        <f>INDEX(PEDIDOS!$A:$D,MATCH(FORNECEDOR!A279,PEDIDOS!$A:$A,0),4)</f>
        <v>IPIRANGA</v>
      </c>
    </row>
    <row r="280" spans="1:5" x14ac:dyDescent="0.25">
      <c r="A280" s="1" t="s">
        <v>279</v>
      </c>
      <c r="B280" s="3">
        <f>COUNTIF(PEDIDOS!$A:$A,FORNECEDOR!A280)</f>
        <v>1</v>
      </c>
      <c r="C280" s="3" t="str">
        <f>INDEX(PEDIDOS!$A:$D,MATCH(FORNECEDOR!A280,PEDIDOS!$A:$A,0),2)</f>
        <v>SAO BERNARDO</v>
      </c>
      <c r="D280" s="3" t="str">
        <f>INDEX(PEDIDOS!$A:$D,MATCH(FORNECEDOR!A280,PEDIDOS!$A:$A,0),3)</f>
        <v>SAO BERNARDO</v>
      </c>
      <c r="E280" s="3" t="str">
        <f>INDEX(PEDIDOS!$A:$D,MATCH(FORNECEDOR!A280,PEDIDOS!$A:$A,0),4)</f>
        <v>SAO BERNARDO</v>
      </c>
    </row>
    <row r="281" spans="1:5" hidden="1" x14ac:dyDescent="0.25">
      <c r="A281" s="1" t="s">
        <v>280</v>
      </c>
      <c r="B281" s="3">
        <f>COUNTIF(PEDIDOS!$A:$A,FORNECEDOR!A281)</f>
        <v>0</v>
      </c>
      <c r="C281" s="3" t="e">
        <f>INDEX(PEDIDOS!$A:$D,MATCH(FORNECEDOR!A281,PEDIDOS!$A:$A,0),2)</f>
        <v>#N/A</v>
      </c>
      <c r="D281" s="3" t="e">
        <f>INDEX(PEDIDOS!$A:$D,MATCH(FORNECEDOR!A281,PEDIDOS!$A:$A,0),3)</f>
        <v>#N/A</v>
      </c>
      <c r="E281" s="3" t="e">
        <f>INDEX(PEDIDOS!$A:$D,MATCH(FORNECEDOR!A281,PEDIDOS!$A:$A,0),4)</f>
        <v>#N/A</v>
      </c>
    </row>
    <row r="282" spans="1:5" hidden="1" x14ac:dyDescent="0.25">
      <c r="A282" s="1" t="s">
        <v>281</v>
      </c>
      <c r="B282" s="3">
        <f>COUNTIF(PEDIDOS!$A:$A,FORNECEDOR!A282)</f>
        <v>0</v>
      </c>
      <c r="C282" s="3" t="e">
        <f>INDEX(PEDIDOS!$A:$D,MATCH(FORNECEDOR!A282,PEDIDOS!$A:$A,0),2)</f>
        <v>#N/A</v>
      </c>
      <c r="D282" s="3" t="e">
        <f>INDEX(PEDIDOS!$A:$D,MATCH(FORNECEDOR!A282,PEDIDOS!$A:$A,0),3)</f>
        <v>#N/A</v>
      </c>
      <c r="E282" s="3" t="e">
        <f>INDEX(PEDIDOS!$A:$D,MATCH(FORNECEDOR!A282,PEDIDOS!$A:$A,0),4)</f>
        <v>#N/A</v>
      </c>
    </row>
    <row r="283" spans="1:5" hidden="1" x14ac:dyDescent="0.25">
      <c r="A283" s="1" t="s">
        <v>282</v>
      </c>
      <c r="B283" s="3">
        <f>COUNTIF(PEDIDOS!$A:$A,FORNECEDOR!A283)</f>
        <v>0</v>
      </c>
      <c r="C283" s="3" t="e">
        <f>INDEX(PEDIDOS!$A:$D,MATCH(FORNECEDOR!A283,PEDIDOS!$A:$A,0),2)</f>
        <v>#N/A</v>
      </c>
      <c r="D283" s="3" t="e">
        <f>INDEX(PEDIDOS!$A:$D,MATCH(FORNECEDOR!A283,PEDIDOS!$A:$A,0),3)</f>
        <v>#N/A</v>
      </c>
      <c r="E283" s="3" t="e">
        <f>INDEX(PEDIDOS!$A:$D,MATCH(FORNECEDOR!A283,PEDIDOS!$A:$A,0),4)</f>
        <v>#N/A</v>
      </c>
    </row>
    <row r="284" spans="1:5" hidden="1" x14ac:dyDescent="0.25">
      <c r="A284" s="1" t="s">
        <v>283</v>
      </c>
      <c r="B284" s="3">
        <f>COUNTIF(PEDIDOS!$A:$A,FORNECEDOR!A284)</f>
        <v>0</v>
      </c>
      <c r="C284" s="3" t="e">
        <f>INDEX(PEDIDOS!$A:$D,MATCH(FORNECEDOR!A284,PEDIDOS!$A:$A,0),2)</f>
        <v>#N/A</v>
      </c>
      <c r="D284" s="3" t="e">
        <f>INDEX(PEDIDOS!$A:$D,MATCH(FORNECEDOR!A284,PEDIDOS!$A:$A,0),3)</f>
        <v>#N/A</v>
      </c>
      <c r="E284" s="3" t="e">
        <f>INDEX(PEDIDOS!$A:$D,MATCH(FORNECEDOR!A284,PEDIDOS!$A:$A,0),4)</f>
        <v>#N/A</v>
      </c>
    </row>
    <row r="285" spans="1:5" hidden="1" x14ac:dyDescent="0.25">
      <c r="A285" s="1" t="s">
        <v>284</v>
      </c>
      <c r="B285" s="3">
        <f>COUNTIF(PEDIDOS!$A:$A,FORNECEDOR!A285)</f>
        <v>0</v>
      </c>
      <c r="C285" s="3" t="e">
        <f>INDEX(PEDIDOS!$A:$D,MATCH(FORNECEDOR!A285,PEDIDOS!$A:$A,0),2)</f>
        <v>#N/A</v>
      </c>
      <c r="D285" s="3" t="e">
        <f>INDEX(PEDIDOS!$A:$D,MATCH(FORNECEDOR!A285,PEDIDOS!$A:$A,0),3)</f>
        <v>#N/A</v>
      </c>
      <c r="E285" s="3" t="e">
        <f>INDEX(PEDIDOS!$A:$D,MATCH(FORNECEDOR!A285,PEDIDOS!$A:$A,0),4)</f>
        <v>#N/A</v>
      </c>
    </row>
    <row r="286" spans="1:5" hidden="1" x14ac:dyDescent="0.25">
      <c r="A286" s="1" t="s">
        <v>285</v>
      </c>
      <c r="B286" s="3">
        <f>COUNTIF(PEDIDOS!$A:$A,FORNECEDOR!A286)</f>
        <v>0</v>
      </c>
      <c r="C286" s="3" t="e">
        <f>INDEX(PEDIDOS!$A:$D,MATCH(FORNECEDOR!A286,PEDIDOS!$A:$A,0),2)</f>
        <v>#N/A</v>
      </c>
      <c r="D286" s="3" t="e">
        <f>INDEX(PEDIDOS!$A:$D,MATCH(FORNECEDOR!A286,PEDIDOS!$A:$A,0),3)</f>
        <v>#N/A</v>
      </c>
      <c r="E286" s="3" t="e">
        <f>INDEX(PEDIDOS!$A:$D,MATCH(FORNECEDOR!A286,PEDIDOS!$A:$A,0),4)</f>
        <v>#N/A</v>
      </c>
    </row>
    <row r="287" spans="1:5" hidden="1" x14ac:dyDescent="0.25">
      <c r="A287" s="1" t="s">
        <v>286</v>
      </c>
      <c r="B287" s="3">
        <f>COUNTIF(PEDIDOS!$A:$A,FORNECEDOR!A287)</f>
        <v>0</v>
      </c>
      <c r="C287" s="3" t="e">
        <f>INDEX(PEDIDOS!$A:$D,MATCH(FORNECEDOR!A287,PEDIDOS!$A:$A,0),2)</f>
        <v>#N/A</v>
      </c>
      <c r="D287" s="3" t="e">
        <f>INDEX(PEDIDOS!$A:$D,MATCH(FORNECEDOR!A287,PEDIDOS!$A:$A,0),3)</f>
        <v>#N/A</v>
      </c>
      <c r="E287" s="3" t="e">
        <f>INDEX(PEDIDOS!$A:$D,MATCH(FORNECEDOR!A287,PEDIDOS!$A:$A,0),4)</f>
        <v>#N/A</v>
      </c>
    </row>
    <row r="288" spans="1:5" hidden="1" x14ac:dyDescent="0.25">
      <c r="A288" s="1" t="s">
        <v>287</v>
      </c>
      <c r="B288" s="3">
        <f>COUNTIF(PEDIDOS!$A:$A,FORNECEDOR!A288)</f>
        <v>0</v>
      </c>
      <c r="C288" s="3" t="e">
        <f>INDEX(PEDIDOS!$A:$D,MATCH(FORNECEDOR!A288,PEDIDOS!$A:$A,0),2)</f>
        <v>#N/A</v>
      </c>
      <c r="D288" s="3" t="e">
        <f>INDEX(PEDIDOS!$A:$D,MATCH(FORNECEDOR!A288,PEDIDOS!$A:$A,0),3)</f>
        <v>#N/A</v>
      </c>
      <c r="E288" s="3" t="e">
        <f>INDEX(PEDIDOS!$A:$D,MATCH(FORNECEDOR!A288,PEDIDOS!$A:$A,0),4)</f>
        <v>#N/A</v>
      </c>
    </row>
    <row r="289" spans="1:5" hidden="1" x14ac:dyDescent="0.25">
      <c r="A289" s="1" t="s">
        <v>288</v>
      </c>
      <c r="B289" s="3">
        <f>COUNTIF(PEDIDOS!$A:$A,FORNECEDOR!A289)</f>
        <v>0</v>
      </c>
      <c r="C289" s="3" t="e">
        <f>INDEX(PEDIDOS!$A:$D,MATCH(FORNECEDOR!A289,PEDIDOS!$A:$A,0),2)</f>
        <v>#N/A</v>
      </c>
      <c r="D289" s="3" t="e">
        <f>INDEX(PEDIDOS!$A:$D,MATCH(FORNECEDOR!A289,PEDIDOS!$A:$A,0),3)</f>
        <v>#N/A</v>
      </c>
      <c r="E289" s="3" t="e">
        <f>INDEX(PEDIDOS!$A:$D,MATCH(FORNECEDOR!A289,PEDIDOS!$A:$A,0),4)</f>
        <v>#N/A</v>
      </c>
    </row>
    <row r="290" spans="1:5" hidden="1" x14ac:dyDescent="0.25">
      <c r="A290" s="1" t="s">
        <v>289</v>
      </c>
      <c r="B290" s="3">
        <f>COUNTIF(PEDIDOS!$A:$A,FORNECEDOR!A290)</f>
        <v>0</v>
      </c>
      <c r="C290" s="3" t="e">
        <f>INDEX(PEDIDOS!$A:$D,MATCH(FORNECEDOR!A290,PEDIDOS!$A:$A,0),2)</f>
        <v>#N/A</v>
      </c>
      <c r="D290" s="3" t="e">
        <f>INDEX(PEDIDOS!$A:$D,MATCH(FORNECEDOR!A290,PEDIDOS!$A:$A,0),3)</f>
        <v>#N/A</v>
      </c>
      <c r="E290" s="3" t="e">
        <f>INDEX(PEDIDOS!$A:$D,MATCH(FORNECEDOR!A290,PEDIDOS!$A:$A,0),4)</f>
        <v>#N/A</v>
      </c>
    </row>
    <row r="291" spans="1:5" hidden="1" x14ac:dyDescent="0.25">
      <c r="A291" s="1" t="s">
        <v>290</v>
      </c>
      <c r="B291" s="3">
        <f>COUNTIF(PEDIDOS!$A:$A,FORNECEDOR!A291)</f>
        <v>0</v>
      </c>
      <c r="C291" s="3" t="e">
        <f>INDEX(PEDIDOS!$A:$D,MATCH(FORNECEDOR!A291,PEDIDOS!$A:$A,0),2)</f>
        <v>#N/A</v>
      </c>
      <c r="D291" s="3" t="e">
        <f>INDEX(PEDIDOS!$A:$D,MATCH(FORNECEDOR!A291,PEDIDOS!$A:$A,0),3)</f>
        <v>#N/A</v>
      </c>
      <c r="E291" s="3" t="e">
        <f>INDEX(PEDIDOS!$A:$D,MATCH(FORNECEDOR!A291,PEDIDOS!$A:$A,0),4)</f>
        <v>#N/A</v>
      </c>
    </row>
    <row r="292" spans="1:5" hidden="1" x14ac:dyDescent="0.25">
      <c r="A292" s="1" t="s">
        <v>291</v>
      </c>
      <c r="B292" s="3">
        <f>COUNTIF(PEDIDOS!$A:$A,FORNECEDOR!A292)</f>
        <v>0</v>
      </c>
      <c r="C292" s="3" t="e">
        <f>INDEX(PEDIDOS!$A:$D,MATCH(FORNECEDOR!A292,PEDIDOS!$A:$A,0),2)</f>
        <v>#N/A</v>
      </c>
      <c r="D292" s="3" t="e">
        <f>INDEX(PEDIDOS!$A:$D,MATCH(FORNECEDOR!A292,PEDIDOS!$A:$A,0),3)</f>
        <v>#N/A</v>
      </c>
      <c r="E292" s="3" t="e">
        <f>INDEX(PEDIDOS!$A:$D,MATCH(FORNECEDOR!A292,PEDIDOS!$A:$A,0),4)</f>
        <v>#N/A</v>
      </c>
    </row>
    <row r="293" spans="1:5" hidden="1" x14ac:dyDescent="0.25">
      <c r="A293" s="1" t="s">
        <v>292</v>
      </c>
      <c r="B293" s="3">
        <f>COUNTIF(PEDIDOS!$A:$A,FORNECEDOR!A293)</f>
        <v>0</v>
      </c>
      <c r="C293" s="3" t="e">
        <f>INDEX(PEDIDOS!$A:$D,MATCH(FORNECEDOR!A293,PEDIDOS!$A:$A,0),2)</f>
        <v>#N/A</v>
      </c>
      <c r="D293" s="3" t="e">
        <f>INDEX(PEDIDOS!$A:$D,MATCH(FORNECEDOR!A293,PEDIDOS!$A:$A,0),3)</f>
        <v>#N/A</v>
      </c>
      <c r="E293" s="3" t="e">
        <f>INDEX(PEDIDOS!$A:$D,MATCH(FORNECEDOR!A293,PEDIDOS!$A:$A,0),4)</f>
        <v>#N/A</v>
      </c>
    </row>
    <row r="294" spans="1:5" x14ac:dyDescent="0.25">
      <c r="A294" s="1" t="s">
        <v>293</v>
      </c>
      <c r="B294" s="3">
        <f>COUNTIF(PEDIDOS!$A:$A,FORNECEDOR!A294)</f>
        <v>3</v>
      </c>
      <c r="C294" s="3" t="str">
        <f>INDEX(PEDIDOS!$A:$D,MATCH(FORNECEDOR!A294,PEDIDOS!$A:$A,0),2)</f>
        <v>CIDADE TIRADENTES</v>
      </c>
      <c r="D294" s="3" t="str">
        <f>INDEX(PEDIDOS!$A:$D,MATCH(FORNECEDOR!A294,PEDIDOS!$A:$A,0),3)</f>
        <v>CIDADE TIRADENTES</v>
      </c>
      <c r="E294" s="3" t="str">
        <f>INDEX(PEDIDOS!$A:$D,MATCH(FORNECEDOR!A294,PEDIDOS!$A:$A,0),4)</f>
        <v>CIDADE TIRADENTES</v>
      </c>
    </row>
    <row r="295" spans="1:5" x14ac:dyDescent="0.25">
      <c r="A295" s="1" t="s">
        <v>294</v>
      </c>
      <c r="B295" s="3">
        <f>COUNTIF(PEDIDOS!$A:$A,FORNECEDOR!A295)</f>
        <v>1</v>
      </c>
      <c r="C295" s="3" t="str">
        <f>INDEX(PEDIDOS!$A:$D,MATCH(FORNECEDOR!A295,PEDIDOS!$A:$A,0),2)</f>
        <v>CD REGIS</v>
      </c>
      <c r="D295" s="3" t="str">
        <f>INDEX(PEDIDOS!$A:$D,MATCH(FORNECEDOR!A295,PEDIDOS!$A:$A,0),3)</f>
        <v>MATRIZ</v>
      </c>
      <c r="E295" s="3" t="str">
        <f>INDEX(PEDIDOS!$A:$D,MATCH(FORNECEDOR!A295,PEDIDOS!$A:$A,0),4)</f>
        <v>CD REGIS</v>
      </c>
    </row>
    <row r="296" spans="1:5" hidden="1" x14ac:dyDescent="0.25">
      <c r="A296" s="1" t="s">
        <v>295</v>
      </c>
      <c r="B296" s="3">
        <f>COUNTIF(PEDIDOS!$A:$A,FORNECEDOR!A296)</f>
        <v>0</v>
      </c>
      <c r="C296" s="3" t="e">
        <f>INDEX(PEDIDOS!$A:$D,MATCH(FORNECEDOR!A296,PEDIDOS!$A:$A,0),2)</f>
        <v>#N/A</v>
      </c>
      <c r="D296" s="3" t="e">
        <f>INDEX(PEDIDOS!$A:$D,MATCH(FORNECEDOR!A296,PEDIDOS!$A:$A,0),3)</f>
        <v>#N/A</v>
      </c>
      <c r="E296" s="3" t="e">
        <f>INDEX(PEDIDOS!$A:$D,MATCH(FORNECEDOR!A296,PEDIDOS!$A:$A,0),4)</f>
        <v>#N/A</v>
      </c>
    </row>
    <row r="297" spans="1:5" hidden="1" x14ac:dyDescent="0.25">
      <c r="A297" s="1" t="s">
        <v>296</v>
      </c>
      <c r="B297" s="3">
        <f>COUNTIF(PEDIDOS!$A:$A,FORNECEDOR!A297)</f>
        <v>0</v>
      </c>
      <c r="C297" s="3" t="e">
        <f>INDEX(PEDIDOS!$A:$D,MATCH(FORNECEDOR!A297,PEDIDOS!$A:$A,0),2)</f>
        <v>#N/A</v>
      </c>
      <c r="D297" s="3" t="e">
        <f>INDEX(PEDIDOS!$A:$D,MATCH(FORNECEDOR!A297,PEDIDOS!$A:$A,0),3)</f>
        <v>#N/A</v>
      </c>
      <c r="E297" s="3" t="e">
        <f>INDEX(PEDIDOS!$A:$D,MATCH(FORNECEDOR!A297,PEDIDOS!$A:$A,0),4)</f>
        <v>#N/A</v>
      </c>
    </row>
    <row r="298" spans="1:5" hidden="1" x14ac:dyDescent="0.25">
      <c r="A298" s="1" t="s">
        <v>297</v>
      </c>
      <c r="B298" s="3">
        <f>COUNTIF(PEDIDOS!$A:$A,FORNECEDOR!A298)</f>
        <v>0</v>
      </c>
      <c r="C298" s="3" t="e">
        <f>INDEX(PEDIDOS!$A:$D,MATCH(FORNECEDOR!A298,PEDIDOS!$A:$A,0),2)</f>
        <v>#N/A</v>
      </c>
      <c r="D298" s="3" t="e">
        <f>INDEX(PEDIDOS!$A:$D,MATCH(FORNECEDOR!A298,PEDIDOS!$A:$A,0),3)</f>
        <v>#N/A</v>
      </c>
      <c r="E298" s="3" t="e">
        <f>INDEX(PEDIDOS!$A:$D,MATCH(FORNECEDOR!A298,PEDIDOS!$A:$A,0),4)</f>
        <v>#N/A</v>
      </c>
    </row>
    <row r="299" spans="1:5" hidden="1" x14ac:dyDescent="0.25">
      <c r="A299" s="1" t="s">
        <v>298</v>
      </c>
      <c r="B299" s="3">
        <f>COUNTIF(PEDIDOS!$A:$A,FORNECEDOR!A299)</f>
        <v>0</v>
      </c>
      <c r="C299" s="3" t="e">
        <f>INDEX(PEDIDOS!$A:$D,MATCH(FORNECEDOR!A299,PEDIDOS!$A:$A,0),2)</f>
        <v>#N/A</v>
      </c>
      <c r="D299" s="3" t="e">
        <f>INDEX(PEDIDOS!$A:$D,MATCH(FORNECEDOR!A299,PEDIDOS!$A:$A,0),3)</f>
        <v>#N/A</v>
      </c>
      <c r="E299" s="3" t="e">
        <f>INDEX(PEDIDOS!$A:$D,MATCH(FORNECEDOR!A299,PEDIDOS!$A:$A,0),4)</f>
        <v>#N/A</v>
      </c>
    </row>
    <row r="300" spans="1:5" hidden="1" x14ac:dyDescent="0.25">
      <c r="A300" s="1" t="s">
        <v>299</v>
      </c>
      <c r="B300" s="3">
        <f>COUNTIF(PEDIDOS!$A:$A,FORNECEDOR!A300)</f>
        <v>0</v>
      </c>
      <c r="C300" s="3" t="e">
        <f>INDEX(PEDIDOS!$A:$D,MATCH(FORNECEDOR!A300,PEDIDOS!$A:$A,0),2)</f>
        <v>#N/A</v>
      </c>
      <c r="D300" s="3" t="e">
        <f>INDEX(PEDIDOS!$A:$D,MATCH(FORNECEDOR!A300,PEDIDOS!$A:$A,0),3)</f>
        <v>#N/A</v>
      </c>
      <c r="E300" s="3" t="e">
        <f>INDEX(PEDIDOS!$A:$D,MATCH(FORNECEDOR!A300,PEDIDOS!$A:$A,0),4)</f>
        <v>#N/A</v>
      </c>
    </row>
    <row r="301" spans="1:5" x14ac:dyDescent="0.25">
      <c r="A301" s="1" t="s">
        <v>300</v>
      </c>
      <c r="B301" s="3">
        <f>COUNTIF(PEDIDOS!$A:$A,FORNECEDOR!A301)</f>
        <v>2</v>
      </c>
      <c r="C301" s="3" t="str">
        <f>INDEX(PEDIDOS!$A:$D,MATCH(FORNECEDOR!A301,PEDIDOS!$A:$A,0),2)</f>
        <v>CD REGIS</v>
      </c>
      <c r="D301" s="3" t="str">
        <f>INDEX(PEDIDOS!$A:$D,MATCH(FORNECEDOR!A301,PEDIDOS!$A:$A,0),3)</f>
        <v>MATRIZ</v>
      </c>
      <c r="E301" s="3" t="str">
        <f>INDEX(PEDIDOS!$A:$D,MATCH(FORNECEDOR!A301,PEDIDOS!$A:$A,0),4)</f>
        <v>CD REGIS</v>
      </c>
    </row>
    <row r="302" spans="1:5" hidden="1" x14ac:dyDescent="0.25">
      <c r="A302" s="1" t="s">
        <v>301</v>
      </c>
      <c r="B302" s="3">
        <f>COUNTIF(PEDIDOS!$A:$A,FORNECEDOR!A302)</f>
        <v>0</v>
      </c>
      <c r="C302" s="3" t="e">
        <f>INDEX(PEDIDOS!$A:$D,MATCH(FORNECEDOR!A302,PEDIDOS!$A:$A,0),2)</f>
        <v>#N/A</v>
      </c>
      <c r="D302" s="3" t="e">
        <f>INDEX(PEDIDOS!$A:$D,MATCH(FORNECEDOR!A302,PEDIDOS!$A:$A,0),3)</f>
        <v>#N/A</v>
      </c>
      <c r="E302" s="3" t="e">
        <f>INDEX(PEDIDOS!$A:$D,MATCH(FORNECEDOR!A302,PEDIDOS!$A:$A,0),4)</f>
        <v>#N/A</v>
      </c>
    </row>
    <row r="303" spans="1:5" hidden="1" x14ac:dyDescent="0.25">
      <c r="A303" s="1" t="s">
        <v>302</v>
      </c>
      <c r="B303" s="3">
        <f>COUNTIF(PEDIDOS!$A:$A,FORNECEDOR!A303)</f>
        <v>0</v>
      </c>
      <c r="C303" s="3" t="e">
        <f>INDEX(PEDIDOS!$A:$D,MATCH(FORNECEDOR!A303,PEDIDOS!$A:$A,0),2)</f>
        <v>#N/A</v>
      </c>
      <c r="D303" s="3" t="e">
        <f>INDEX(PEDIDOS!$A:$D,MATCH(FORNECEDOR!A303,PEDIDOS!$A:$A,0),3)</f>
        <v>#N/A</v>
      </c>
      <c r="E303" s="3" t="e">
        <f>INDEX(PEDIDOS!$A:$D,MATCH(FORNECEDOR!A303,PEDIDOS!$A:$A,0),4)</f>
        <v>#N/A</v>
      </c>
    </row>
    <row r="304" spans="1:5" hidden="1" x14ac:dyDescent="0.25">
      <c r="A304" s="1" t="s">
        <v>303</v>
      </c>
      <c r="B304" s="3">
        <f>COUNTIF(PEDIDOS!$A:$A,FORNECEDOR!A304)</f>
        <v>0</v>
      </c>
      <c r="C304" s="3" t="e">
        <f>INDEX(PEDIDOS!$A:$D,MATCH(FORNECEDOR!A304,PEDIDOS!$A:$A,0),2)</f>
        <v>#N/A</v>
      </c>
      <c r="D304" s="3" t="e">
        <f>INDEX(PEDIDOS!$A:$D,MATCH(FORNECEDOR!A304,PEDIDOS!$A:$A,0),3)</f>
        <v>#N/A</v>
      </c>
      <c r="E304" s="3" t="e">
        <f>INDEX(PEDIDOS!$A:$D,MATCH(FORNECEDOR!A304,PEDIDOS!$A:$A,0),4)</f>
        <v>#N/A</v>
      </c>
    </row>
    <row r="305" spans="1:5" hidden="1" x14ac:dyDescent="0.25">
      <c r="A305" s="1" t="s">
        <v>304</v>
      </c>
      <c r="B305" s="3">
        <f>COUNTIF(PEDIDOS!$A:$A,FORNECEDOR!A305)</f>
        <v>0</v>
      </c>
      <c r="C305" s="3" t="e">
        <f>INDEX(PEDIDOS!$A:$D,MATCH(FORNECEDOR!A305,PEDIDOS!$A:$A,0),2)</f>
        <v>#N/A</v>
      </c>
      <c r="D305" s="3" t="e">
        <f>INDEX(PEDIDOS!$A:$D,MATCH(FORNECEDOR!A305,PEDIDOS!$A:$A,0),3)</f>
        <v>#N/A</v>
      </c>
      <c r="E305" s="3" t="e">
        <f>INDEX(PEDIDOS!$A:$D,MATCH(FORNECEDOR!A305,PEDIDOS!$A:$A,0),4)</f>
        <v>#N/A</v>
      </c>
    </row>
    <row r="306" spans="1:5" hidden="1" x14ac:dyDescent="0.25">
      <c r="A306" s="1" t="s">
        <v>305</v>
      </c>
      <c r="B306" s="3">
        <f>COUNTIF(PEDIDOS!$A:$A,FORNECEDOR!A306)</f>
        <v>0</v>
      </c>
      <c r="C306" s="3" t="e">
        <f>INDEX(PEDIDOS!$A:$D,MATCH(FORNECEDOR!A306,PEDIDOS!$A:$A,0),2)</f>
        <v>#N/A</v>
      </c>
      <c r="D306" s="3" t="e">
        <f>INDEX(PEDIDOS!$A:$D,MATCH(FORNECEDOR!A306,PEDIDOS!$A:$A,0),3)</f>
        <v>#N/A</v>
      </c>
      <c r="E306" s="3" t="e">
        <f>INDEX(PEDIDOS!$A:$D,MATCH(FORNECEDOR!A306,PEDIDOS!$A:$A,0),4)</f>
        <v>#N/A</v>
      </c>
    </row>
    <row r="307" spans="1:5" x14ac:dyDescent="0.25">
      <c r="A307" s="1" t="s">
        <v>306</v>
      </c>
      <c r="B307" s="3">
        <f>COUNTIF(PEDIDOS!$A:$A,FORNECEDOR!A307)</f>
        <v>1</v>
      </c>
      <c r="C307" s="3" t="str">
        <f>INDEX(PEDIDOS!$A:$D,MATCH(FORNECEDOR!A307,PEDIDOS!$A:$A,0),2)</f>
        <v>CD ARAQUARI</v>
      </c>
      <c r="D307" s="3" t="str">
        <f>INDEX(PEDIDOS!$A:$D,MATCH(FORNECEDOR!A307,PEDIDOS!$A:$A,0),3)</f>
        <v>MATRIZ</v>
      </c>
      <c r="E307" s="3" t="str">
        <f>INDEX(PEDIDOS!$A:$D,MATCH(FORNECEDOR!A307,PEDIDOS!$A:$A,0),4)</f>
        <v>CD ARAQUARI</v>
      </c>
    </row>
    <row r="308" spans="1:5" hidden="1" x14ac:dyDescent="0.25">
      <c r="A308" s="1" t="s">
        <v>307</v>
      </c>
      <c r="B308" s="3">
        <f>COUNTIF(PEDIDOS!$A:$A,FORNECEDOR!A308)</f>
        <v>0</v>
      </c>
      <c r="C308" s="3" t="e">
        <f>INDEX(PEDIDOS!$A:$D,MATCH(FORNECEDOR!A308,PEDIDOS!$A:$A,0),2)</f>
        <v>#N/A</v>
      </c>
      <c r="D308" s="3" t="e">
        <f>INDEX(PEDIDOS!$A:$D,MATCH(FORNECEDOR!A308,PEDIDOS!$A:$A,0),3)</f>
        <v>#N/A</v>
      </c>
      <c r="E308" s="3" t="e">
        <f>INDEX(PEDIDOS!$A:$D,MATCH(FORNECEDOR!A308,PEDIDOS!$A:$A,0),4)</f>
        <v>#N/A</v>
      </c>
    </row>
    <row r="309" spans="1:5" hidden="1" x14ac:dyDescent="0.25">
      <c r="A309" s="1" t="s">
        <v>308</v>
      </c>
      <c r="B309" s="3">
        <f>COUNTIF(PEDIDOS!$A:$A,FORNECEDOR!A309)</f>
        <v>0</v>
      </c>
      <c r="C309" s="3" t="e">
        <f>INDEX(PEDIDOS!$A:$D,MATCH(FORNECEDOR!A309,PEDIDOS!$A:$A,0),2)</f>
        <v>#N/A</v>
      </c>
      <c r="D309" s="3" t="e">
        <f>INDEX(PEDIDOS!$A:$D,MATCH(FORNECEDOR!A309,PEDIDOS!$A:$A,0),3)</f>
        <v>#N/A</v>
      </c>
      <c r="E309" s="3" t="e">
        <f>INDEX(PEDIDOS!$A:$D,MATCH(FORNECEDOR!A309,PEDIDOS!$A:$A,0),4)</f>
        <v>#N/A</v>
      </c>
    </row>
    <row r="310" spans="1:5" x14ac:dyDescent="0.25">
      <c r="A310" s="1" t="s">
        <v>309</v>
      </c>
      <c r="B310" s="3">
        <f>COUNTIF(PEDIDOS!$A:$A,FORNECEDOR!A310)</f>
        <v>2</v>
      </c>
      <c r="C310" s="3" t="str">
        <f>INDEX(PEDIDOS!$A:$D,MATCH(FORNECEDOR!A310,PEDIDOS!$A:$A,0),2)</f>
        <v>CD REGIS</v>
      </c>
      <c r="D310" s="3" t="str">
        <f>INDEX(PEDIDOS!$A:$D,MATCH(FORNECEDOR!A310,PEDIDOS!$A:$A,0),3)</f>
        <v>MATRIZ</v>
      </c>
      <c r="E310" s="3" t="str">
        <f>INDEX(PEDIDOS!$A:$D,MATCH(FORNECEDOR!A310,PEDIDOS!$A:$A,0),4)</f>
        <v>CD REGIS</v>
      </c>
    </row>
    <row r="311" spans="1:5" x14ac:dyDescent="0.25">
      <c r="A311" s="1" t="s">
        <v>310</v>
      </c>
      <c r="B311" s="3">
        <f>COUNTIF(PEDIDOS!$A:$A,FORNECEDOR!A311)</f>
        <v>4</v>
      </c>
      <c r="C311" s="3" t="str">
        <f>INDEX(PEDIDOS!$A:$D,MATCH(FORNECEDOR!A311,PEDIDOS!$A:$A,0),2)</f>
        <v>CD NAVEGANTES</v>
      </c>
      <c r="D311" s="3" t="str">
        <f>INDEX(PEDIDOS!$A:$D,MATCH(FORNECEDOR!A311,PEDIDOS!$A:$A,0),3)</f>
        <v>MATRIZ</v>
      </c>
      <c r="E311" s="3" t="str">
        <f>INDEX(PEDIDOS!$A:$D,MATCH(FORNECEDOR!A311,PEDIDOS!$A:$A,0),4)</f>
        <v>CD NAVEGANTES</v>
      </c>
    </row>
    <row r="312" spans="1:5" hidden="1" x14ac:dyDescent="0.25">
      <c r="A312" s="1" t="s">
        <v>311</v>
      </c>
      <c r="B312" s="3">
        <f>COUNTIF(PEDIDOS!$A:$A,FORNECEDOR!A312)</f>
        <v>0</v>
      </c>
      <c r="C312" s="3" t="e">
        <f>INDEX(PEDIDOS!$A:$D,MATCH(FORNECEDOR!A312,PEDIDOS!$A:$A,0),2)</f>
        <v>#N/A</v>
      </c>
      <c r="D312" s="3" t="e">
        <f>INDEX(PEDIDOS!$A:$D,MATCH(FORNECEDOR!A312,PEDIDOS!$A:$A,0),3)</f>
        <v>#N/A</v>
      </c>
      <c r="E312" s="3" t="e">
        <f>INDEX(PEDIDOS!$A:$D,MATCH(FORNECEDOR!A312,PEDIDOS!$A:$A,0),4)</f>
        <v>#N/A</v>
      </c>
    </row>
    <row r="313" spans="1:5" x14ac:dyDescent="0.25">
      <c r="A313" s="1" t="s">
        <v>312</v>
      </c>
      <c r="B313" s="3">
        <f>COUNTIF(PEDIDOS!$A:$A,FORNECEDOR!A313)</f>
        <v>2</v>
      </c>
      <c r="C313" s="3" t="str">
        <f>INDEX(PEDIDOS!$A:$D,MATCH(FORNECEDOR!A313,PEDIDOS!$A:$A,0),2)</f>
        <v>CD REGIS</v>
      </c>
      <c r="D313" s="3" t="str">
        <f>INDEX(PEDIDOS!$A:$D,MATCH(FORNECEDOR!A313,PEDIDOS!$A:$A,0),3)</f>
        <v>MATRIZ</v>
      </c>
      <c r="E313" s="3" t="str">
        <f>INDEX(PEDIDOS!$A:$D,MATCH(FORNECEDOR!A313,PEDIDOS!$A:$A,0),4)</f>
        <v>CD REGIS</v>
      </c>
    </row>
    <row r="314" spans="1:5" hidden="1" x14ac:dyDescent="0.25">
      <c r="A314" s="1" t="s">
        <v>313</v>
      </c>
      <c r="B314" s="3">
        <f>COUNTIF(PEDIDOS!$A:$A,FORNECEDOR!A314)</f>
        <v>0</v>
      </c>
      <c r="C314" s="3" t="e">
        <f>INDEX(PEDIDOS!$A:$D,MATCH(FORNECEDOR!A314,PEDIDOS!$A:$A,0),2)</f>
        <v>#N/A</v>
      </c>
      <c r="D314" s="3" t="e">
        <f>INDEX(PEDIDOS!$A:$D,MATCH(FORNECEDOR!A314,PEDIDOS!$A:$A,0),3)</f>
        <v>#N/A</v>
      </c>
      <c r="E314" s="3" t="e">
        <f>INDEX(PEDIDOS!$A:$D,MATCH(FORNECEDOR!A314,PEDIDOS!$A:$A,0),4)</f>
        <v>#N/A</v>
      </c>
    </row>
    <row r="315" spans="1:5" hidden="1" x14ac:dyDescent="0.25">
      <c r="A315" s="1" t="s">
        <v>314</v>
      </c>
      <c r="B315" s="3">
        <f>COUNTIF(PEDIDOS!$A:$A,FORNECEDOR!A315)</f>
        <v>0</v>
      </c>
      <c r="C315" s="3" t="e">
        <f>INDEX(PEDIDOS!$A:$D,MATCH(FORNECEDOR!A315,PEDIDOS!$A:$A,0),2)</f>
        <v>#N/A</v>
      </c>
      <c r="D315" s="3" t="e">
        <f>INDEX(PEDIDOS!$A:$D,MATCH(FORNECEDOR!A315,PEDIDOS!$A:$A,0),3)</f>
        <v>#N/A</v>
      </c>
      <c r="E315" s="3" t="e">
        <f>INDEX(PEDIDOS!$A:$D,MATCH(FORNECEDOR!A315,PEDIDOS!$A:$A,0),4)</f>
        <v>#N/A</v>
      </c>
    </row>
    <row r="316" spans="1:5" x14ac:dyDescent="0.25">
      <c r="A316" s="1" t="s">
        <v>315</v>
      </c>
      <c r="B316" s="3">
        <f>COUNTIF(PEDIDOS!$A:$A,FORNECEDOR!A316)</f>
        <v>2</v>
      </c>
      <c r="C316" s="3" t="str">
        <f>INDEX(PEDIDOS!$A:$D,MATCH(FORNECEDOR!A316,PEDIDOS!$A:$A,0),2)</f>
        <v>CD REGIS</v>
      </c>
      <c r="D316" s="3" t="str">
        <f>INDEX(PEDIDOS!$A:$D,MATCH(FORNECEDOR!A316,PEDIDOS!$A:$A,0),3)</f>
        <v>MATRIZ</v>
      </c>
      <c r="E316" s="3" t="str">
        <f>INDEX(PEDIDOS!$A:$D,MATCH(FORNECEDOR!A316,PEDIDOS!$A:$A,0),4)</f>
        <v>CD REGIS</v>
      </c>
    </row>
    <row r="317" spans="1:5" hidden="1" x14ac:dyDescent="0.25">
      <c r="A317" s="1" t="s">
        <v>316</v>
      </c>
      <c r="B317" s="3">
        <f>COUNTIF(PEDIDOS!$A:$A,FORNECEDOR!A317)</f>
        <v>0</v>
      </c>
      <c r="C317" s="3" t="e">
        <f>INDEX(PEDIDOS!$A:$D,MATCH(FORNECEDOR!A317,PEDIDOS!$A:$A,0),2)</f>
        <v>#N/A</v>
      </c>
      <c r="D317" s="3" t="e">
        <f>INDEX(PEDIDOS!$A:$D,MATCH(FORNECEDOR!A317,PEDIDOS!$A:$A,0),3)</f>
        <v>#N/A</v>
      </c>
      <c r="E317" s="3" t="e">
        <f>INDEX(PEDIDOS!$A:$D,MATCH(FORNECEDOR!A317,PEDIDOS!$A:$A,0),4)</f>
        <v>#N/A</v>
      </c>
    </row>
    <row r="318" spans="1:5" hidden="1" x14ac:dyDescent="0.25">
      <c r="A318" s="1" t="s">
        <v>317</v>
      </c>
      <c r="B318" s="3">
        <f>COUNTIF(PEDIDOS!$A:$A,FORNECEDOR!A318)</f>
        <v>0</v>
      </c>
      <c r="C318" s="3" t="e">
        <f>INDEX(PEDIDOS!$A:$D,MATCH(FORNECEDOR!A318,PEDIDOS!$A:$A,0),2)</f>
        <v>#N/A</v>
      </c>
      <c r="D318" s="3" t="e">
        <f>INDEX(PEDIDOS!$A:$D,MATCH(FORNECEDOR!A318,PEDIDOS!$A:$A,0),3)</f>
        <v>#N/A</v>
      </c>
      <c r="E318" s="3" t="e">
        <f>INDEX(PEDIDOS!$A:$D,MATCH(FORNECEDOR!A318,PEDIDOS!$A:$A,0),4)</f>
        <v>#N/A</v>
      </c>
    </row>
    <row r="319" spans="1:5" hidden="1" x14ac:dyDescent="0.25">
      <c r="A319" s="1" t="s">
        <v>318</v>
      </c>
      <c r="B319" s="3">
        <f>COUNTIF(PEDIDOS!$A:$A,FORNECEDOR!A319)</f>
        <v>0</v>
      </c>
      <c r="C319" s="3" t="e">
        <f>INDEX(PEDIDOS!$A:$D,MATCH(FORNECEDOR!A319,PEDIDOS!$A:$A,0),2)</f>
        <v>#N/A</v>
      </c>
      <c r="D319" s="3" t="e">
        <f>INDEX(PEDIDOS!$A:$D,MATCH(FORNECEDOR!A319,PEDIDOS!$A:$A,0),3)</f>
        <v>#N/A</v>
      </c>
      <c r="E319" s="3" t="e">
        <f>INDEX(PEDIDOS!$A:$D,MATCH(FORNECEDOR!A319,PEDIDOS!$A:$A,0),4)</f>
        <v>#N/A</v>
      </c>
    </row>
    <row r="320" spans="1:5" hidden="1" x14ac:dyDescent="0.25">
      <c r="A320" s="1" t="s">
        <v>319</v>
      </c>
      <c r="B320" s="3">
        <f>COUNTIF(PEDIDOS!$A:$A,FORNECEDOR!A320)</f>
        <v>0</v>
      </c>
      <c r="C320" s="3" t="e">
        <f>INDEX(PEDIDOS!$A:$D,MATCH(FORNECEDOR!A320,PEDIDOS!$A:$A,0),2)</f>
        <v>#N/A</v>
      </c>
      <c r="D320" s="3" t="e">
        <f>INDEX(PEDIDOS!$A:$D,MATCH(FORNECEDOR!A320,PEDIDOS!$A:$A,0),3)</f>
        <v>#N/A</v>
      </c>
      <c r="E320" s="3" t="e">
        <f>INDEX(PEDIDOS!$A:$D,MATCH(FORNECEDOR!A320,PEDIDOS!$A:$A,0),4)</f>
        <v>#N/A</v>
      </c>
    </row>
    <row r="321" spans="1:5" hidden="1" x14ac:dyDescent="0.25">
      <c r="A321" s="1" t="s">
        <v>320</v>
      </c>
      <c r="B321" s="3">
        <f>COUNTIF(PEDIDOS!$A:$A,FORNECEDOR!A321)</f>
        <v>0</v>
      </c>
      <c r="C321" s="3" t="e">
        <f>INDEX(PEDIDOS!$A:$D,MATCH(FORNECEDOR!A321,PEDIDOS!$A:$A,0),2)</f>
        <v>#N/A</v>
      </c>
      <c r="D321" s="3" t="e">
        <f>INDEX(PEDIDOS!$A:$D,MATCH(FORNECEDOR!A321,PEDIDOS!$A:$A,0),3)</f>
        <v>#N/A</v>
      </c>
      <c r="E321" s="3" t="e">
        <f>INDEX(PEDIDOS!$A:$D,MATCH(FORNECEDOR!A321,PEDIDOS!$A:$A,0),4)</f>
        <v>#N/A</v>
      </c>
    </row>
    <row r="322" spans="1:5" hidden="1" x14ac:dyDescent="0.25">
      <c r="A322" s="1" t="s">
        <v>321</v>
      </c>
      <c r="B322" s="3">
        <f>COUNTIF(PEDIDOS!$A:$A,FORNECEDOR!A322)</f>
        <v>0</v>
      </c>
      <c r="C322" s="3" t="e">
        <f>INDEX(PEDIDOS!$A:$D,MATCH(FORNECEDOR!A322,PEDIDOS!$A:$A,0),2)</f>
        <v>#N/A</v>
      </c>
      <c r="D322" s="3" t="e">
        <f>INDEX(PEDIDOS!$A:$D,MATCH(FORNECEDOR!A322,PEDIDOS!$A:$A,0),3)</f>
        <v>#N/A</v>
      </c>
      <c r="E322" s="3" t="e">
        <f>INDEX(PEDIDOS!$A:$D,MATCH(FORNECEDOR!A322,PEDIDOS!$A:$A,0),4)</f>
        <v>#N/A</v>
      </c>
    </row>
    <row r="323" spans="1:5" hidden="1" x14ac:dyDescent="0.25">
      <c r="A323" s="1" t="s">
        <v>322</v>
      </c>
      <c r="B323" s="3">
        <f>COUNTIF(PEDIDOS!$A:$A,FORNECEDOR!A323)</f>
        <v>0</v>
      </c>
      <c r="C323" s="3" t="e">
        <f>INDEX(PEDIDOS!$A:$D,MATCH(FORNECEDOR!A323,PEDIDOS!$A:$A,0),2)</f>
        <v>#N/A</v>
      </c>
      <c r="D323" s="3" t="e">
        <f>INDEX(PEDIDOS!$A:$D,MATCH(FORNECEDOR!A323,PEDIDOS!$A:$A,0),3)</f>
        <v>#N/A</v>
      </c>
      <c r="E323" s="3" t="e">
        <f>INDEX(PEDIDOS!$A:$D,MATCH(FORNECEDOR!A323,PEDIDOS!$A:$A,0),4)</f>
        <v>#N/A</v>
      </c>
    </row>
    <row r="324" spans="1:5" x14ac:dyDescent="0.25">
      <c r="A324" s="1" t="s">
        <v>323</v>
      </c>
      <c r="B324" s="3">
        <f>COUNTIF(PEDIDOS!$A:$A,FORNECEDOR!A324)</f>
        <v>1</v>
      </c>
      <c r="C324" s="3" t="str">
        <f>INDEX(PEDIDOS!$A:$D,MATCH(FORNECEDOR!A324,PEDIDOS!$A:$A,0),2)</f>
        <v>CD REGIS</v>
      </c>
      <c r="D324" s="3" t="str">
        <f>INDEX(PEDIDOS!$A:$D,MATCH(FORNECEDOR!A324,PEDIDOS!$A:$A,0),3)</f>
        <v>TATUAPE</v>
      </c>
      <c r="E324" s="3" t="str">
        <f>INDEX(PEDIDOS!$A:$D,MATCH(FORNECEDOR!A324,PEDIDOS!$A:$A,0),4)</f>
        <v>CD REGIS</v>
      </c>
    </row>
    <row r="325" spans="1:5" hidden="1" x14ac:dyDescent="0.25">
      <c r="A325" s="1" t="s">
        <v>324</v>
      </c>
      <c r="B325" s="3">
        <f>COUNTIF(PEDIDOS!$A:$A,FORNECEDOR!A325)</f>
        <v>0</v>
      </c>
      <c r="C325" s="3" t="e">
        <f>INDEX(PEDIDOS!$A:$D,MATCH(FORNECEDOR!A325,PEDIDOS!$A:$A,0),2)</f>
        <v>#N/A</v>
      </c>
      <c r="D325" s="3" t="e">
        <f>INDEX(PEDIDOS!$A:$D,MATCH(FORNECEDOR!A325,PEDIDOS!$A:$A,0),3)</f>
        <v>#N/A</v>
      </c>
      <c r="E325" s="3" t="e">
        <f>INDEX(PEDIDOS!$A:$D,MATCH(FORNECEDOR!A325,PEDIDOS!$A:$A,0),4)</f>
        <v>#N/A</v>
      </c>
    </row>
    <row r="326" spans="1:5" hidden="1" x14ac:dyDescent="0.25">
      <c r="A326" s="1" t="s">
        <v>325</v>
      </c>
      <c r="B326" s="3">
        <f>COUNTIF(PEDIDOS!$A:$A,FORNECEDOR!A326)</f>
        <v>0</v>
      </c>
      <c r="C326" s="3" t="e">
        <f>INDEX(PEDIDOS!$A:$D,MATCH(FORNECEDOR!A326,PEDIDOS!$A:$A,0),2)</f>
        <v>#N/A</v>
      </c>
      <c r="D326" s="3" t="e">
        <f>INDEX(PEDIDOS!$A:$D,MATCH(FORNECEDOR!A326,PEDIDOS!$A:$A,0),3)</f>
        <v>#N/A</v>
      </c>
      <c r="E326" s="3" t="e">
        <f>INDEX(PEDIDOS!$A:$D,MATCH(FORNECEDOR!A326,PEDIDOS!$A:$A,0),4)</f>
        <v>#N/A</v>
      </c>
    </row>
    <row r="327" spans="1:5" hidden="1" x14ac:dyDescent="0.25">
      <c r="A327" s="1" t="s">
        <v>326</v>
      </c>
      <c r="B327" s="3">
        <f>COUNTIF(PEDIDOS!$A:$A,FORNECEDOR!A327)</f>
        <v>0</v>
      </c>
      <c r="C327" s="3" t="e">
        <f>INDEX(PEDIDOS!$A:$D,MATCH(FORNECEDOR!A327,PEDIDOS!$A:$A,0),2)</f>
        <v>#N/A</v>
      </c>
      <c r="D327" s="3" t="e">
        <f>INDEX(PEDIDOS!$A:$D,MATCH(FORNECEDOR!A327,PEDIDOS!$A:$A,0),3)</f>
        <v>#N/A</v>
      </c>
      <c r="E327" s="3" t="e">
        <f>INDEX(PEDIDOS!$A:$D,MATCH(FORNECEDOR!A327,PEDIDOS!$A:$A,0),4)</f>
        <v>#N/A</v>
      </c>
    </row>
    <row r="328" spans="1:5" x14ac:dyDescent="0.25">
      <c r="A328" s="1" t="s">
        <v>327</v>
      </c>
      <c r="B328" s="3">
        <f>COUNTIF(PEDIDOS!$A:$A,FORNECEDOR!A328)</f>
        <v>1</v>
      </c>
      <c r="C328" s="3" t="str">
        <f>INDEX(PEDIDOS!$A:$D,MATCH(FORNECEDOR!A328,PEDIDOS!$A:$A,0),2)</f>
        <v>AVANTI- ADM C.CREDITO</v>
      </c>
      <c r="D328" s="3" t="str">
        <f>INDEX(PEDIDOS!$A:$D,MATCH(FORNECEDOR!A328,PEDIDOS!$A:$A,0),3)</f>
        <v>AVANTI- ADM C.CREDITO</v>
      </c>
      <c r="E328" s="3" t="str">
        <f>INDEX(PEDIDOS!$A:$D,MATCH(FORNECEDOR!A328,PEDIDOS!$A:$A,0),4)</f>
        <v>AVANTI- ADM C.CREDITO</v>
      </c>
    </row>
    <row r="329" spans="1:5" hidden="1" x14ac:dyDescent="0.25">
      <c r="A329" s="1" t="s">
        <v>328</v>
      </c>
      <c r="B329" s="3">
        <f>COUNTIF(PEDIDOS!$A:$A,FORNECEDOR!A329)</f>
        <v>0</v>
      </c>
      <c r="C329" s="3" t="e">
        <f>INDEX(PEDIDOS!$A:$D,MATCH(FORNECEDOR!A329,PEDIDOS!$A:$A,0),2)</f>
        <v>#N/A</v>
      </c>
      <c r="D329" s="3" t="e">
        <f>INDEX(PEDIDOS!$A:$D,MATCH(FORNECEDOR!A329,PEDIDOS!$A:$A,0),3)</f>
        <v>#N/A</v>
      </c>
      <c r="E329" s="3" t="e">
        <f>INDEX(PEDIDOS!$A:$D,MATCH(FORNECEDOR!A329,PEDIDOS!$A:$A,0),4)</f>
        <v>#N/A</v>
      </c>
    </row>
    <row r="330" spans="1:5" hidden="1" x14ac:dyDescent="0.25">
      <c r="A330" s="1" t="s">
        <v>329</v>
      </c>
      <c r="B330" s="3">
        <f>COUNTIF(PEDIDOS!$A:$A,FORNECEDOR!A330)</f>
        <v>0</v>
      </c>
      <c r="C330" s="3" t="e">
        <f>INDEX(PEDIDOS!$A:$D,MATCH(FORNECEDOR!A330,PEDIDOS!$A:$A,0),2)</f>
        <v>#N/A</v>
      </c>
      <c r="D330" s="3" t="e">
        <f>INDEX(PEDIDOS!$A:$D,MATCH(FORNECEDOR!A330,PEDIDOS!$A:$A,0),3)</f>
        <v>#N/A</v>
      </c>
      <c r="E330" s="3" t="e">
        <f>INDEX(PEDIDOS!$A:$D,MATCH(FORNECEDOR!A330,PEDIDOS!$A:$A,0),4)</f>
        <v>#N/A</v>
      </c>
    </row>
    <row r="331" spans="1:5" hidden="1" x14ac:dyDescent="0.25">
      <c r="A331" s="1" t="s">
        <v>330</v>
      </c>
      <c r="B331" s="3">
        <f>COUNTIF(PEDIDOS!$A:$A,FORNECEDOR!A331)</f>
        <v>0</v>
      </c>
      <c r="C331" s="3" t="e">
        <f>INDEX(PEDIDOS!$A:$D,MATCH(FORNECEDOR!A331,PEDIDOS!$A:$A,0),2)</f>
        <v>#N/A</v>
      </c>
      <c r="D331" s="3" t="e">
        <f>INDEX(PEDIDOS!$A:$D,MATCH(FORNECEDOR!A331,PEDIDOS!$A:$A,0),3)</f>
        <v>#N/A</v>
      </c>
      <c r="E331" s="3" t="e">
        <f>INDEX(PEDIDOS!$A:$D,MATCH(FORNECEDOR!A331,PEDIDOS!$A:$A,0),4)</f>
        <v>#N/A</v>
      </c>
    </row>
    <row r="332" spans="1:5" hidden="1" x14ac:dyDescent="0.25">
      <c r="A332" s="1" t="s">
        <v>331</v>
      </c>
      <c r="B332" s="3">
        <f>COUNTIF(PEDIDOS!$A:$A,FORNECEDOR!A332)</f>
        <v>0</v>
      </c>
      <c r="C332" s="3" t="e">
        <f>INDEX(PEDIDOS!$A:$D,MATCH(FORNECEDOR!A332,PEDIDOS!$A:$A,0),2)</f>
        <v>#N/A</v>
      </c>
      <c r="D332" s="3" t="e">
        <f>INDEX(PEDIDOS!$A:$D,MATCH(FORNECEDOR!A332,PEDIDOS!$A:$A,0),3)</f>
        <v>#N/A</v>
      </c>
      <c r="E332" s="3" t="e">
        <f>INDEX(PEDIDOS!$A:$D,MATCH(FORNECEDOR!A332,PEDIDOS!$A:$A,0),4)</f>
        <v>#N/A</v>
      </c>
    </row>
    <row r="333" spans="1:5" hidden="1" x14ac:dyDescent="0.25">
      <c r="A333" s="1" t="s">
        <v>332</v>
      </c>
      <c r="B333" s="3">
        <f>COUNTIF(PEDIDOS!$A:$A,FORNECEDOR!A333)</f>
        <v>0</v>
      </c>
      <c r="C333" s="3" t="e">
        <f>INDEX(PEDIDOS!$A:$D,MATCH(FORNECEDOR!A333,PEDIDOS!$A:$A,0),2)</f>
        <v>#N/A</v>
      </c>
      <c r="D333" s="3" t="e">
        <f>INDEX(PEDIDOS!$A:$D,MATCH(FORNECEDOR!A333,PEDIDOS!$A:$A,0),3)</f>
        <v>#N/A</v>
      </c>
      <c r="E333" s="3" t="e">
        <f>INDEX(PEDIDOS!$A:$D,MATCH(FORNECEDOR!A333,PEDIDOS!$A:$A,0),4)</f>
        <v>#N/A</v>
      </c>
    </row>
    <row r="334" spans="1:5" hidden="1" x14ac:dyDescent="0.25">
      <c r="A334" s="1" t="s">
        <v>333</v>
      </c>
      <c r="B334" s="3">
        <f>COUNTIF(PEDIDOS!$A:$A,FORNECEDOR!A334)</f>
        <v>0</v>
      </c>
      <c r="C334" s="3" t="e">
        <f>INDEX(PEDIDOS!$A:$D,MATCH(FORNECEDOR!A334,PEDIDOS!$A:$A,0),2)</f>
        <v>#N/A</v>
      </c>
      <c r="D334" s="3" t="e">
        <f>INDEX(PEDIDOS!$A:$D,MATCH(FORNECEDOR!A334,PEDIDOS!$A:$A,0),3)</f>
        <v>#N/A</v>
      </c>
      <c r="E334" s="3" t="e">
        <f>INDEX(PEDIDOS!$A:$D,MATCH(FORNECEDOR!A334,PEDIDOS!$A:$A,0),4)</f>
        <v>#N/A</v>
      </c>
    </row>
    <row r="335" spans="1:5" hidden="1" x14ac:dyDescent="0.25">
      <c r="A335" s="1" t="s">
        <v>334</v>
      </c>
      <c r="B335" s="3">
        <f>COUNTIF(PEDIDOS!$A:$A,FORNECEDOR!A335)</f>
        <v>0</v>
      </c>
      <c r="C335" s="3" t="e">
        <f>INDEX(PEDIDOS!$A:$D,MATCH(FORNECEDOR!A335,PEDIDOS!$A:$A,0),2)</f>
        <v>#N/A</v>
      </c>
      <c r="D335" s="3" t="e">
        <f>INDEX(PEDIDOS!$A:$D,MATCH(FORNECEDOR!A335,PEDIDOS!$A:$A,0),3)</f>
        <v>#N/A</v>
      </c>
      <c r="E335" s="3" t="e">
        <f>INDEX(PEDIDOS!$A:$D,MATCH(FORNECEDOR!A335,PEDIDOS!$A:$A,0),4)</f>
        <v>#N/A</v>
      </c>
    </row>
    <row r="336" spans="1:5" hidden="1" x14ac:dyDescent="0.25">
      <c r="A336" s="1" t="s">
        <v>335</v>
      </c>
      <c r="B336" s="3">
        <f>COUNTIF(PEDIDOS!$A:$A,FORNECEDOR!A336)</f>
        <v>0</v>
      </c>
      <c r="C336" s="3" t="e">
        <f>INDEX(PEDIDOS!$A:$D,MATCH(FORNECEDOR!A336,PEDIDOS!$A:$A,0),2)</f>
        <v>#N/A</v>
      </c>
      <c r="D336" s="3" t="e">
        <f>INDEX(PEDIDOS!$A:$D,MATCH(FORNECEDOR!A336,PEDIDOS!$A:$A,0),3)</f>
        <v>#N/A</v>
      </c>
      <c r="E336" s="3" t="e">
        <f>INDEX(PEDIDOS!$A:$D,MATCH(FORNECEDOR!A336,PEDIDOS!$A:$A,0),4)</f>
        <v>#N/A</v>
      </c>
    </row>
    <row r="337" spans="1:5" x14ac:dyDescent="0.25">
      <c r="A337" s="1" t="s">
        <v>336</v>
      </c>
      <c r="B337" s="3">
        <f>COUNTIF(PEDIDOS!$A:$A,FORNECEDOR!A337)</f>
        <v>1</v>
      </c>
      <c r="C337" s="3" t="str">
        <f>INDEX(PEDIDOS!$A:$D,MATCH(FORNECEDOR!A337,PEDIDOS!$A:$A,0),2)</f>
        <v>CD REGIS</v>
      </c>
      <c r="D337" s="3" t="str">
        <f>INDEX(PEDIDOS!$A:$D,MATCH(FORNECEDOR!A337,PEDIDOS!$A:$A,0),3)</f>
        <v>TATUAPE</v>
      </c>
      <c r="E337" s="3" t="str">
        <f>INDEX(PEDIDOS!$A:$D,MATCH(FORNECEDOR!A337,PEDIDOS!$A:$A,0),4)</f>
        <v>CD REGIS</v>
      </c>
    </row>
    <row r="338" spans="1:5" hidden="1" x14ac:dyDescent="0.25">
      <c r="A338" s="1" t="s">
        <v>337</v>
      </c>
      <c r="B338" s="3">
        <f>COUNTIF(PEDIDOS!$A:$A,FORNECEDOR!A338)</f>
        <v>0</v>
      </c>
      <c r="C338" s="3" t="e">
        <f>INDEX(PEDIDOS!$A:$D,MATCH(FORNECEDOR!A338,PEDIDOS!$A:$A,0),2)</f>
        <v>#N/A</v>
      </c>
      <c r="D338" s="3" t="e">
        <f>INDEX(PEDIDOS!$A:$D,MATCH(FORNECEDOR!A338,PEDIDOS!$A:$A,0),3)</f>
        <v>#N/A</v>
      </c>
      <c r="E338" s="3" t="e">
        <f>INDEX(PEDIDOS!$A:$D,MATCH(FORNECEDOR!A338,PEDIDOS!$A:$A,0),4)</f>
        <v>#N/A</v>
      </c>
    </row>
    <row r="339" spans="1:5" hidden="1" x14ac:dyDescent="0.25">
      <c r="A339" s="1" t="s">
        <v>338</v>
      </c>
      <c r="B339" s="3">
        <f>COUNTIF(PEDIDOS!$A:$A,FORNECEDOR!A339)</f>
        <v>0</v>
      </c>
      <c r="C339" s="3" t="e">
        <f>INDEX(PEDIDOS!$A:$D,MATCH(FORNECEDOR!A339,PEDIDOS!$A:$A,0),2)</f>
        <v>#N/A</v>
      </c>
      <c r="D339" s="3" t="e">
        <f>INDEX(PEDIDOS!$A:$D,MATCH(FORNECEDOR!A339,PEDIDOS!$A:$A,0),3)</f>
        <v>#N/A</v>
      </c>
      <c r="E339" s="3" t="e">
        <f>INDEX(PEDIDOS!$A:$D,MATCH(FORNECEDOR!A339,PEDIDOS!$A:$A,0),4)</f>
        <v>#N/A</v>
      </c>
    </row>
    <row r="340" spans="1:5" x14ac:dyDescent="0.25">
      <c r="A340" s="1" t="s">
        <v>339</v>
      </c>
      <c r="B340" s="3">
        <f>COUNTIF(PEDIDOS!$A:$A,FORNECEDOR!A340)</f>
        <v>1</v>
      </c>
      <c r="C340" s="3" t="str">
        <f>INDEX(PEDIDOS!$A:$D,MATCH(FORNECEDOR!A340,PEDIDOS!$A:$A,0),2)</f>
        <v>CD REGIS</v>
      </c>
      <c r="D340" s="3" t="str">
        <f>INDEX(PEDIDOS!$A:$D,MATCH(FORNECEDOR!A340,PEDIDOS!$A:$A,0),3)</f>
        <v>TATUAPE</v>
      </c>
      <c r="E340" s="3" t="str">
        <f>INDEX(PEDIDOS!$A:$D,MATCH(FORNECEDOR!A340,PEDIDOS!$A:$A,0),4)</f>
        <v>CD REGIS</v>
      </c>
    </row>
    <row r="341" spans="1:5" x14ac:dyDescent="0.25">
      <c r="A341" s="1" t="s">
        <v>340</v>
      </c>
      <c r="B341" s="3">
        <f>COUNTIF(PEDIDOS!$A:$A,FORNECEDOR!A341)</f>
        <v>2</v>
      </c>
      <c r="C341" s="3" t="str">
        <f>INDEX(PEDIDOS!$A:$D,MATCH(FORNECEDOR!A341,PEDIDOS!$A:$A,0),2)</f>
        <v>CD REGIS</v>
      </c>
      <c r="D341" s="3" t="str">
        <f>INDEX(PEDIDOS!$A:$D,MATCH(FORNECEDOR!A341,PEDIDOS!$A:$A,0),3)</f>
        <v>MATRIZ</v>
      </c>
      <c r="E341" s="3" t="str">
        <f>INDEX(PEDIDOS!$A:$D,MATCH(FORNECEDOR!A341,PEDIDOS!$A:$A,0),4)</f>
        <v>CD REGIS</v>
      </c>
    </row>
    <row r="342" spans="1:5" x14ac:dyDescent="0.25">
      <c r="A342" s="1" t="s">
        <v>341</v>
      </c>
      <c r="B342" s="3">
        <f>COUNTIF(PEDIDOS!$A:$A,FORNECEDOR!A342)</f>
        <v>2</v>
      </c>
      <c r="C342" s="3" t="str">
        <f>INDEX(PEDIDOS!$A:$D,MATCH(FORNECEDOR!A342,PEDIDOS!$A:$A,0),2)</f>
        <v>CD REGIS</v>
      </c>
      <c r="D342" s="3" t="str">
        <f>INDEX(PEDIDOS!$A:$D,MATCH(FORNECEDOR!A342,PEDIDOS!$A:$A,0),3)</f>
        <v>MATRIZ</v>
      </c>
      <c r="E342" s="3" t="str">
        <f>INDEX(PEDIDOS!$A:$D,MATCH(FORNECEDOR!A342,PEDIDOS!$A:$A,0),4)</f>
        <v>CD REGIS</v>
      </c>
    </row>
    <row r="343" spans="1:5" hidden="1" x14ac:dyDescent="0.25">
      <c r="A343" s="1" t="s">
        <v>342</v>
      </c>
      <c r="B343" s="3">
        <f>COUNTIF(PEDIDOS!$A:$A,FORNECEDOR!A343)</f>
        <v>0</v>
      </c>
      <c r="C343" s="3" t="e">
        <f>INDEX(PEDIDOS!$A:$D,MATCH(FORNECEDOR!A343,PEDIDOS!$A:$A,0),2)</f>
        <v>#N/A</v>
      </c>
      <c r="D343" s="3" t="e">
        <f>INDEX(PEDIDOS!$A:$D,MATCH(FORNECEDOR!A343,PEDIDOS!$A:$A,0),3)</f>
        <v>#N/A</v>
      </c>
      <c r="E343" s="3" t="e">
        <f>INDEX(PEDIDOS!$A:$D,MATCH(FORNECEDOR!A343,PEDIDOS!$A:$A,0),4)</f>
        <v>#N/A</v>
      </c>
    </row>
    <row r="344" spans="1:5" hidden="1" x14ac:dyDescent="0.25">
      <c r="A344" s="1" t="s">
        <v>343</v>
      </c>
      <c r="B344" s="3">
        <f>COUNTIF(PEDIDOS!$A:$A,FORNECEDOR!A344)</f>
        <v>0</v>
      </c>
      <c r="C344" s="3" t="e">
        <f>INDEX(PEDIDOS!$A:$D,MATCH(FORNECEDOR!A344,PEDIDOS!$A:$A,0),2)</f>
        <v>#N/A</v>
      </c>
      <c r="D344" s="3" t="e">
        <f>INDEX(PEDIDOS!$A:$D,MATCH(FORNECEDOR!A344,PEDIDOS!$A:$A,0),3)</f>
        <v>#N/A</v>
      </c>
      <c r="E344" s="3" t="e">
        <f>INDEX(PEDIDOS!$A:$D,MATCH(FORNECEDOR!A344,PEDIDOS!$A:$A,0),4)</f>
        <v>#N/A</v>
      </c>
    </row>
    <row r="345" spans="1:5" hidden="1" x14ac:dyDescent="0.25">
      <c r="A345" s="1" t="s">
        <v>344</v>
      </c>
      <c r="B345" s="3">
        <f>COUNTIF(PEDIDOS!$A:$A,FORNECEDOR!A345)</f>
        <v>0</v>
      </c>
      <c r="C345" s="3" t="e">
        <f>INDEX(PEDIDOS!$A:$D,MATCH(FORNECEDOR!A345,PEDIDOS!$A:$A,0),2)</f>
        <v>#N/A</v>
      </c>
      <c r="D345" s="3" t="e">
        <f>INDEX(PEDIDOS!$A:$D,MATCH(FORNECEDOR!A345,PEDIDOS!$A:$A,0),3)</f>
        <v>#N/A</v>
      </c>
      <c r="E345" s="3" t="e">
        <f>INDEX(PEDIDOS!$A:$D,MATCH(FORNECEDOR!A345,PEDIDOS!$A:$A,0),4)</f>
        <v>#N/A</v>
      </c>
    </row>
    <row r="346" spans="1:5" hidden="1" x14ac:dyDescent="0.25">
      <c r="A346" s="1" t="s">
        <v>345</v>
      </c>
      <c r="B346" s="3">
        <f>COUNTIF(PEDIDOS!$A:$A,FORNECEDOR!A346)</f>
        <v>0</v>
      </c>
      <c r="C346" s="3" t="e">
        <f>INDEX(PEDIDOS!$A:$D,MATCH(FORNECEDOR!A346,PEDIDOS!$A:$A,0),2)</f>
        <v>#N/A</v>
      </c>
      <c r="D346" s="3" t="e">
        <f>INDEX(PEDIDOS!$A:$D,MATCH(FORNECEDOR!A346,PEDIDOS!$A:$A,0),3)</f>
        <v>#N/A</v>
      </c>
      <c r="E346" s="3" t="e">
        <f>INDEX(PEDIDOS!$A:$D,MATCH(FORNECEDOR!A346,PEDIDOS!$A:$A,0),4)</f>
        <v>#N/A</v>
      </c>
    </row>
    <row r="347" spans="1:5" hidden="1" x14ac:dyDescent="0.25">
      <c r="A347" s="1" t="s">
        <v>346</v>
      </c>
      <c r="B347" s="3">
        <f>COUNTIF(PEDIDOS!$A:$A,FORNECEDOR!A347)</f>
        <v>0</v>
      </c>
      <c r="C347" s="3" t="e">
        <f>INDEX(PEDIDOS!$A:$D,MATCH(FORNECEDOR!A347,PEDIDOS!$A:$A,0),2)</f>
        <v>#N/A</v>
      </c>
      <c r="D347" s="3" t="e">
        <f>INDEX(PEDIDOS!$A:$D,MATCH(FORNECEDOR!A347,PEDIDOS!$A:$A,0),3)</f>
        <v>#N/A</v>
      </c>
      <c r="E347" s="3" t="e">
        <f>INDEX(PEDIDOS!$A:$D,MATCH(FORNECEDOR!A347,PEDIDOS!$A:$A,0),4)</f>
        <v>#N/A</v>
      </c>
    </row>
    <row r="348" spans="1:5" hidden="1" x14ac:dyDescent="0.25">
      <c r="A348" s="1" t="s">
        <v>347</v>
      </c>
      <c r="B348" s="3">
        <f>COUNTIF(PEDIDOS!$A:$A,FORNECEDOR!A348)</f>
        <v>0</v>
      </c>
      <c r="C348" s="3" t="e">
        <f>INDEX(PEDIDOS!$A:$D,MATCH(FORNECEDOR!A348,PEDIDOS!$A:$A,0),2)</f>
        <v>#N/A</v>
      </c>
      <c r="D348" s="3" t="e">
        <f>INDEX(PEDIDOS!$A:$D,MATCH(FORNECEDOR!A348,PEDIDOS!$A:$A,0),3)</f>
        <v>#N/A</v>
      </c>
      <c r="E348" s="3" t="e">
        <f>INDEX(PEDIDOS!$A:$D,MATCH(FORNECEDOR!A348,PEDIDOS!$A:$A,0),4)</f>
        <v>#N/A</v>
      </c>
    </row>
    <row r="349" spans="1:5" hidden="1" x14ac:dyDescent="0.25">
      <c r="A349" s="1" t="s">
        <v>348</v>
      </c>
      <c r="B349" s="3">
        <f>COUNTIF(PEDIDOS!$A:$A,FORNECEDOR!A349)</f>
        <v>0</v>
      </c>
      <c r="C349" s="3" t="e">
        <f>INDEX(PEDIDOS!$A:$D,MATCH(FORNECEDOR!A349,PEDIDOS!$A:$A,0),2)</f>
        <v>#N/A</v>
      </c>
      <c r="D349" s="3" t="e">
        <f>INDEX(PEDIDOS!$A:$D,MATCH(FORNECEDOR!A349,PEDIDOS!$A:$A,0),3)</f>
        <v>#N/A</v>
      </c>
      <c r="E349" s="3" t="e">
        <f>INDEX(PEDIDOS!$A:$D,MATCH(FORNECEDOR!A349,PEDIDOS!$A:$A,0),4)</f>
        <v>#N/A</v>
      </c>
    </row>
    <row r="350" spans="1:5" hidden="1" x14ac:dyDescent="0.25">
      <c r="A350" s="1" t="s">
        <v>349</v>
      </c>
      <c r="B350" s="3">
        <f>COUNTIF(PEDIDOS!$A:$A,FORNECEDOR!A350)</f>
        <v>0</v>
      </c>
      <c r="C350" s="3" t="e">
        <f>INDEX(PEDIDOS!$A:$D,MATCH(FORNECEDOR!A350,PEDIDOS!$A:$A,0),2)</f>
        <v>#N/A</v>
      </c>
      <c r="D350" s="3" t="e">
        <f>INDEX(PEDIDOS!$A:$D,MATCH(FORNECEDOR!A350,PEDIDOS!$A:$A,0),3)</f>
        <v>#N/A</v>
      </c>
      <c r="E350" s="3" t="e">
        <f>INDEX(PEDIDOS!$A:$D,MATCH(FORNECEDOR!A350,PEDIDOS!$A:$A,0),4)</f>
        <v>#N/A</v>
      </c>
    </row>
    <row r="351" spans="1:5" hidden="1" x14ac:dyDescent="0.25">
      <c r="A351" s="1" t="s">
        <v>350</v>
      </c>
      <c r="B351" s="3">
        <f>COUNTIF(PEDIDOS!$A:$A,FORNECEDOR!A351)</f>
        <v>0</v>
      </c>
      <c r="C351" s="3" t="e">
        <f>INDEX(PEDIDOS!$A:$D,MATCH(FORNECEDOR!A351,PEDIDOS!$A:$A,0),2)</f>
        <v>#N/A</v>
      </c>
      <c r="D351" s="3" t="e">
        <f>INDEX(PEDIDOS!$A:$D,MATCH(FORNECEDOR!A351,PEDIDOS!$A:$A,0),3)</f>
        <v>#N/A</v>
      </c>
      <c r="E351" s="3" t="e">
        <f>INDEX(PEDIDOS!$A:$D,MATCH(FORNECEDOR!A351,PEDIDOS!$A:$A,0),4)</f>
        <v>#N/A</v>
      </c>
    </row>
    <row r="352" spans="1:5" x14ac:dyDescent="0.25">
      <c r="A352" s="1" t="s">
        <v>351</v>
      </c>
      <c r="B352" s="3">
        <f>COUNTIF(PEDIDOS!$A:$A,FORNECEDOR!A352)</f>
        <v>4</v>
      </c>
      <c r="C352" s="3" t="str">
        <f>INDEX(PEDIDOS!$A:$D,MATCH(FORNECEDOR!A352,PEDIDOS!$A:$A,0),2)</f>
        <v>CD ARAQUARI</v>
      </c>
      <c r="D352" s="3" t="str">
        <f>INDEX(PEDIDOS!$A:$D,MATCH(FORNECEDOR!A352,PEDIDOS!$A:$A,0),3)</f>
        <v>MATRIZ</v>
      </c>
      <c r="E352" s="3" t="str">
        <f>INDEX(PEDIDOS!$A:$D,MATCH(FORNECEDOR!A352,PEDIDOS!$A:$A,0),4)</f>
        <v>CD ARAQUARI</v>
      </c>
    </row>
    <row r="353" spans="1:5" x14ac:dyDescent="0.25">
      <c r="A353" s="1" t="s">
        <v>352</v>
      </c>
      <c r="B353" s="3">
        <f>COUNTIF(PEDIDOS!$A:$A,FORNECEDOR!A353)</f>
        <v>9</v>
      </c>
      <c r="C353" s="3" t="str">
        <f>INDEX(PEDIDOS!$A:$D,MATCH(FORNECEDOR!A353,PEDIDOS!$A:$A,0),2)</f>
        <v>CD ARAQUARI</v>
      </c>
      <c r="D353" s="3" t="str">
        <f>INDEX(PEDIDOS!$A:$D,MATCH(FORNECEDOR!A353,PEDIDOS!$A:$A,0),3)</f>
        <v>MATRIZ</v>
      </c>
      <c r="E353" s="3" t="str">
        <f>INDEX(PEDIDOS!$A:$D,MATCH(FORNECEDOR!A353,PEDIDOS!$A:$A,0),4)</f>
        <v>CD ARAQUARI</v>
      </c>
    </row>
    <row r="354" spans="1:5" hidden="1" x14ac:dyDescent="0.25">
      <c r="A354" s="1" t="s">
        <v>353</v>
      </c>
      <c r="B354" s="3">
        <f>COUNTIF(PEDIDOS!$A:$A,FORNECEDOR!A354)</f>
        <v>0</v>
      </c>
      <c r="C354" s="3" t="e">
        <f>INDEX(PEDIDOS!$A:$D,MATCH(FORNECEDOR!A354,PEDIDOS!$A:$A,0),2)</f>
        <v>#N/A</v>
      </c>
      <c r="D354" s="3" t="e">
        <f>INDEX(PEDIDOS!$A:$D,MATCH(FORNECEDOR!A354,PEDIDOS!$A:$A,0),3)</f>
        <v>#N/A</v>
      </c>
      <c r="E354" s="3" t="e">
        <f>INDEX(PEDIDOS!$A:$D,MATCH(FORNECEDOR!A354,PEDIDOS!$A:$A,0),4)</f>
        <v>#N/A</v>
      </c>
    </row>
    <row r="355" spans="1:5" hidden="1" x14ac:dyDescent="0.25">
      <c r="A355" s="1" t="s">
        <v>354</v>
      </c>
      <c r="B355" s="3">
        <f>COUNTIF(PEDIDOS!$A:$A,FORNECEDOR!A355)</f>
        <v>0</v>
      </c>
      <c r="C355" s="3" t="e">
        <f>INDEX(PEDIDOS!$A:$D,MATCH(FORNECEDOR!A355,PEDIDOS!$A:$A,0),2)</f>
        <v>#N/A</v>
      </c>
      <c r="D355" s="3" t="e">
        <f>INDEX(PEDIDOS!$A:$D,MATCH(FORNECEDOR!A355,PEDIDOS!$A:$A,0),3)</f>
        <v>#N/A</v>
      </c>
      <c r="E355" s="3" t="e">
        <f>INDEX(PEDIDOS!$A:$D,MATCH(FORNECEDOR!A355,PEDIDOS!$A:$A,0),4)</f>
        <v>#N/A</v>
      </c>
    </row>
    <row r="356" spans="1:5" hidden="1" x14ac:dyDescent="0.25">
      <c r="A356" s="1" t="s">
        <v>355</v>
      </c>
      <c r="B356" s="3">
        <f>COUNTIF(PEDIDOS!$A:$A,FORNECEDOR!A356)</f>
        <v>0</v>
      </c>
      <c r="C356" s="3" t="e">
        <f>INDEX(PEDIDOS!$A:$D,MATCH(FORNECEDOR!A356,PEDIDOS!$A:$A,0),2)</f>
        <v>#N/A</v>
      </c>
      <c r="D356" s="3" t="e">
        <f>INDEX(PEDIDOS!$A:$D,MATCH(FORNECEDOR!A356,PEDIDOS!$A:$A,0),3)</f>
        <v>#N/A</v>
      </c>
      <c r="E356" s="3" t="e">
        <f>INDEX(PEDIDOS!$A:$D,MATCH(FORNECEDOR!A356,PEDIDOS!$A:$A,0),4)</f>
        <v>#N/A</v>
      </c>
    </row>
    <row r="357" spans="1:5" hidden="1" x14ac:dyDescent="0.25">
      <c r="A357" s="1" t="s">
        <v>356</v>
      </c>
      <c r="B357" s="3">
        <f>COUNTIF(PEDIDOS!$A:$A,FORNECEDOR!A357)</f>
        <v>0</v>
      </c>
      <c r="C357" s="3" t="e">
        <f>INDEX(PEDIDOS!$A:$D,MATCH(FORNECEDOR!A357,PEDIDOS!$A:$A,0),2)</f>
        <v>#N/A</v>
      </c>
      <c r="D357" s="3" t="e">
        <f>INDEX(PEDIDOS!$A:$D,MATCH(FORNECEDOR!A357,PEDIDOS!$A:$A,0),3)</f>
        <v>#N/A</v>
      </c>
      <c r="E357" s="3" t="e">
        <f>INDEX(PEDIDOS!$A:$D,MATCH(FORNECEDOR!A357,PEDIDOS!$A:$A,0),4)</f>
        <v>#N/A</v>
      </c>
    </row>
    <row r="358" spans="1:5" hidden="1" x14ac:dyDescent="0.25">
      <c r="A358" s="1" t="s">
        <v>357</v>
      </c>
      <c r="B358" s="3">
        <f>COUNTIF(PEDIDOS!$A:$A,FORNECEDOR!A358)</f>
        <v>0</v>
      </c>
      <c r="C358" s="3" t="e">
        <f>INDEX(PEDIDOS!$A:$D,MATCH(FORNECEDOR!A358,PEDIDOS!$A:$A,0),2)</f>
        <v>#N/A</v>
      </c>
      <c r="D358" s="3" t="e">
        <f>INDEX(PEDIDOS!$A:$D,MATCH(FORNECEDOR!A358,PEDIDOS!$A:$A,0),3)</f>
        <v>#N/A</v>
      </c>
      <c r="E358" s="3" t="e">
        <f>INDEX(PEDIDOS!$A:$D,MATCH(FORNECEDOR!A358,PEDIDOS!$A:$A,0),4)</f>
        <v>#N/A</v>
      </c>
    </row>
    <row r="359" spans="1:5" hidden="1" x14ac:dyDescent="0.25">
      <c r="A359" s="1" t="s">
        <v>358</v>
      </c>
      <c r="B359" s="3">
        <f>COUNTIF(PEDIDOS!$A:$A,FORNECEDOR!A359)</f>
        <v>0</v>
      </c>
      <c r="C359" s="3" t="e">
        <f>INDEX(PEDIDOS!$A:$D,MATCH(FORNECEDOR!A359,PEDIDOS!$A:$A,0),2)</f>
        <v>#N/A</v>
      </c>
      <c r="D359" s="3" t="e">
        <f>INDEX(PEDIDOS!$A:$D,MATCH(FORNECEDOR!A359,PEDIDOS!$A:$A,0),3)</f>
        <v>#N/A</v>
      </c>
      <c r="E359" s="3" t="e">
        <f>INDEX(PEDIDOS!$A:$D,MATCH(FORNECEDOR!A359,PEDIDOS!$A:$A,0),4)</f>
        <v>#N/A</v>
      </c>
    </row>
    <row r="360" spans="1:5" hidden="1" x14ac:dyDescent="0.25">
      <c r="A360" s="1" t="s">
        <v>359</v>
      </c>
      <c r="B360" s="3">
        <f>COUNTIF(PEDIDOS!$A:$A,FORNECEDOR!A360)</f>
        <v>0</v>
      </c>
      <c r="C360" s="3" t="e">
        <f>INDEX(PEDIDOS!$A:$D,MATCH(FORNECEDOR!A360,PEDIDOS!$A:$A,0),2)</f>
        <v>#N/A</v>
      </c>
      <c r="D360" s="3" t="e">
        <f>INDEX(PEDIDOS!$A:$D,MATCH(FORNECEDOR!A360,PEDIDOS!$A:$A,0),3)</f>
        <v>#N/A</v>
      </c>
      <c r="E360" s="3" t="e">
        <f>INDEX(PEDIDOS!$A:$D,MATCH(FORNECEDOR!A360,PEDIDOS!$A:$A,0),4)</f>
        <v>#N/A</v>
      </c>
    </row>
    <row r="361" spans="1:5" hidden="1" x14ac:dyDescent="0.25">
      <c r="A361" s="1" t="s">
        <v>360</v>
      </c>
      <c r="B361" s="3">
        <f>COUNTIF(PEDIDOS!$A:$A,FORNECEDOR!A361)</f>
        <v>0</v>
      </c>
      <c r="C361" s="3" t="e">
        <f>INDEX(PEDIDOS!$A:$D,MATCH(FORNECEDOR!A361,PEDIDOS!$A:$A,0),2)</f>
        <v>#N/A</v>
      </c>
      <c r="D361" s="3" t="e">
        <f>INDEX(PEDIDOS!$A:$D,MATCH(FORNECEDOR!A361,PEDIDOS!$A:$A,0),3)</f>
        <v>#N/A</v>
      </c>
      <c r="E361" s="3" t="e">
        <f>INDEX(PEDIDOS!$A:$D,MATCH(FORNECEDOR!A361,PEDIDOS!$A:$A,0),4)</f>
        <v>#N/A</v>
      </c>
    </row>
    <row r="362" spans="1:5" x14ac:dyDescent="0.25">
      <c r="A362" s="1" t="s">
        <v>361</v>
      </c>
      <c r="B362" s="3">
        <f>COUNTIF(PEDIDOS!$A:$A,FORNECEDOR!A362)</f>
        <v>1</v>
      </c>
      <c r="C362" s="3" t="str">
        <f>INDEX(PEDIDOS!$A:$D,MATCH(FORNECEDOR!A362,PEDIDOS!$A:$A,0),2)</f>
        <v>MATRIZ</v>
      </c>
      <c r="D362" s="3" t="str">
        <f>INDEX(PEDIDOS!$A:$D,MATCH(FORNECEDOR!A362,PEDIDOS!$A:$A,0),3)</f>
        <v>MATRIZ</v>
      </c>
      <c r="E362" s="3" t="str">
        <f>INDEX(PEDIDOS!$A:$D,MATCH(FORNECEDOR!A362,PEDIDOS!$A:$A,0),4)</f>
        <v>MATRIZ</v>
      </c>
    </row>
    <row r="363" spans="1:5" hidden="1" x14ac:dyDescent="0.25">
      <c r="A363" s="1" t="s">
        <v>362</v>
      </c>
      <c r="B363" s="3">
        <f>COUNTIF(PEDIDOS!$A:$A,FORNECEDOR!A363)</f>
        <v>0</v>
      </c>
      <c r="C363" s="3" t="e">
        <f>INDEX(PEDIDOS!$A:$D,MATCH(FORNECEDOR!A363,PEDIDOS!$A:$A,0),2)</f>
        <v>#N/A</v>
      </c>
      <c r="D363" s="3" t="e">
        <f>INDEX(PEDIDOS!$A:$D,MATCH(FORNECEDOR!A363,PEDIDOS!$A:$A,0),3)</f>
        <v>#N/A</v>
      </c>
      <c r="E363" s="3" t="e">
        <f>INDEX(PEDIDOS!$A:$D,MATCH(FORNECEDOR!A363,PEDIDOS!$A:$A,0),4)</f>
        <v>#N/A</v>
      </c>
    </row>
    <row r="364" spans="1:5" x14ac:dyDescent="0.25">
      <c r="A364" s="1" t="s">
        <v>363</v>
      </c>
      <c r="B364" s="3">
        <f>COUNTIF(PEDIDOS!$A:$A,FORNECEDOR!A364)</f>
        <v>1</v>
      </c>
      <c r="C364" s="3" t="str">
        <f>INDEX(PEDIDOS!$A:$D,MATCH(FORNECEDOR!A364,PEDIDOS!$A:$A,0),2)</f>
        <v>CARAGUATATUBA</v>
      </c>
      <c r="D364" s="3" t="str">
        <f>INDEX(PEDIDOS!$A:$D,MATCH(FORNECEDOR!A364,PEDIDOS!$A:$A,0),3)</f>
        <v>CARAGUATATUBA</v>
      </c>
      <c r="E364" s="3" t="str">
        <f>INDEX(PEDIDOS!$A:$D,MATCH(FORNECEDOR!A364,PEDIDOS!$A:$A,0),4)</f>
        <v>CARAGUATATUBA</v>
      </c>
    </row>
    <row r="365" spans="1:5" x14ac:dyDescent="0.25">
      <c r="A365" s="1" t="s">
        <v>364</v>
      </c>
      <c r="B365" s="3">
        <f>COUNTIF(PEDIDOS!$A:$A,FORNECEDOR!A365)</f>
        <v>7</v>
      </c>
      <c r="C365" s="3" t="str">
        <f>INDEX(PEDIDOS!$A:$D,MATCH(FORNECEDOR!A365,PEDIDOS!$A:$A,0),2)</f>
        <v>HORTOLANDIA</v>
      </c>
      <c r="D365" s="3" t="str">
        <f>INDEX(PEDIDOS!$A:$D,MATCH(FORNECEDOR!A365,PEDIDOS!$A:$A,0),3)</f>
        <v>HORTOLANDIA</v>
      </c>
      <c r="E365" s="3" t="str">
        <f>INDEX(PEDIDOS!$A:$D,MATCH(FORNECEDOR!A365,PEDIDOS!$A:$A,0),4)</f>
        <v>HORTOLANDIA</v>
      </c>
    </row>
    <row r="366" spans="1:5" x14ac:dyDescent="0.25">
      <c r="A366" s="1" t="s">
        <v>365</v>
      </c>
      <c r="B366" s="3">
        <f>COUNTIF(PEDIDOS!$A:$A,FORNECEDOR!A366)</f>
        <v>28</v>
      </c>
      <c r="C366" s="3" t="str">
        <f>INDEX(PEDIDOS!$A:$D,MATCH(FORNECEDOR!A366,PEDIDOS!$A:$A,0),2)</f>
        <v>BARUERI</v>
      </c>
      <c r="D366" s="3" t="str">
        <f>INDEX(PEDIDOS!$A:$D,MATCH(FORNECEDOR!A366,PEDIDOS!$A:$A,0),3)</f>
        <v>BARUERI</v>
      </c>
      <c r="E366" s="3" t="str">
        <f>INDEX(PEDIDOS!$A:$D,MATCH(FORNECEDOR!A366,PEDIDOS!$A:$A,0),4)</f>
        <v>BARUERI</v>
      </c>
    </row>
    <row r="367" spans="1:5" x14ac:dyDescent="0.25">
      <c r="A367" s="1" t="s">
        <v>366</v>
      </c>
      <c r="B367" s="3">
        <f>COUNTIF(PEDIDOS!$A:$A,FORNECEDOR!A367)</f>
        <v>4</v>
      </c>
      <c r="C367" s="3" t="str">
        <f>INDEX(PEDIDOS!$A:$D,MATCH(FORNECEDOR!A367,PEDIDOS!$A:$A,0),2)</f>
        <v>CIDADE OCIAN</v>
      </c>
      <c r="D367" s="3" t="str">
        <f>INDEX(PEDIDOS!$A:$D,MATCH(FORNECEDOR!A367,PEDIDOS!$A:$A,0),3)</f>
        <v>CIDADE OCIAN</v>
      </c>
      <c r="E367" s="3" t="str">
        <f>INDEX(PEDIDOS!$A:$D,MATCH(FORNECEDOR!A367,PEDIDOS!$A:$A,0),4)</f>
        <v>CIDADE OCIAN</v>
      </c>
    </row>
    <row r="368" spans="1:5" hidden="1" x14ac:dyDescent="0.25">
      <c r="A368" s="1" t="s">
        <v>367</v>
      </c>
      <c r="B368" s="3">
        <f>COUNTIF(PEDIDOS!$A:$A,FORNECEDOR!A368)</f>
        <v>0</v>
      </c>
      <c r="C368" s="3" t="e">
        <f>INDEX(PEDIDOS!$A:$D,MATCH(FORNECEDOR!A368,PEDIDOS!$A:$A,0),2)</f>
        <v>#N/A</v>
      </c>
      <c r="D368" s="3" t="e">
        <f>INDEX(PEDIDOS!$A:$D,MATCH(FORNECEDOR!A368,PEDIDOS!$A:$A,0),3)</f>
        <v>#N/A</v>
      </c>
      <c r="E368" s="3" t="e">
        <f>INDEX(PEDIDOS!$A:$D,MATCH(FORNECEDOR!A368,PEDIDOS!$A:$A,0),4)</f>
        <v>#N/A</v>
      </c>
    </row>
    <row r="369" spans="1:5" hidden="1" x14ac:dyDescent="0.25">
      <c r="A369" s="1" t="s">
        <v>368</v>
      </c>
      <c r="B369" s="3">
        <f>COUNTIF(PEDIDOS!$A:$A,FORNECEDOR!A369)</f>
        <v>0</v>
      </c>
      <c r="C369" s="3" t="e">
        <f>INDEX(PEDIDOS!$A:$D,MATCH(FORNECEDOR!A369,PEDIDOS!$A:$A,0),2)</f>
        <v>#N/A</v>
      </c>
      <c r="D369" s="3" t="e">
        <f>INDEX(PEDIDOS!$A:$D,MATCH(FORNECEDOR!A369,PEDIDOS!$A:$A,0),3)</f>
        <v>#N/A</v>
      </c>
      <c r="E369" s="3" t="e">
        <f>INDEX(PEDIDOS!$A:$D,MATCH(FORNECEDOR!A369,PEDIDOS!$A:$A,0),4)</f>
        <v>#N/A</v>
      </c>
    </row>
    <row r="370" spans="1:5" hidden="1" x14ac:dyDescent="0.25">
      <c r="A370" s="1" t="s">
        <v>369</v>
      </c>
      <c r="B370" s="3">
        <f>COUNTIF(PEDIDOS!$A:$A,FORNECEDOR!A370)</f>
        <v>0</v>
      </c>
      <c r="C370" s="3" t="e">
        <f>INDEX(PEDIDOS!$A:$D,MATCH(FORNECEDOR!A370,PEDIDOS!$A:$A,0),2)</f>
        <v>#N/A</v>
      </c>
      <c r="D370" s="3" t="e">
        <f>INDEX(PEDIDOS!$A:$D,MATCH(FORNECEDOR!A370,PEDIDOS!$A:$A,0),3)</f>
        <v>#N/A</v>
      </c>
      <c r="E370" s="3" t="e">
        <f>INDEX(PEDIDOS!$A:$D,MATCH(FORNECEDOR!A370,PEDIDOS!$A:$A,0),4)</f>
        <v>#N/A</v>
      </c>
    </row>
    <row r="371" spans="1:5" x14ac:dyDescent="0.25">
      <c r="A371" s="1" t="s">
        <v>370</v>
      </c>
      <c r="B371" s="3">
        <f>COUNTIF(PEDIDOS!$A:$A,FORNECEDOR!A371)</f>
        <v>1</v>
      </c>
      <c r="C371" s="3" t="str">
        <f>INDEX(PEDIDOS!$A:$D,MATCH(FORNECEDOR!A371,PEDIDOS!$A:$A,0),2)</f>
        <v>MATRIZ</v>
      </c>
      <c r="D371" s="3" t="str">
        <f>INDEX(PEDIDOS!$A:$D,MATCH(FORNECEDOR!A371,PEDIDOS!$A:$A,0),3)</f>
        <v>MATRIZ</v>
      </c>
      <c r="E371" s="3" t="str">
        <f>INDEX(PEDIDOS!$A:$D,MATCH(FORNECEDOR!A371,PEDIDOS!$A:$A,0),4)</f>
        <v>MATRIZ</v>
      </c>
    </row>
    <row r="372" spans="1:5" hidden="1" x14ac:dyDescent="0.25">
      <c r="A372" s="1" t="s">
        <v>371</v>
      </c>
      <c r="B372" s="3">
        <f>COUNTIF(PEDIDOS!$A:$A,FORNECEDOR!A372)</f>
        <v>0</v>
      </c>
      <c r="C372" s="3" t="e">
        <f>INDEX(PEDIDOS!$A:$D,MATCH(FORNECEDOR!A372,PEDIDOS!$A:$A,0),2)</f>
        <v>#N/A</v>
      </c>
      <c r="D372" s="3" t="e">
        <f>INDEX(PEDIDOS!$A:$D,MATCH(FORNECEDOR!A372,PEDIDOS!$A:$A,0),3)</f>
        <v>#N/A</v>
      </c>
      <c r="E372" s="3" t="e">
        <f>INDEX(PEDIDOS!$A:$D,MATCH(FORNECEDOR!A372,PEDIDOS!$A:$A,0),4)</f>
        <v>#N/A</v>
      </c>
    </row>
    <row r="373" spans="1:5" hidden="1" x14ac:dyDescent="0.25">
      <c r="A373" s="1" t="s">
        <v>372</v>
      </c>
      <c r="B373" s="3">
        <f>COUNTIF(PEDIDOS!$A:$A,FORNECEDOR!A373)</f>
        <v>0</v>
      </c>
      <c r="C373" s="3" t="e">
        <f>INDEX(PEDIDOS!$A:$D,MATCH(FORNECEDOR!A373,PEDIDOS!$A:$A,0),2)</f>
        <v>#N/A</v>
      </c>
      <c r="D373" s="3" t="e">
        <f>INDEX(PEDIDOS!$A:$D,MATCH(FORNECEDOR!A373,PEDIDOS!$A:$A,0),3)</f>
        <v>#N/A</v>
      </c>
      <c r="E373" s="3" t="e">
        <f>INDEX(PEDIDOS!$A:$D,MATCH(FORNECEDOR!A373,PEDIDOS!$A:$A,0),4)</f>
        <v>#N/A</v>
      </c>
    </row>
    <row r="374" spans="1:5" hidden="1" x14ac:dyDescent="0.25">
      <c r="A374" s="1" t="s">
        <v>373</v>
      </c>
      <c r="B374" s="3">
        <f>COUNTIF(PEDIDOS!$A:$A,FORNECEDOR!A374)</f>
        <v>0</v>
      </c>
      <c r="C374" s="3" t="e">
        <f>INDEX(PEDIDOS!$A:$D,MATCH(FORNECEDOR!A374,PEDIDOS!$A:$A,0),2)</f>
        <v>#N/A</v>
      </c>
      <c r="D374" s="3" t="e">
        <f>INDEX(PEDIDOS!$A:$D,MATCH(FORNECEDOR!A374,PEDIDOS!$A:$A,0),3)</f>
        <v>#N/A</v>
      </c>
      <c r="E374" s="3" t="e">
        <f>INDEX(PEDIDOS!$A:$D,MATCH(FORNECEDOR!A374,PEDIDOS!$A:$A,0),4)</f>
        <v>#N/A</v>
      </c>
    </row>
    <row r="375" spans="1:5" hidden="1" x14ac:dyDescent="0.25">
      <c r="A375" s="1" t="s">
        <v>374</v>
      </c>
      <c r="B375" s="3">
        <f>COUNTIF(PEDIDOS!$A:$A,FORNECEDOR!A375)</f>
        <v>0</v>
      </c>
      <c r="C375" s="3" t="e">
        <f>INDEX(PEDIDOS!$A:$D,MATCH(FORNECEDOR!A375,PEDIDOS!$A:$A,0),2)</f>
        <v>#N/A</v>
      </c>
      <c r="D375" s="3" t="e">
        <f>INDEX(PEDIDOS!$A:$D,MATCH(FORNECEDOR!A375,PEDIDOS!$A:$A,0),3)</f>
        <v>#N/A</v>
      </c>
      <c r="E375" s="3" t="e">
        <f>INDEX(PEDIDOS!$A:$D,MATCH(FORNECEDOR!A375,PEDIDOS!$A:$A,0),4)</f>
        <v>#N/A</v>
      </c>
    </row>
    <row r="376" spans="1:5" x14ac:dyDescent="0.25">
      <c r="A376" s="1" t="s">
        <v>375</v>
      </c>
      <c r="B376" s="3">
        <f>COUNTIF(PEDIDOS!$A:$A,FORNECEDOR!A376)</f>
        <v>1</v>
      </c>
      <c r="C376" s="3" t="str">
        <f>INDEX(PEDIDOS!$A:$D,MATCH(FORNECEDOR!A376,PEDIDOS!$A:$A,0),2)</f>
        <v>AVANTI- ADM C.CREDITO</v>
      </c>
      <c r="D376" s="3" t="str">
        <f>INDEX(PEDIDOS!$A:$D,MATCH(FORNECEDOR!A376,PEDIDOS!$A:$A,0),3)</f>
        <v>AVANTI- ADM C.CREDITO</v>
      </c>
      <c r="E376" s="3" t="str">
        <f>INDEX(PEDIDOS!$A:$D,MATCH(FORNECEDOR!A376,PEDIDOS!$A:$A,0),4)</f>
        <v>AVANTI- ADM C.CREDITO</v>
      </c>
    </row>
    <row r="377" spans="1:5" hidden="1" x14ac:dyDescent="0.25">
      <c r="A377" s="1" t="s">
        <v>376</v>
      </c>
      <c r="B377" s="3">
        <f>COUNTIF(PEDIDOS!$A:$A,FORNECEDOR!A377)</f>
        <v>0</v>
      </c>
      <c r="C377" s="3" t="e">
        <f>INDEX(PEDIDOS!$A:$D,MATCH(FORNECEDOR!A377,PEDIDOS!$A:$A,0),2)</f>
        <v>#N/A</v>
      </c>
      <c r="D377" s="3" t="e">
        <f>INDEX(PEDIDOS!$A:$D,MATCH(FORNECEDOR!A377,PEDIDOS!$A:$A,0),3)</f>
        <v>#N/A</v>
      </c>
      <c r="E377" s="3" t="e">
        <f>INDEX(PEDIDOS!$A:$D,MATCH(FORNECEDOR!A377,PEDIDOS!$A:$A,0),4)</f>
        <v>#N/A</v>
      </c>
    </row>
    <row r="378" spans="1:5" hidden="1" x14ac:dyDescent="0.25">
      <c r="A378" s="1" t="s">
        <v>377</v>
      </c>
      <c r="B378" s="3">
        <f>COUNTIF(PEDIDOS!$A:$A,FORNECEDOR!A378)</f>
        <v>0</v>
      </c>
      <c r="C378" s="3" t="e">
        <f>INDEX(PEDIDOS!$A:$D,MATCH(FORNECEDOR!A378,PEDIDOS!$A:$A,0),2)</f>
        <v>#N/A</v>
      </c>
      <c r="D378" s="3" t="e">
        <f>INDEX(PEDIDOS!$A:$D,MATCH(FORNECEDOR!A378,PEDIDOS!$A:$A,0),3)</f>
        <v>#N/A</v>
      </c>
      <c r="E378" s="3" t="e">
        <f>INDEX(PEDIDOS!$A:$D,MATCH(FORNECEDOR!A378,PEDIDOS!$A:$A,0),4)</f>
        <v>#N/A</v>
      </c>
    </row>
    <row r="379" spans="1:5" hidden="1" x14ac:dyDescent="0.25">
      <c r="A379" s="1" t="s">
        <v>378</v>
      </c>
      <c r="B379" s="3">
        <f>COUNTIF(PEDIDOS!$A:$A,FORNECEDOR!A379)</f>
        <v>0</v>
      </c>
      <c r="C379" s="3" t="e">
        <f>INDEX(PEDIDOS!$A:$D,MATCH(FORNECEDOR!A379,PEDIDOS!$A:$A,0),2)</f>
        <v>#N/A</v>
      </c>
      <c r="D379" s="3" t="e">
        <f>INDEX(PEDIDOS!$A:$D,MATCH(FORNECEDOR!A379,PEDIDOS!$A:$A,0),3)</f>
        <v>#N/A</v>
      </c>
      <c r="E379" s="3" t="e">
        <f>INDEX(PEDIDOS!$A:$D,MATCH(FORNECEDOR!A379,PEDIDOS!$A:$A,0),4)</f>
        <v>#N/A</v>
      </c>
    </row>
    <row r="380" spans="1:5" x14ac:dyDescent="0.25">
      <c r="A380" s="1" t="s">
        <v>379</v>
      </c>
      <c r="B380" s="3">
        <f>COUNTIF(PEDIDOS!$A:$A,FORNECEDOR!A380)</f>
        <v>1</v>
      </c>
      <c r="C380" s="3" t="str">
        <f>INDEX(PEDIDOS!$A:$D,MATCH(FORNECEDOR!A380,PEDIDOS!$A:$A,0),2)</f>
        <v>CD REGIS</v>
      </c>
      <c r="D380" s="3" t="str">
        <f>INDEX(PEDIDOS!$A:$D,MATCH(FORNECEDOR!A380,PEDIDOS!$A:$A,0),3)</f>
        <v>MATRIZ</v>
      </c>
      <c r="E380" s="3" t="str">
        <f>INDEX(PEDIDOS!$A:$D,MATCH(FORNECEDOR!A380,PEDIDOS!$A:$A,0),4)</f>
        <v>CD REGIS</v>
      </c>
    </row>
    <row r="381" spans="1:5" hidden="1" x14ac:dyDescent="0.25">
      <c r="A381" s="1" t="s">
        <v>380</v>
      </c>
      <c r="B381" s="3">
        <f>COUNTIF(PEDIDOS!$A:$A,FORNECEDOR!A381)</f>
        <v>0</v>
      </c>
      <c r="C381" s="3" t="e">
        <f>INDEX(PEDIDOS!$A:$D,MATCH(FORNECEDOR!A381,PEDIDOS!$A:$A,0),2)</f>
        <v>#N/A</v>
      </c>
      <c r="D381" s="3" t="e">
        <f>INDEX(PEDIDOS!$A:$D,MATCH(FORNECEDOR!A381,PEDIDOS!$A:$A,0),3)</f>
        <v>#N/A</v>
      </c>
      <c r="E381" s="3" t="e">
        <f>INDEX(PEDIDOS!$A:$D,MATCH(FORNECEDOR!A381,PEDIDOS!$A:$A,0),4)</f>
        <v>#N/A</v>
      </c>
    </row>
    <row r="382" spans="1:5" hidden="1" x14ac:dyDescent="0.25">
      <c r="A382" s="1" t="s">
        <v>381</v>
      </c>
      <c r="B382" s="3">
        <f>COUNTIF(PEDIDOS!$A:$A,FORNECEDOR!A382)</f>
        <v>0</v>
      </c>
      <c r="C382" s="3" t="e">
        <f>INDEX(PEDIDOS!$A:$D,MATCH(FORNECEDOR!A382,PEDIDOS!$A:$A,0),2)</f>
        <v>#N/A</v>
      </c>
      <c r="D382" s="3" t="e">
        <f>INDEX(PEDIDOS!$A:$D,MATCH(FORNECEDOR!A382,PEDIDOS!$A:$A,0),3)</f>
        <v>#N/A</v>
      </c>
      <c r="E382" s="3" t="e">
        <f>INDEX(PEDIDOS!$A:$D,MATCH(FORNECEDOR!A382,PEDIDOS!$A:$A,0),4)</f>
        <v>#N/A</v>
      </c>
    </row>
    <row r="383" spans="1:5" x14ac:dyDescent="0.25">
      <c r="A383" s="1" t="s">
        <v>382</v>
      </c>
      <c r="B383" s="3">
        <f>COUNTIF(PEDIDOS!$A:$A,FORNECEDOR!A383)</f>
        <v>1</v>
      </c>
      <c r="C383" s="3" t="str">
        <f>INDEX(PEDIDOS!$A:$D,MATCH(FORNECEDOR!A383,PEDIDOS!$A:$A,0),2)</f>
        <v>AVANTI- ADM C.CREDITO</v>
      </c>
      <c r="D383" s="3" t="str">
        <f>INDEX(PEDIDOS!$A:$D,MATCH(FORNECEDOR!A383,PEDIDOS!$A:$A,0),3)</f>
        <v>AVANTI- ADM C.CREDITO</v>
      </c>
      <c r="E383" s="3" t="str">
        <f>INDEX(PEDIDOS!$A:$D,MATCH(FORNECEDOR!A383,PEDIDOS!$A:$A,0),4)</f>
        <v>AVANTI- ADM C.CREDITO</v>
      </c>
    </row>
    <row r="384" spans="1:5" x14ac:dyDescent="0.25">
      <c r="A384" s="1" t="s">
        <v>383</v>
      </c>
      <c r="B384" s="3">
        <f>COUNTIF(PEDIDOS!$A:$A,FORNECEDOR!A384)</f>
        <v>4</v>
      </c>
      <c r="C384" s="3" t="str">
        <f>INDEX(PEDIDOS!$A:$D,MATCH(FORNECEDOR!A384,PEDIDOS!$A:$A,0),2)</f>
        <v>CD ARAQUARI</v>
      </c>
      <c r="D384" s="3" t="str">
        <f>INDEX(PEDIDOS!$A:$D,MATCH(FORNECEDOR!A384,PEDIDOS!$A:$A,0),3)</f>
        <v>MATRIZ</v>
      </c>
      <c r="E384" s="3" t="str">
        <f>INDEX(PEDIDOS!$A:$D,MATCH(FORNECEDOR!A384,PEDIDOS!$A:$A,0),4)</f>
        <v>CD ARAQUARI</v>
      </c>
    </row>
    <row r="385" spans="1:5" x14ac:dyDescent="0.25">
      <c r="A385" s="1" t="s">
        <v>384</v>
      </c>
      <c r="B385" s="3">
        <f>COUNTIF(PEDIDOS!$A:$A,FORNECEDOR!A385)</f>
        <v>2</v>
      </c>
      <c r="C385" s="3" t="str">
        <f>INDEX(PEDIDOS!$A:$D,MATCH(FORNECEDOR!A385,PEDIDOS!$A:$A,0),2)</f>
        <v>CD REGIS</v>
      </c>
      <c r="D385" s="3" t="str">
        <f>INDEX(PEDIDOS!$A:$D,MATCH(FORNECEDOR!A385,PEDIDOS!$A:$A,0),3)</f>
        <v>MATRIZ</v>
      </c>
      <c r="E385" s="3" t="str">
        <f>INDEX(PEDIDOS!$A:$D,MATCH(FORNECEDOR!A385,PEDIDOS!$A:$A,0),4)</f>
        <v>CD REGIS</v>
      </c>
    </row>
    <row r="386" spans="1:5" hidden="1" x14ac:dyDescent="0.25">
      <c r="A386" s="1" t="s">
        <v>385</v>
      </c>
      <c r="B386" s="3">
        <f>COUNTIF(PEDIDOS!$A:$A,FORNECEDOR!A386)</f>
        <v>0</v>
      </c>
      <c r="C386" s="3" t="e">
        <f>INDEX(PEDIDOS!$A:$D,MATCH(FORNECEDOR!A386,PEDIDOS!$A:$A,0),2)</f>
        <v>#N/A</v>
      </c>
      <c r="D386" s="3" t="e">
        <f>INDEX(PEDIDOS!$A:$D,MATCH(FORNECEDOR!A386,PEDIDOS!$A:$A,0),3)</f>
        <v>#N/A</v>
      </c>
      <c r="E386" s="3" t="e">
        <f>INDEX(PEDIDOS!$A:$D,MATCH(FORNECEDOR!A386,PEDIDOS!$A:$A,0),4)</f>
        <v>#N/A</v>
      </c>
    </row>
    <row r="387" spans="1:5" x14ac:dyDescent="0.25">
      <c r="A387" s="1" t="s">
        <v>386</v>
      </c>
      <c r="B387" s="3">
        <f>COUNTIF(PEDIDOS!$A:$A,FORNECEDOR!A387)</f>
        <v>1</v>
      </c>
      <c r="C387" s="3" t="str">
        <f>INDEX(PEDIDOS!$A:$D,MATCH(FORNECEDOR!A387,PEDIDOS!$A:$A,0),2)</f>
        <v>CD NAVEGANTES</v>
      </c>
      <c r="D387" s="3" t="str">
        <f>INDEX(PEDIDOS!$A:$D,MATCH(FORNECEDOR!A387,PEDIDOS!$A:$A,0),3)</f>
        <v>MATRIZ</v>
      </c>
      <c r="E387" s="3" t="str">
        <f>INDEX(PEDIDOS!$A:$D,MATCH(FORNECEDOR!A387,PEDIDOS!$A:$A,0),4)</f>
        <v>CD NAVEGANTES</v>
      </c>
    </row>
    <row r="388" spans="1:5" hidden="1" x14ac:dyDescent="0.25">
      <c r="A388" s="1" t="s">
        <v>387</v>
      </c>
      <c r="B388" s="3">
        <f>COUNTIF(PEDIDOS!$A:$A,FORNECEDOR!A388)</f>
        <v>0</v>
      </c>
      <c r="C388" s="3" t="e">
        <f>INDEX(PEDIDOS!$A:$D,MATCH(FORNECEDOR!A388,PEDIDOS!$A:$A,0),2)</f>
        <v>#N/A</v>
      </c>
      <c r="D388" s="3" t="e">
        <f>INDEX(PEDIDOS!$A:$D,MATCH(FORNECEDOR!A388,PEDIDOS!$A:$A,0),3)</f>
        <v>#N/A</v>
      </c>
      <c r="E388" s="3" t="e">
        <f>INDEX(PEDIDOS!$A:$D,MATCH(FORNECEDOR!A388,PEDIDOS!$A:$A,0),4)</f>
        <v>#N/A</v>
      </c>
    </row>
    <row r="389" spans="1:5" x14ac:dyDescent="0.25">
      <c r="A389" s="1" t="s">
        <v>388</v>
      </c>
      <c r="B389" s="3">
        <f>COUNTIF(PEDIDOS!$A:$A,FORNECEDOR!A389)</f>
        <v>1</v>
      </c>
      <c r="C389" s="3" t="str">
        <f>INDEX(PEDIDOS!$A:$D,MATCH(FORNECEDOR!A389,PEDIDOS!$A:$A,0),2)</f>
        <v>CD REGIS</v>
      </c>
      <c r="D389" s="3" t="str">
        <f>INDEX(PEDIDOS!$A:$D,MATCH(FORNECEDOR!A389,PEDIDOS!$A:$A,0),3)</f>
        <v>CD REGIS</v>
      </c>
      <c r="E389" s="3" t="str">
        <f>INDEX(PEDIDOS!$A:$D,MATCH(FORNECEDOR!A389,PEDIDOS!$A:$A,0),4)</f>
        <v>CD REGIS</v>
      </c>
    </row>
    <row r="390" spans="1:5" x14ac:dyDescent="0.25">
      <c r="A390" s="1" t="s">
        <v>389</v>
      </c>
      <c r="B390" s="3">
        <f>COUNTIF(PEDIDOS!$A:$A,FORNECEDOR!A390)</f>
        <v>3</v>
      </c>
      <c r="C390" s="3" t="str">
        <f>INDEX(PEDIDOS!$A:$D,MATCH(FORNECEDOR!A390,PEDIDOS!$A:$A,0),2)</f>
        <v>CD IMPORTACAO</v>
      </c>
      <c r="D390" s="3" t="str">
        <f>INDEX(PEDIDOS!$A:$D,MATCH(FORNECEDOR!A390,PEDIDOS!$A:$A,0),3)</f>
        <v>MATRIZ</v>
      </c>
      <c r="E390" s="3" t="str">
        <f>INDEX(PEDIDOS!$A:$D,MATCH(FORNECEDOR!A390,PEDIDOS!$A:$A,0),4)</f>
        <v>CD REGIS</v>
      </c>
    </row>
    <row r="391" spans="1:5" x14ac:dyDescent="0.25">
      <c r="A391" s="1" t="s">
        <v>390</v>
      </c>
      <c r="B391" s="3">
        <f>COUNTIF(PEDIDOS!$A:$A,FORNECEDOR!A391)</f>
        <v>4</v>
      </c>
      <c r="C391" s="3" t="str">
        <f>INDEX(PEDIDOS!$A:$D,MATCH(FORNECEDOR!A391,PEDIDOS!$A:$A,0),2)</f>
        <v>CD REGIS</v>
      </c>
      <c r="D391" s="3" t="str">
        <f>INDEX(PEDIDOS!$A:$D,MATCH(FORNECEDOR!A391,PEDIDOS!$A:$A,0),3)</f>
        <v>MATRIZ</v>
      </c>
      <c r="E391" s="3" t="str">
        <f>INDEX(PEDIDOS!$A:$D,MATCH(FORNECEDOR!A391,PEDIDOS!$A:$A,0),4)</f>
        <v>CD REGIS</v>
      </c>
    </row>
    <row r="392" spans="1:5" x14ac:dyDescent="0.25">
      <c r="A392" s="1" t="s">
        <v>391</v>
      </c>
      <c r="B392" s="3">
        <f>COUNTIF(PEDIDOS!$A:$A,FORNECEDOR!A392)</f>
        <v>3</v>
      </c>
      <c r="C392" s="3" t="str">
        <f>INDEX(PEDIDOS!$A:$D,MATCH(FORNECEDOR!A392,PEDIDOS!$A:$A,0),2)</f>
        <v>CD IMPORTACAO</v>
      </c>
      <c r="D392" s="3" t="str">
        <f>INDEX(PEDIDOS!$A:$D,MATCH(FORNECEDOR!A392,PEDIDOS!$A:$A,0),3)</f>
        <v>MATRIZ</v>
      </c>
      <c r="E392" s="3" t="str">
        <f>INDEX(PEDIDOS!$A:$D,MATCH(FORNECEDOR!A392,PEDIDOS!$A:$A,0),4)</f>
        <v>CD REGIS</v>
      </c>
    </row>
    <row r="393" spans="1:5" x14ac:dyDescent="0.25">
      <c r="A393" s="1" t="s">
        <v>392</v>
      </c>
      <c r="B393" s="3">
        <f>COUNTIF(PEDIDOS!$A:$A,FORNECEDOR!A393)</f>
        <v>22</v>
      </c>
      <c r="C393" s="3" t="str">
        <f>INDEX(PEDIDOS!$A:$D,MATCH(FORNECEDOR!A393,PEDIDOS!$A:$A,0),2)</f>
        <v>CD ARAQUARI</v>
      </c>
      <c r="D393" s="3" t="str">
        <f>INDEX(PEDIDOS!$A:$D,MATCH(FORNECEDOR!A393,PEDIDOS!$A:$A,0),3)</f>
        <v>CD REGIS</v>
      </c>
      <c r="E393" s="3" t="str">
        <f>INDEX(PEDIDOS!$A:$D,MATCH(FORNECEDOR!A393,PEDIDOS!$A:$A,0),4)</f>
        <v>CD ARAQUARI</v>
      </c>
    </row>
    <row r="394" spans="1:5" hidden="1" x14ac:dyDescent="0.25">
      <c r="A394" s="1" t="s">
        <v>393</v>
      </c>
      <c r="B394" s="3">
        <f>COUNTIF(PEDIDOS!$A:$A,FORNECEDOR!A394)</f>
        <v>0</v>
      </c>
      <c r="C394" s="3" t="e">
        <f>INDEX(PEDIDOS!$A:$D,MATCH(FORNECEDOR!A394,PEDIDOS!$A:$A,0),2)</f>
        <v>#N/A</v>
      </c>
      <c r="D394" s="3" t="e">
        <f>INDEX(PEDIDOS!$A:$D,MATCH(FORNECEDOR!A394,PEDIDOS!$A:$A,0),3)</f>
        <v>#N/A</v>
      </c>
      <c r="E394" s="3" t="e">
        <f>INDEX(PEDIDOS!$A:$D,MATCH(FORNECEDOR!A394,PEDIDOS!$A:$A,0),4)</f>
        <v>#N/A</v>
      </c>
    </row>
    <row r="395" spans="1:5" hidden="1" x14ac:dyDescent="0.25">
      <c r="A395" s="1" t="s">
        <v>394</v>
      </c>
      <c r="B395" s="3">
        <f>COUNTIF(PEDIDOS!$A:$A,FORNECEDOR!A395)</f>
        <v>0</v>
      </c>
      <c r="C395" s="3" t="e">
        <f>INDEX(PEDIDOS!$A:$D,MATCH(FORNECEDOR!A395,PEDIDOS!$A:$A,0),2)</f>
        <v>#N/A</v>
      </c>
      <c r="D395" s="3" t="e">
        <f>INDEX(PEDIDOS!$A:$D,MATCH(FORNECEDOR!A395,PEDIDOS!$A:$A,0),3)</f>
        <v>#N/A</v>
      </c>
      <c r="E395" s="3" t="e">
        <f>INDEX(PEDIDOS!$A:$D,MATCH(FORNECEDOR!A395,PEDIDOS!$A:$A,0),4)</f>
        <v>#N/A</v>
      </c>
    </row>
    <row r="396" spans="1:5" x14ac:dyDescent="0.25">
      <c r="A396" s="1" t="s">
        <v>395</v>
      </c>
      <c r="B396" s="3">
        <f>COUNTIF(PEDIDOS!$A:$A,FORNECEDOR!A396)</f>
        <v>2</v>
      </c>
      <c r="C396" s="3" t="str">
        <f>INDEX(PEDIDOS!$A:$D,MATCH(FORNECEDOR!A396,PEDIDOS!$A:$A,0),2)</f>
        <v>CD REGIS</v>
      </c>
      <c r="D396" s="3" t="str">
        <f>INDEX(PEDIDOS!$A:$D,MATCH(FORNECEDOR!A396,PEDIDOS!$A:$A,0),3)</f>
        <v>MATRIZ</v>
      </c>
      <c r="E396" s="3" t="str">
        <f>INDEX(PEDIDOS!$A:$D,MATCH(FORNECEDOR!A396,PEDIDOS!$A:$A,0),4)</f>
        <v>CD REGIS</v>
      </c>
    </row>
    <row r="397" spans="1:5" hidden="1" x14ac:dyDescent="0.25">
      <c r="A397" s="1" t="s">
        <v>396</v>
      </c>
      <c r="B397" s="3">
        <f>COUNTIF(PEDIDOS!$A:$A,FORNECEDOR!A397)</f>
        <v>0</v>
      </c>
      <c r="C397" s="3" t="e">
        <f>INDEX(PEDIDOS!$A:$D,MATCH(FORNECEDOR!A397,PEDIDOS!$A:$A,0),2)</f>
        <v>#N/A</v>
      </c>
      <c r="D397" s="3" t="e">
        <f>INDEX(PEDIDOS!$A:$D,MATCH(FORNECEDOR!A397,PEDIDOS!$A:$A,0),3)</f>
        <v>#N/A</v>
      </c>
      <c r="E397" s="3" t="e">
        <f>INDEX(PEDIDOS!$A:$D,MATCH(FORNECEDOR!A397,PEDIDOS!$A:$A,0),4)</f>
        <v>#N/A</v>
      </c>
    </row>
    <row r="398" spans="1:5" hidden="1" x14ac:dyDescent="0.25">
      <c r="A398" s="1" t="s">
        <v>397</v>
      </c>
      <c r="B398" s="3">
        <f>COUNTIF(PEDIDOS!$A:$A,FORNECEDOR!A398)</f>
        <v>0</v>
      </c>
      <c r="C398" s="3" t="e">
        <f>INDEX(PEDIDOS!$A:$D,MATCH(FORNECEDOR!A398,PEDIDOS!$A:$A,0),2)</f>
        <v>#N/A</v>
      </c>
      <c r="D398" s="3" t="e">
        <f>INDEX(PEDIDOS!$A:$D,MATCH(FORNECEDOR!A398,PEDIDOS!$A:$A,0),3)</f>
        <v>#N/A</v>
      </c>
      <c r="E398" s="3" t="e">
        <f>INDEX(PEDIDOS!$A:$D,MATCH(FORNECEDOR!A398,PEDIDOS!$A:$A,0),4)</f>
        <v>#N/A</v>
      </c>
    </row>
    <row r="399" spans="1:5" hidden="1" x14ac:dyDescent="0.25">
      <c r="A399" s="1" t="s">
        <v>398</v>
      </c>
      <c r="B399" s="3">
        <f>COUNTIF(PEDIDOS!$A:$A,FORNECEDOR!A399)</f>
        <v>0</v>
      </c>
      <c r="C399" s="3" t="e">
        <f>INDEX(PEDIDOS!$A:$D,MATCH(FORNECEDOR!A399,PEDIDOS!$A:$A,0),2)</f>
        <v>#N/A</v>
      </c>
      <c r="D399" s="3" t="e">
        <f>INDEX(PEDIDOS!$A:$D,MATCH(FORNECEDOR!A399,PEDIDOS!$A:$A,0),3)</f>
        <v>#N/A</v>
      </c>
      <c r="E399" s="3" t="e">
        <f>INDEX(PEDIDOS!$A:$D,MATCH(FORNECEDOR!A399,PEDIDOS!$A:$A,0),4)</f>
        <v>#N/A</v>
      </c>
    </row>
    <row r="400" spans="1:5" hidden="1" x14ac:dyDescent="0.25">
      <c r="A400" s="1" t="s">
        <v>399</v>
      </c>
      <c r="B400" s="3">
        <f>COUNTIF(PEDIDOS!$A:$A,FORNECEDOR!A400)</f>
        <v>0</v>
      </c>
      <c r="C400" s="3" t="e">
        <f>INDEX(PEDIDOS!$A:$D,MATCH(FORNECEDOR!A400,PEDIDOS!$A:$A,0),2)</f>
        <v>#N/A</v>
      </c>
      <c r="D400" s="3" t="e">
        <f>INDEX(PEDIDOS!$A:$D,MATCH(FORNECEDOR!A400,PEDIDOS!$A:$A,0),3)</f>
        <v>#N/A</v>
      </c>
      <c r="E400" s="3" t="e">
        <f>INDEX(PEDIDOS!$A:$D,MATCH(FORNECEDOR!A400,PEDIDOS!$A:$A,0),4)</f>
        <v>#N/A</v>
      </c>
    </row>
    <row r="401" spans="1:5" x14ac:dyDescent="0.25">
      <c r="A401" s="1" t="s">
        <v>400</v>
      </c>
      <c r="B401" s="3">
        <f>COUNTIF(PEDIDOS!$A:$A,FORNECEDOR!A401)</f>
        <v>1</v>
      </c>
      <c r="C401" s="3" t="str">
        <f>INDEX(PEDIDOS!$A:$D,MATCH(FORNECEDOR!A401,PEDIDOS!$A:$A,0),2)</f>
        <v>SP - PARI</v>
      </c>
      <c r="D401" s="3" t="str">
        <f>INDEX(PEDIDOS!$A:$D,MATCH(FORNECEDOR!A401,PEDIDOS!$A:$A,0),3)</f>
        <v>SP - PARI</v>
      </c>
      <c r="E401" s="3" t="str">
        <f>INDEX(PEDIDOS!$A:$D,MATCH(FORNECEDOR!A401,PEDIDOS!$A:$A,0),4)</f>
        <v>SP - PARI</v>
      </c>
    </row>
    <row r="402" spans="1:5" hidden="1" x14ac:dyDescent="0.25">
      <c r="A402" s="1" t="s">
        <v>401</v>
      </c>
      <c r="B402" s="3">
        <f>COUNTIF(PEDIDOS!$A:$A,FORNECEDOR!A402)</f>
        <v>0</v>
      </c>
      <c r="C402" s="3" t="e">
        <f>INDEX(PEDIDOS!$A:$D,MATCH(FORNECEDOR!A402,PEDIDOS!$A:$A,0),2)</f>
        <v>#N/A</v>
      </c>
      <c r="D402" s="3" t="e">
        <f>INDEX(PEDIDOS!$A:$D,MATCH(FORNECEDOR!A402,PEDIDOS!$A:$A,0),3)</f>
        <v>#N/A</v>
      </c>
      <c r="E402" s="3" t="e">
        <f>INDEX(PEDIDOS!$A:$D,MATCH(FORNECEDOR!A402,PEDIDOS!$A:$A,0),4)</f>
        <v>#N/A</v>
      </c>
    </row>
    <row r="403" spans="1:5" hidden="1" x14ac:dyDescent="0.25">
      <c r="A403" s="1" t="s">
        <v>402</v>
      </c>
      <c r="B403" s="3">
        <f>COUNTIF(PEDIDOS!$A:$A,FORNECEDOR!A403)</f>
        <v>0</v>
      </c>
      <c r="C403" s="3" t="e">
        <f>INDEX(PEDIDOS!$A:$D,MATCH(FORNECEDOR!A403,PEDIDOS!$A:$A,0),2)</f>
        <v>#N/A</v>
      </c>
      <c r="D403" s="3" t="e">
        <f>INDEX(PEDIDOS!$A:$D,MATCH(FORNECEDOR!A403,PEDIDOS!$A:$A,0),3)</f>
        <v>#N/A</v>
      </c>
      <c r="E403" s="3" t="e">
        <f>INDEX(PEDIDOS!$A:$D,MATCH(FORNECEDOR!A403,PEDIDOS!$A:$A,0),4)</f>
        <v>#N/A</v>
      </c>
    </row>
    <row r="404" spans="1:5" hidden="1" x14ac:dyDescent="0.25">
      <c r="A404" s="1" t="s">
        <v>403</v>
      </c>
      <c r="B404" s="3">
        <f>COUNTIF(PEDIDOS!$A:$A,FORNECEDOR!A404)</f>
        <v>0</v>
      </c>
      <c r="C404" s="3" t="e">
        <f>INDEX(PEDIDOS!$A:$D,MATCH(FORNECEDOR!A404,PEDIDOS!$A:$A,0),2)</f>
        <v>#N/A</v>
      </c>
      <c r="D404" s="3" t="e">
        <f>INDEX(PEDIDOS!$A:$D,MATCH(FORNECEDOR!A404,PEDIDOS!$A:$A,0),3)</f>
        <v>#N/A</v>
      </c>
      <c r="E404" s="3" t="e">
        <f>INDEX(PEDIDOS!$A:$D,MATCH(FORNECEDOR!A404,PEDIDOS!$A:$A,0),4)</f>
        <v>#N/A</v>
      </c>
    </row>
    <row r="405" spans="1:5" hidden="1" x14ac:dyDescent="0.25">
      <c r="A405" s="1" t="s">
        <v>404</v>
      </c>
      <c r="B405" s="3">
        <f>COUNTIF(PEDIDOS!$A:$A,FORNECEDOR!A405)</f>
        <v>0</v>
      </c>
      <c r="C405" s="3" t="e">
        <f>INDEX(PEDIDOS!$A:$D,MATCH(FORNECEDOR!A405,PEDIDOS!$A:$A,0),2)</f>
        <v>#N/A</v>
      </c>
      <c r="D405" s="3" t="e">
        <f>INDEX(PEDIDOS!$A:$D,MATCH(FORNECEDOR!A405,PEDIDOS!$A:$A,0),3)</f>
        <v>#N/A</v>
      </c>
      <c r="E405" s="3" t="e">
        <f>INDEX(PEDIDOS!$A:$D,MATCH(FORNECEDOR!A405,PEDIDOS!$A:$A,0),4)</f>
        <v>#N/A</v>
      </c>
    </row>
    <row r="406" spans="1:5" hidden="1" x14ac:dyDescent="0.25">
      <c r="A406" s="1" t="s">
        <v>405</v>
      </c>
      <c r="B406" s="3">
        <f>COUNTIF(PEDIDOS!$A:$A,FORNECEDOR!A406)</f>
        <v>0</v>
      </c>
      <c r="C406" s="3" t="e">
        <f>INDEX(PEDIDOS!$A:$D,MATCH(FORNECEDOR!A406,PEDIDOS!$A:$A,0),2)</f>
        <v>#N/A</v>
      </c>
      <c r="D406" s="3" t="e">
        <f>INDEX(PEDIDOS!$A:$D,MATCH(FORNECEDOR!A406,PEDIDOS!$A:$A,0),3)</f>
        <v>#N/A</v>
      </c>
      <c r="E406" s="3" t="e">
        <f>INDEX(PEDIDOS!$A:$D,MATCH(FORNECEDOR!A406,PEDIDOS!$A:$A,0),4)</f>
        <v>#N/A</v>
      </c>
    </row>
    <row r="407" spans="1:5" hidden="1" x14ac:dyDescent="0.25">
      <c r="A407" s="1" t="s">
        <v>406</v>
      </c>
      <c r="B407" s="3">
        <f>COUNTIF(PEDIDOS!$A:$A,FORNECEDOR!A407)</f>
        <v>0</v>
      </c>
      <c r="C407" s="3" t="e">
        <f>INDEX(PEDIDOS!$A:$D,MATCH(FORNECEDOR!A407,PEDIDOS!$A:$A,0),2)</f>
        <v>#N/A</v>
      </c>
      <c r="D407" s="3" t="e">
        <f>INDEX(PEDIDOS!$A:$D,MATCH(FORNECEDOR!A407,PEDIDOS!$A:$A,0),3)</f>
        <v>#N/A</v>
      </c>
      <c r="E407" s="3" t="e">
        <f>INDEX(PEDIDOS!$A:$D,MATCH(FORNECEDOR!A407,PEDIDOS!$A:$A,0),4)</f>
        <v>#N/A</v>
      </c>
    </row>
    <row r="408" spans="1:5" hidden="1" x14ac:dyDescent="0.25">
      <c r="A408" s="1" t="s">
        <v>407</v>
      </c>
      <c r="B408" s="3">
        <f>COUNTIF(PEDIDOS!$A:$A,FORNECEDOR!A408)</f>
        <v>0</v>
      </c>
      <c r="C408" s="3" t="e">
        <f>INDEX(PEDIDOS!$A:$D,MATCH(FORNECEDOR!A408,PEDIDOS!$A:$A,0),2)</f>
        <v>#N/A</v>
      </c>
      <c r="D408" s="3" t="e">
        <f>INDEX(PEDIDOS!$A:$D,MATCH(FORNECEDOR!A408,PEDIDOS!$A:$A,0),3)</f>
        <v>#N/A</v>
      </c>
      <c r="E408" s="3" t="e">
        <f>INDEX(PEDIDOS!$A:$D,MATCH(FORNECEDOR!A408,PEDIDOS!$A:$A,0),4)</f>
        <v>#N/A</v>
      </c>
    </row>
    <row r="409" spans="1:5" hidden="1" x14ac:dyDescent="0.25">
      <c r="A409" s="1" t="s">
        <v>408</v>
      </c>
      <c r="B409" s="3">
        <f>COUNTIF(PEDIDOS!$A:$A,FORNECEDOR!A409)</f>
        <v>0</v>
      </c>
      <c r="C409" s="3" t="e">
        <f>INDEX(PEDIDOS!$A:$D,MATCH(FORNECEDOR!A409,PEDIDOS!$A:$A,0),2)</f>
        <v>#N/A</v>
      </c>
      <c r="D409" s="3" t="e">
        <f>INDEX(PEDIDOS!$A:$D,MATCH(FORNECEDOR!A409,PEDIDOS!$A:$A,0),3)</f>
        <v>#N/A</v>
      </c>
      <c r="E409" s="3" t="e">
        <f>INDEX(PEDIDOS!$A:$D,MATCH(FORNECEDOR!A409,PEDIDOS!$A:$A,0),4)</f>
        <v>#N/A</v>
      </c>
    </row>
    <row r="410" spans="1:5" hidden="1" x14ac:dyDescent="0.25">
      <c r="A410" s="1" t="s">
        <v>409</v>
      </c>
      <c r="B410" s="3">
        <f>COUNTIF(PEDIDOS!$A:$A,FORNECEDOR!A410)</f>
        <v>0</v>
      </c>
      <c r="C410" s="3" t="e">
        <f>INDEX(PEDIDOS!$A:$D,MATCH(FORNECEDOR!A410,PEDIDOS!$A:$A,0),2)</f>
        <v>#N/A</v>
      </c>
      <c r="D410" s="3" t="e">
        <f>INDEX(PEDIDOS!$A:$D,MATCH(FORNECEDOR!A410,PEDIDOS!$A:$A,0),3)</f>
        <v>#N/A</v>
      </c>
      <c r="E410" s="3" t="e">
        <f>INDEX(PEDIDOS!$A:$D,MATCH(FORNECEDOR!A410,PEDIDOS!$A:$A,0),4)</f>
        <v>#N/A</v>
      </c>
    </row>
    <row r="411" spans="1:5" hidden="1" x14ac:dyDescent="0.25">
      <c r="A411" s="1" t="s">
        <v>410</v>
      </c>
      <c r="B411" s="3">
        <f>COUNTIF(PEDIDOS!$A:$A,FORNECEDOR!A411)</f>
        <v>0</v>
      </c>
      <c r="C411" s="3" t="e">
        <f>INDEX(PEDIDOS!$A:$D,MATCH(FORNECEDOR!A411,PEDIDOS!$A:$A,0),2)</f>
        <v>#N/A</v>
      </c>
      <c r="D411" s="3" t="e">
        <f>INDEX(PEDIDOS!$A:$D,MATCH(FORNECEDOR!A411,PEDIDOS!$A:$A,0),3)</f>
        <v>#N/A</v>
      </c>
      <c r="E411" s="3" t="e">
        <f>INDEX(PEDIDOS!$A:$D,MATCH(FORNECEDOR!A411,PEDIDOS!$A:$A,0),4)</f>
        <v>#N/A</v>
      </c>
    </row>
    <row r="412" spans="1:5" x14ac:dyDescent="0.25">
      <c r="A412" s="1" t="s">
        <v>411</v>
      </c>
      <c r="B412" s="3">
        <f>COUNTIF(PEDIDOS!$A:$A,FORNECEDOR!A412)</f>
        <v>3</v>
      </c>
      <c r="C412" s="3" t="str">
        <f>INDEX(PEDIDOS!$A:$D,MATCH(FORNECEDOR!A412,PEDIDOS!$A:$A,0),2)</f>
        <v>CD NAVEGANTES</v>
      </c>
      <c r="D412" s="3" t="str">
        <f>INDEX(PEDIDOS!$A:$D,MATCH(FORNECEDOR!A412,PEDIDOS!$A:$A,0),3)</f>
        <v>MATRIZ</v>
      </c>
      <c r="E412" s="3" t="str">
        <f>INDEX(PEDIDOS!$A:$D,MATCH(FORNECEDOR!A412,PEDIDOS!$A:$A,0),4)</f>
        <v>CD NAVEGANTES</v>
      </c>
    </row>
    <row r="413" spans="1:5" hidden="1" x14ac:dyDescent="0.25">
      <c r="A413" s="1" t="s">
        <v>412</v>
      </c>
      <c r="B413" s="3">
        <f>COUNTIF(PEDIDOS!$A:$A,FORNECEDOR!A413)</f>
        <v>0</v>
      </c>
      <c r="C413" s="3" t="e">
        <f>INDEX(PEDIDOS!$A:$D,MATCH(FORNECEDOR!A413,PEDIDOS!$A:$A,0),2)</f>
        <v>#N/A</v>
      </c>
      <c r="D413" s="3" t="e">
        <f>INDEX(PEDIDOS!$A:$D,MATCH(FORNECEDOR!A413,PEDIDOS!$A:$A,0),3)</f>
        <v>#N/A</v>
      </c>
      <c r="E413" s="3" t="e">
        <f>INDEX(PEDIDOS!$A:$D,MATCH(FORNECEDOR!A413,PEDIDOS!$A:$A,0),4)</f>
        <v>#N/A</v>
      </c>
    </row>
    <row r="414" spans="1:5" hidden="1" x14ac:dyDescent="0.25">
      <c r="A414" s="1" t="s">
        <v>413</v>
      </c>
      <c r="B414" s="3">
        <f>COUNTIF(PEDIDOS!$A:$A,FORNECEDOR!A414)</f>
        <v>0</v>
      </c>
      <c r="C414" s="3" t="e">
        <f>INDEX(PEDIDOS!$A:$D,MATCH(FORNECEDOR!A414,PEDIDOS!$A:$A,0),2)</f>
        <v>#N/A</v>
      </c>
      <c r="D414" s="3" t="e">
        <f>INDEX(PEDIDOS!$A:$D,MATCH(FORNECEDOR!A414,PEDIDOS!$A:$A,0),3)</f>
        <v>#N/A</v>
      </c>
      <c r="E414" s="3" t="e">
        <f>INDEX(PEDIDOS!$A:$D,MATCH(FORNECEDOR!A414,PEDIDOS!$A:$A,0),4)</f>
        <v>#N/A</v>
      </c>
    </row>
    <row r="415" spans="1:5" x14ac:dyDescent="0.25">
      <c r="A415" s="1" t="s">
        <v>414</v>
      </c>
      <c r="B415" s="3">
        <f>COUNTIF(PEDIDOS!$A:$A,FORNECEDOR!A415)</f>
        <v>1</v>
      </c>
      <c r="C415" s="3" t="str">
        <f>INDEX(PEDIDOS!$A:$D,MATCH(FORNECEDOR!A415,PEDIDOS!$A:$A,0),2)</f>
        <v>CD NAVEGANTES</v>
      </c>
      <c r="D415" s="3" t="str">
        <f>INDEX(PEDIDOS!$A:$D,MATCH(FORNECEDOR!A415,PEDIDOS!$A:$A,0),3)</f>
        <v>MATRIZ</v>
      </c>
      <c r="E415" s="3" t="str">
        <f>INDEX(PEDIDOS!$A:$D,MATCH(FORNECEDOR!A415,PEDIDOS!$A:$A,0),4)</f>
        <v>CD NAVEGANTES</v>
      </c>
    </row>
    <row r="416" spans="1:5" x14ac:dyDescent="0.25">
      <c r="A416" s="1" t="s">
        <v>415</v>
      </c>
      <c r="B416" s="3">
        <f>COUNTIF(PEDIDOS!$A:$A,FORNECEDOR!A416)</f>
        <v>1</v>
      </c>
      <c r="C416" s="3" t="str">
        <f>INDEX(PEDIDOS!$A:$D,MATCH(FORNECEDOR!A416,PEDIDOS!$A:$A,0),2)</f>
        <v>CD REGIS</v>
      </c>
      <c r="D416" s="3" t="str">
        <f>INDEX(PEDIDOS!$A:$D,MATCH(FORNECEDOR!A416,PEDIDOS!$A:$A,0),3)</f>
        <v>TATUAPE</v>
      </c>
      <c r="E416" s="3" t="str">
        <f>INDEX(PEDIDOS!$A:$D,MATCH(FORNECEDOR!A416,PEDIDOS!$A:$A,0),4)</f>
        <v>CD REGIS</v>
      </c>
    </row>
    <row r="417" spans="1:5" hidden="1" x14ac:dyDescent="0.25">
      <c r="A417" s="1" t="s">
        <v>416</v>
      </c>
      <c r="B417" s="3">
        <f>COUNTIF(PEDIDOS!$A:$A,FORNECEDOR!A417)</f>
        <v>0</v>
      </c>
      <c r="C417" s="3" t="e">
        <f>INDEX(PEDIDOS!$A:$D,MATCH(FORNECEDOR!A417,PEDIDOS!$A:$A,0),2)</f>
        <v>#N/A</v>
      </c>
      <c r="D417" s="3" t="e">
        <f>INDEX(PEDIDOS!$A:$D,MATCH(FORNECEDOR!A417,PEDIDOS!$A:$A,0),3)</f>
        <v>#N/A</v>
      </c>
      <c r="E417" s="3" t="e">
        <f>INDEX(PEDIDOS!$A:$D,MATCH(FORNECEDOR!A417,PEDIDOS!$A:$A,0),4)</f>
        <v>#N/A</v>
      </c>
    </row>
    <row r="418" spans="1:5" hidden="1" x14ac:dyDescent="0.25">
      <c r="A418" s="1" t="s">
        <v>417</v>
      </c>
      <c r="B418" s="3">
        <f>COUNTIF(PEDIDOS!$A:$A,FORNECEDOR!A418)</f>
        <v>0</v>
      </c>
      <c r="C418" s="3" t="e">
        <f>INDEX(PEDIDOS!$A:$D,MATCH(FORNECEDOR!A418,PEDIDOS!$A:$A,0),2)</f>
        <v>#N/A</v>
      </c>
      <c r="D418" s="3" t="e">
        <f>INDEX(PEDIDOS!$A:$D,MATCH(FORNECEDOR!A418,PEDIDOS!$A:$A,0),3)</f>
        <v>#N/A</v>
      </c>
      <c r="E418" s="3" t="e">
        <f>INDEX(PEDIDOS!$A:$D,MATCH(FORNECEDOR!A418,PEDIDOS!$A:$A,0),4)</f>
        <v>#N/A</v>
      </c>
    </row>
    <row r="419" spans="1:5" hidden="1" x14ac:dyDescent="0.25">
      <c r="A419" s="1" t="s">
        <v>418</v>
      </c>
      <c r="B419" s="3">
        <f>COUNTIF(PEDIDOS!$A:$A,FORNECEDOR!A419)</f>
        <v>0</v>
      </c>
      <c r="C419" s="3" t="e">
        <f>INDEX(PEDIDOS!$A:$D,MATCH(FORNECEDOR!A419,PEDIDOS!$A:$A,0),2)</f>
        <v>#N/A</v>
      </c>
      <c r="D419" s="3" t="e">
        <f>INDEX(PEDIDOS!$A:$D,MATCH(FORNECEDOR!A419,PEDIDOS!$A:$A,0),3)</f>
        <v>#N/A</v>
      </c>
      <c r="E419" s="3" t="e">
        <f>INDEX(PEDIDOS!$A:$D,MATCH(FORNECEDOR!A419,PEDIDOS!$A:$A,0),4)</f>
        <v>#N/A</v>
      </c>
    </row>
    <row r="420" spans="1:5" hidden="1" x14ac:dyDescent="0.25">
      <c r="A420" s="1" t="s">
        <v>419</v>
      </c>
      <c r="B420" s="3">
        <f>COUNTIF(PEDIDOS!$A:$A,FORNECEDOR!A420)</f>
        <v>0</v>
      </c>
      <c r="C420" s="3" t="e">
        <f>INDEX(PEDIDOS!$A:$D,MATCH(FORNECEDOR!A420,PEDIDOS!$A:$A,0),2)</f>
        <v>#N/A</v>
      </c>
      <c r="D420" s="3" t="e">
        <f>INDEX(PEDIDOS!$A:$D,MATCH(FORNECEDOR!A420,PEDIDOS!$A:$A,0),3)</f>
        <v>#N/A</v>
      </c>
      <c r="E420" s="3" t="e">
        <f>INDEX(PEDIDOS!$A:$D,MATCH(FORNECEDOR!A420,PEDIDOS!$A:$A,0),4)</f>
        <v>#N/A</v>
      </c>
    </row>
    <row r="421" spans="1:5" x14ac:dyDescent="0.25">
      <c r="A421" s="1" t="s">
        <v>420</v>
      </c>
      <c r="B421" s="3">
        <f>COUNTIF(PEDIDOS!$A:$A,FORNECEDOR!A421)</f>
        <v>2</v>
      </c>
      <c r="C421" s="3" t="str">
        <f>INDEX(PEDIDOS!$A:$D,MATCH(FORNECEDOR!A421,PEDIDOS!$A:$A,0),2)</f>
        <v>CD REGIS</v>
      </c>
      <c r="D421" s="3" t="str">
        <f>INDEX(PEDIDOS!$A:$D,MATCH(FORNECEDOR!A421,PEDIDOS!$A:$A,0),3)</f>
        <v>MATRIZ</v>
      </c>
      <c r="E421" s="3" t="str">
        <f>INDEX(PEDIDOS!$A:$D,MATCH(FORNECEDOR!A421,PEDIDOS!$A:$A,0),4)</f>
        <v>CD REGIS</v>
      </c>
    </row>
    <row r="422" spans="1:5" hidden="1" x14ac:dyDescent="0.25">
      <c r="A422" s="1" t="s">
        <v>421</v>
      </c>
      <c r="B422" s="3">
        <f>COUNTIF(PEDIDOS!$A:$A,FORNECEDOR!A422)</f>
        <v>0</v>
      </c>
      <c r="C422" s="3" t="e">
        <f>INDEX(PEDIDOS!$A:$D,MATCH(FORNECEDOR!A422,PEDIDOS!$A:$A,0),2)</f>
        <v>#N/A</v>
      </c>
      <c r="D422" s="3" t="e">
        <f>INDEX(PEDIDOS!$A:$D,MATCH(FORNECEDOR!A422,PEDIDOS!$A:$A,0),3)</f>
        <v>#N/A</v>
      </c>
      <c r="E422" s="3" t="e">
        <f>INDEX(PEDIDOS!$A:$D,MATCH(FORNECEDOR!A422,PEDIDOS!$A:$A,0),4)</f>
        <v>#N/A</v>
      </c>
    </row>
    <row r="423" spans="1:5" hidden="1" x14ac:dyDescent="0.25">
      <c r="A423" s="1" t="s">
        <v>422</v>
      </c>
      <c r="B423" s="3">
        <f>COUNTIF(PEDIDOS!$A:$A,FORNECEDOR!A423)</f>
        <v>0</v>
      </c>
      <c r="C423" s="3" t="e">
        <f>INDEX(PEDIDOS!$A:$D,MATCH(FORNECEDOR!A423,PEDIDOS!$A:$A,0),2)</f>
        <v>#N/A</v>
      </c>
      <c r="D423" s="3" t="e">
        <f>INDEX(PEDIDOS!$A:$D,MATCH(FORNECEDOR!A423,PEDIDOS!$A:$A,0),3)</f>
        <v>#N/A</v>
      </c>
      <c r="E423" s="3" t="e">
        <f>INDEX(PEDIDOS!$A:$D,MATCH(FORNECEDOR!A423,PEDIDOS!$A:$A,0),4)</f>
        <v>#N/A</v>
      </c>
    </row>
    <row r="424" spans="1:5" hidden="1" x14ac:dyDescent="0.25">
      <c r="A424" s="1" t="s">
        <v>423</v>
      </c>
      <c r="B424" s="3">
        <f>COUNTIF(PEDIDOS!$A:$A,FORNECEDOR!A424)</f>
        <v>0</v>
      </c>
      <c r="C424" s="3" t="e">
        <f>INDEX(PEDIDOS!$A:$D,MATCH(FORNECEDOR!A424,PEDIDOS!$A:$A,0),2)</f>
        <v>#N/A</v>
      </c>
      <c r="D424" s="3" t="e">
        <f>INDEX(PEDIDOS!$A:$D,MATCH(FORNECEDOR!A424,PEDIDOS!$A:$A,0),3)</f>
        <v>#N/A</v>
      </c>
      <c r="E424" s="3" t="e">
        <f>INDEX(PEDIDOS!$A:$D,MATCH(FORNECEDOR!A424,PEDIDOS!$A:$A,0),4)</f>
        <v>#N/A</v>
      </c>
    </row>
    <row r="425" spans="1:5" x14ac:dyDescent="0.25">
      <c r="A425" s="1" t="s">
        <v>424</v>
      </c>
      <c r="B425" s="3">
        <f>COUNTIF(PEDIDOS!$A:$A,FORNECEDOR!A425)</f>
        <v>2</v>
      </c>
      <c r="C425" s="3" t="str">
        <f>INDEX(PEDIDOS!$A:$D,MATCH(FORNECEDOR!A425,PEDIDOS!$A:$A,0),2)</f>
        <v>CD REGIS</v>
      </c>
      <c r="D425" s="3" t="str">
        <f>INDEX(PEDIDOS!$A:$D,MATCH(FORNECEDOR!A425,PEDIDOS!$A:$A,0),3)</f>
        <v>CD REGIS</v>
      </c>
      <c r="E425" s="3" t="str">
        <f>INDEX(PEDIDOS!$A:$D,MATCH(FORNECEDOR!A425,PEDIDOS!$A:$A,0),4)</f>
        <v>CD REGIS</v>
      </c>
    </row>
    <row r="426" spans="1:5" hidden="1" x14ac:dyDescent="0.25">
      <c r="A426" s="1" t="s">
        <v>425</v>
      </c>
      <c r="B426" s="3">
        <f>COUNTIF(PEDIDOS!$A:$A,FORNECEDOR!A426)</f>
        <v>0</v>
      </c>
      <c r="C426" s="3" t="e">
        <f>INDEX(PEDIDOS!$A:$D,MATCH(FORNECEDOR!A426,PEDIDOS!$A:$A,0),2)</f>
        <v>#N/A</v>
      </c>
      <c r="D426" s="3" t="e">
        <f>INDEX(PEDIDOS!$A:$D,MATCH(FORNECEDOR!A426,PEDIDOS!$A:$A,0),3)</f>
        <v>#N/A</v>
      </c>
      <c r="E426" s="3" t="e">
        <f>INDEX(PEDIDOS!$A:$D,MATCH(FORNECEDOR!A426,PEDIDOS!$A:$A,0),4)</f>
        <v>#N/A</v>
      </c>
    </row>
    <row r="427" spans="1:5" hidden="1" x14ac:dyDescent="0.25">
      <c r="A427" s="1" t="s">
        <v>426</v>
      </c>
      <c r="B427" s="3">
        <f>COUNTIF(PEDIDOS!$A:$A,FORNECEDOR!A427)</f>
        <v>0</v>
      </c>
      <c r="C427" s="3" t="e">
        <f>INDEX(PEDIDOS!$A:$D,MATCH(FORNECEDOR!A427,PEDIDOS!$A:$A,0),2)</f>
        <v>#N/A</v>
      </c>
      <c r="D427" s="3" t="e">
        <f>INDEX(PEDIDOS!$A:$D,MATCH(FORNECEDOR!A427,PEDIDOS!$A:$A,0),3)</f>
        <v>#N/A</v>
      </c>
      <c r="E427" s="3" t="e">
        <f>INDEX(PEDIDOS!$A:$D,MATCH(FORNECEDOR!A427,PEDIDOS!$A:$A,0),4)</f>
        <v>#N/A</v>
      </c>
    </row>
    <row r="428" spans="1:5" hidden="1" x14ac:dyDescent="0.25">
      <c r="A428" s="1" t="s">
        <v>427</v>
      </c>
      <c r="B428" s="3">
        <f>COUNTIF(PEDIDOS!$A:$A,FORNECEDOR!A428)</f>
        <v>0</v>
      </c>
      <c r="C428" s="3" t="e">
        <f>INDEX(PEDIDOS!$A:$D,MATCH(FORNECEDOR!A428,PEDIDOS!$A:$A,0),2)</f>
        <v>#N/A</v>
      </c>
      <c r="D428" s="3" t="e">
        <f>INDEX(PEDIDOS!$A:$D,MATCH(FORNECEDOR!A428,PEDIDOS!$A:$A,0),3)</f>
        <v>#N/A</v>
      </c>
      <c r="E428" s="3" t="e">
        <f>INDEX(PEDIDOS!$A:$D,MATCH(FORNECEDOR!A428,PEDIDOS!$A:$A,0),4)</f>
        <v>#N/A</v>
      </c>
    </row>
    <row r="429" spans="1:5" hidden="1" x14ac:dyDescent="0.25">
      <c r="A429" s="1" t="s">
        <v>428</v>
      </c>
      <c r="B429" s="3">
        <f>COUNTIF(PEDIDOS!$A:$A,FORNECEDOR!A429)</f>
        <v>0</v>
      </c>
      <c r="C429" s="3" t="e">
        <f>INDEX(PEDIDOS!$A:$D,MATCH(FORNECEDOR!A429,PEDIDOS!$A:$A,0),2)</f>
        <v>#N/A</v>
      </c>
      <c r="D429" s="3" t="e">
        <f>INDEX(PEDIDOS!$A:$D,MATCH(FORNECEDOR!A429,PEDIDOS!$A:$A,0),3)</f>
        <v>#N/A</v>
      </c>
      <c r="E429" s="3" t="e">
        <f>INDEX(PEDIDOS!$A:$D,MATCH(FORNECEDOR!A429,PEDIDOS!$A:$A,0),4)</f>
        <v>#N/A</v>
      </c>
    </row>
    <row r="430" spans="1:5" hidden="1" x14ac:dyDescent="0.25">
      <c r="A430" s="1" t="s">
        <v>429</v>
      </c>
      <c r="B430" s="3">
        <f>COUNTIF(PEDIDOS!$A:$A,FORNECEDOR!A430)</f>
        <v>0</v>
      </c>
      <c r="C430" s="3" t="e">
        <f>INDEX(PEDIDOS!$A:$D,MATCH(FORNECEDOR!A430,PEDIDOS!$A:$A,0),2)</f>
        <v>#N/A</v>
      </c>
      <c r="D430" s="3" t="e">
        <f>INDEX(PEDIDOS!$A:$D,MATCH(FORNECEDOR!A430,PEDIDOS!$A:$A,0),3)</f>
        <v>#N/A</v>
      </c>
      <c r="E430" s="3" t="e">
        <f>INDEX(PEDIDOS!$A:$D,MATCH(FORNECEDOR!A430,PEDIDOS!$A:$A,0),4)</f>
        <v>#N/A</v>
      </c>
    </row>
    <row r="431" spans="1:5" hidden="1" x14ac:dyDescent="0.25">
      <c r="A431" s="1" t="s">
        <v>430</v>
      </c>
      <c r="B431" s="3">
        <f>COUNTIF(PEDIDOS!$A:$A,FORNECEDOR!A431)</f>
        <v>0</v>
      </c>
      <c r="C431" s="3" t="e">
        <f>INDEX(PEDIDOS!$A:$D,MATCH(FORNECEDOR!A431,PEDIDOS!$A:$A,0),2)</f>
        <v>#N/A</v>
      </c>
      <c r="D431" s="3" t="e">
        <f>INDEX(PEDIDOS!$A:$D,MATCH(FORNECEDOR!A431,PEDIDOS!$A:$A,0),3)</f>
        <v>#N/A</v>
      </c>
      <c r="E431" s="3" t="e">
        <f>INDEX(PEDIDOS!$A:$D,MATCH(FORNECEDOR!A431,PEDIDOS!$A:$A,0),4)</f>
        <v>#N/A</v>
      </c>
    </row>
    <row r="432" spans="1:5" x14ac:dyDescent="0.25">
      <c r="A432" s="1" t="s">
        <v>431</v>
      </c>
      <c r="B432" s="3">
        <f>COUNTIF(PEDIDOS!$A:$A,FORNECEDOR!A432)</f>
        <v>1</v>
      </c>
      <c r="C432" s="3" t="str">
        <f>INDEX(PEDIDOS!$A:$D,MATCH(FORNECEDOR!A432,PEDIDOS!$A:$A,0),2)</f>
        <v>CD REGIS</v>
      </c>
      <c r="D432" s="3" t="str">
        <f>INDEX(PEDIDOS!$A:$D,MATCH(FORNECEDOR!A432,PEDIDOS!$A:$A,0),3)</f>
        <v>MATRIZ</v>
      </c>
      <c r="E432" s="3" t="str">
        <f>INDEX(PEDIDOS!$A:$D,MATCH(FORNECEDOR!A432,PEDIDOS!$A:$A,0),4)</f>
        <v>CD REGIS</v>
      </c>
    </row>
    <row r="433" spans="1:5" hidden="1" x14ac:dyDescent="0.25">
      <c r="A433" s="1" t="s">
        <v>432</v>
      </c>
      <c r="B433" s="3">
        <f>COUNTIF(PEDIDOS!$A:$A,FORNECEDOR!A433)</f>
        <v>0</v>
      </c>
      <c r="C433" s="3" t="e">
        <f>INDEX(PEDIDOS!$A:$D,MATCH(FORNECEDOR!A433,PEDIDOS!$A:$A,0),2)</f>
        <v>#N/A</v>
      </c>
      <c r="D433" s="3" t="e">
        <f>INDEX(PEDIDOS!$A:$D,MATCH(FORNECEDOR!A433,PEDIDOS!$A:$A,0),3)</f>
        <v>#N/A</v>
      </c>
      <c r="E433" s="3" t="e">
        <f>INDEX(PEDIDOS!$A:$D,MATCH(FORNECEDOR!A433,PEDIDOS!$A:$A,0),4)</f>
        <v>#N/A</v>
      </c>
    </row>
    <row r="434" spans="1:5" hidden="1" x14ac:dyDescent="0.25">
      <c r="A434" s="1" t="s">
        <v>433</v>
      </c>
      <c r="B434" s="3">
        <f>COUNTIF(PEDIDOS!$A:$A,FORNECEDOR!A434)</f>
        <v>0</v>
      </c>
      <c r="C434" s="3" t="e">
        <f>INDEX(PEDIDOS!$A:$D,MATCH(FORNECEDOR!A434,PEDIDOS!$A:$A,0),2)</f>
        <v>#N/A</v>
      </c>
      <c r="D434" s="3" t="e">
        <f>INDEX(PEDIDOS!$A:$D,MATCH(FORNECEDOR!A434,PEDIDOS!$A:$A,0),3)</f>
        <v>#N/A</v>
      </c>
      <c r="E434" s="3" t="e">
        <f>INDEX(PEDIDOS!$A:$D,MATCH(FORNECEDOR!A434,PEDIDOS!$A:$A,0),4)</f>
        <v>#N/A</v>
      </c>
    </row>
    <row r="435" spans="1:5" x14ac:dyDescent="0.25">
      <c r="A435" s="1" t="s">
        <v>434</v>
      </c>
      <c r="B435" s="3">
        <f>COUNTIF(PEDIDOS!$A:$A,FORNECEDOR!A435)</f>
        <v>1</v>
      </c>
      <c r="C435" s="3" t="str">
        <f>INDEX(PEDIDOS!$A:$D,MATCH(FORNECEDOR!A435,PEDIDOS!$A:$A,0),2)</f>
        <v>CD REGIS</v>
      </c>
      <c r="D435" s="3" t="str">
        <f>INDEX(PEDIDOS!$A:$D,MATCH(FORNECEDOR!A435,PEDIDOS!$A:$A,0),3)</f>
        <v>MATRIZ</v>
      </c>
      <c r="E435" s="3" t="str">
        <f>INDEX(PEDIDOS!$A:$D,MATCH(FORNECEDOR!A435,PEDIDOS!$A:$A,0),4)</f>
        <v>CD REGIS</v>
      </c>
    </row>
    <row r="436" spans="1:5" hidden="1" x14ac:dyDescent="0.25">
      <c r="A436" s="1" t="s">
        <v>435</v>
      </c>
      <c r="B436" s="3">
        <f>COUNTIF(PEDIDOS!$A:$A,FORNECEDOR!A436)</f>
        <v>0</v>
      </c>
      <c r="C436" s="3" t="e">
        <f>INDEX(PEDIDOS!$A:$D,MATCH(FORNECEDOR!A436,PEDIDOS!$A:$A,0),2)</f>
        <v>#N/A</v>
      </c>
      <c r="D436" s="3" t="e">
        <f>INDEX(PEDIDOS!$A:$D,MATCH(FORNECEDOR!A436,PEDIDOS!$A:$A,0),3)</f>
        <v>#N/A</v>
      </c>
      <c r="E436" s="3" t="e">
        <f>INDEX(PEDIDOS!$A:$D,MATCH(FORNECEDOR!A436,PEDIDOS!$A:$A,0),4)</f>
        <v>#N/A</v>
      </c>
    </row>
    <row r="437" spans="1:5" x14ac:dyDescent="0.25">
      <c r="A437" s="1" t="s">
        <v>436</v>
      </c>
      <c r="B437" s="3">
        <f>COUNTIF(PEDIDOS!$A:$A,FORNECEDOR!A437)</f>
        <v>2</v>
      </c>
      <c r="C437" s="3" t="str">
        <f>INDEX(PEDIDOS!$A:$D,MATCH(FORNECEDOR!A437,PEDIDOS!$A:$A,0),2)</f>
        <v>CD REGIS</v>
      </c>
      <c r="D437" s="3" t="str">
        <f>INDEX(PEDIDOS!$A:$D,MATCH(FORNECEDOR!A437,PEDIDOS!$A:$A,0),3)</f>
        <v>MATRIZ</v>
      </c>
      <c r="E437" s="3" t="str">
        <f>INDEX(PEDIDOS!$A:$D,MATCH(FORNECEDOR!A437,PEDIDOS!$A:$A,0),4)</f>
        <v>CD REGIS</v>
      </c>
    </row>
    <row r="438" spans="1:5" x14ac:dyDescent="0.25">
      <c r="A438" s="1" t="s">
        <v>437</v>
      </c>
      <c r="B438" s="3">
        <f>COUNTIF(PEDIDOS!$A:$A,FORNECEDOR!A438)</f>
        <v>1</v>
      </c>
      <c r="C438" s="3" t="str">
        <f>INDEX(PEDIDOS!$A:$D,MATCH(FORNECEDOR!A438,PEDIDOS!$A:$A,0),2)</f>
        <v>CD NAVEGANTES</v>
      </c>
      <c r="D438" s="3" t="str">
        <f>INDEX(PEDIDOS!$A:$D,MATCH(FORNECEDOR!A438,PEDIDOS!$A:$A,0),3)</f>
        <v>MATRIZ</v>
      </c>
      <c r="E438" s="3" t="str">
        <f>INDEX(PEDIDOS!$A:$D,MATCH(FORNECEDOR!A438,PEDIDOS!$A:$A,0),4)</f>
        <v>CD NAVEGANTES</v>
      </c>
    </row>
    <row r="439" spans="1:5" x14ac:dyDescent="0.25">
      <c r="A439" s="1" t="s">
        <v>438</v>
      </c>
      <c r="B439" s="3">
        <f>COUNTIF(PEDIDOS!$A:$A,FORNECEDOR!A439)</f>
        <v>1</v>
      </c>
      <c r="C439" s="3" t="str">
        <f>INDEX(PEDIDOS!$A:$D,MATCH(FORNECEDOR!A439,PEDIDOS!$A:$A,0),2)</f>
        <v>CD REGIS</v>
      </c>
      <c r="D439" s="3" t="str">
        <f>INDEX(PEDIDOS!$A:$D,MATCH(FORNECEDOR!A439,PEDIDOS!$A:$A,0),3)</f>
        <v>MATRIZ</v>
      </c>
      <c r="E439" s="3" t="str">
        <f>INDEX(PEDIDOS!$A:$D,MATCH(FORNECEDOR!A439,PEDIDOS!$A:$A,0),4)</f>
        <v>CD REGIS</v>
      </c>
    </row>
    <row r="440" spans="1:5" hidden="1" x14ac:dyDescent="0.25">
      <c r="A440" s="1" t="s">
        <v>439</v>
      </c>
      <c r="B440" s="3">
        <f>COUNTIF(PEDIDOS!$A:$A,FORNECEDOR!A440)</f>
        <v>0</v>
      </c>
      <c r="C440" s="3" t="e">
        <f>INDEX(PEDIDOS!$A:$D,MATCH(FORNECEDOR!A440,PEDIDOS!$A:$A,0),2)</f>
        <v>#N/A</v>
      </c>
      <c r="D440" s="3" t="e">
        <f>INDEX(PEDIDOS!$A:$D,MATCH(FORNECEDOR!A440,PEDIDOS!$A:$A,0),3)</f>
        <v>#N/A</v>
      </c>
      <c r="E440" s="3" t="e">
        <f>INDEX(PEDIDOS!$A:$D,MATCH(FORNECEDOR!A440,PEDIDOS!$A:$A,0),4)</f>
        <v>#N/A</v>
      </c>
    </row>
    <row r="441" spans="1:5" x14ac:dyDescent="0.25">
      <c r="A441" s="1" t="s">
        <v>440</v>
      </c>
      <c r="B441" s="3">
        <f>COUNTIF(PEDIDOS!$A:$A,FORNECEDOR!A441)</f>
        <v>1</v>
      </c>
      <c r="C441" s="3" t="str">
        <f>INDEX(PEDIDOS!$A:$D,MATCH(FORNECEDOR!A441,PEDIDOS!$A:$A,0),2)</f>
        <v>CD REGIS</v>
      </c>
      <c r="D441" s="3" t="str">
        <f>INDEX(PEDIDOS!$A:$D,MATCH(FORNECEDOR!A441,PEDIDOS!$A:$A,0),3)</f>
        <v>TATUAPE</v>
      </c>
      <c r="E441" s="3" t="str">
        <f>INDEX(PEDIDOS!$A:$D,MATCH(FORNECEDOR!A441,PEDIDOS!$A:$A,0),4)</f>
        <v>CD REGIS</v>
      </c>
    </row>
    <row r="442" spans="1:5" hidden="1" x14ac:dyDescent="0.25">
      <c r="A442" s="1" t="s">
        <v>441</v>
      </c>
      <c r="B442" s="3">
        <f>COUNTIF(PEDIDOS!$A:$A,FORNECEDOR!A442)</f>
        <v>0</v>
      </c>
      <c r="C442" s="3" t="e">
        <f>INDEX(PEDIDOS!$A:$D,MATCH(FORNECEDOR!A442,PEDIDOS!$A:$A,0),2)</f>
        <v>#N/A</v>
      </c>
      <c r="D442" s="3" t="e">
        <f>INDEX(PEDIDOS!$A:$D,MATCH(FORNECEDOR!A442,PEDIDOS!$A:$A,0),3)</f>
        <v>#N/A</v>
      </c>
      <c r="E442" s="3" t="e">
        <f>INDEX(PEDIDOS!$A:$D,MATCH(FORNECEDOR!A442,PEDIDOS!$A:$A,0),4)</f>
        <v>#N/A</v>
      </c>
    </row>
    <row r="443" spans="1:5" hidden="1" x14ac:dyDescent="0.25">
      <c r="A443" s="1" t="s">
        <v>442</v>
      </c>
      <c r="B443" s="3">
        <f>COUNTIF(PEDIDOS!$A:$A,FORNECEDOR!A443)</f>
        <v>0</v>
      </c>
      <c r="C443" s="3" t="e">
        <f>INDEX(PEDIDOS!$A:$D,MATCH(FORNECEDOR!A443,PEDIDOS!$A:$A,0),2)</f>
        <v>#N/A</v>
      </c>
      <c r="D443" s="3" t="e">
        <f>INDEX(PEDIDOS!$A:$D,MATCH(FORNECEDOR!A443,PEDIDOS!$A:$A,0),3)</f>
        <v>#N/A</v>
      </c>
      <c r="E443" s="3" t="e">
        <f>INDEX(PEDIDOS!$A:$D,MATCH(FORNECEDOR!A443,PEDIDOS!$A:$A,0),4)</f>
        <v>#N/A</v>
      </c>
    </row>
    <row r="444" spans="1:5" x14ac:dyDescent="0.25">
      <c r="A444" s="1" t="s">
        <v>443</v>
      </c>
      <c r="B444" s="3">
        <f>COUNTIF(PEDIDOS!$A:$A,FORNECEDOR!A444)</f>
        <v>4</v>
      </c>
      <c r="C444" s="3" t="str">
        <f>INDEX(PEDIDOS!$A:$D,MATCH(FORNECEDOR!A444,PEDIDOS!$A:$A,0),2)</f>
        <v>CD IMPORTACAO</v>
      </c>
      <c r="D444" s="3" t="str">
        <f>INDEX(PEDIDOS!$A:$D,MATCH(FORNECEDOR!A444,PEDIDOS!$A:$A,0),3)</f>
        <v>CD REGIS</v>
      </c>
      <c r="E444" s="3" t="str">
        <f>INDEX(PEDIDOS!$A:$D,MATCH(FORNECEDOR!A444,PEDIDOS!$A:$A,0),4)</f>
        <v>CD IMPORTACAO</v>
      </c>
    </row>
    <row r="445" spans="1:5" x14ac:dyDescent="0.25">
      <c r="A445" s="1" t="s">
        <v>444</v>
      </c>
      <c r="B445" s="3">
        <f>COUNTIF(PEDIDOS!$A:$A,FORNECEDOR!A445)</f>
        <v>1</v>
      </c>
      <c r="C445" s="3" t="str">
        <f>INDEX(PEDIDOS!$A:$D,MATCH(FORNECEDOR!A445,PEDIDOS!$A:$A,0),2)</f>
        <v>CD NAVEGANTES</v>
      </c>
      <c r="D445" s="3" t="str">
        <f>INDEX(PEDIDOS!$A:$D,MATCH(FORNECEDOR!A445,PEDIDOS!$A:$A,0),3)</f>
        <v>CD REGIS</v>
      </c>
      <c r="E445" s="3" t="str">
        <f>INDEX(PEDIDOS!$A:$D,MATCH(FORNECEDOR!A445,PEDIDOS!$A:$A,0),4)</f>
        <v>CD REGIS</v>
      </c>
    </row>
    <row r="446" spans="1:5" x14ac:dyDescent="0.25">
      <c r="A446" s="1" t="s">
        <v>445</v>
      </c>
      <c r="B446" s="3">
        <f>COUNTIF(PEDIDOS!$A:$A,FORNECEDOR!A446)</f>
        <v>1</v>
      </c>
      <c r="C446" s="3" t="str">
        <f>INDEX(PEDIDOS!$A:$D,MATCH(FORNECEDOR!A446,PEDIDOS!$A:$A,0),2)</f>
        <v>MATRIZ</v>
      </c>
      <c r="D446" s="3" t="str">
        <f>INDEX(PEDIDOS!$A:$D,MATCH(FORNECEDOR!A446,PEDIDOS!$A:$A,0),3)</f>
        <v>MATRIZ</v>
      </c>
      <c r="E446" s="3" t="str">
        <f>INDEX(PEDIDOS!$A:$D,MATCH(FORNECEDOR!A446,PEDIDOS!$A:$A,0),4)</f>
        <v>MATRIZ</v>
      </c>
    </row>
    <row r="447" spans="1:5" hidden="1" x14ac:dyDescent="0.25">
      <c r="A447" s="1" t="s">
        <v>446</v>
      </c>
      <c r="B447" s="3">
        <f>COUNTIF(PEDIDOS!$A:$A,FORNECEDOR!A447)</f>
        <v>0</v>
      </c>
      <c r="C447" s="3" t="e">
        <f>INDEX(PEDIDOS!$A:$D,MATCH(FORNECEDOR!A447,PEDIDOS!$A:$A,0),2)</f>
        <v>#N/A</v>
      </c>
      <c r="D447" s="3" t="e">
        <f>INDEX(PEDIDOS!$A:$D,MATCH(FORNECEDOR!A447,PEDIDOS!$A:$A,0),3)</f>
        <v>#N/A</v>
      </c>
      <c r="E447" s="3" t="e">
        <f>INDEX(PEDIDOS!$A:$D,MATCH(FORNECEDOR!A447,PEDIDOS!$A:$A,0),4)</f>
        <v>#N/A</v>
      </c>
    </row>
    <row r="448" spans="1:5" x14ac:dyDescent="0.25">
      <c r="A448" s="1" t="s">
        <v>447</v>
      </c>
      <c r="B448" s="3">
        <f>COUNTIF(PEDIDOS!$A:$A,FORNECEDOR!A448)</f>
        <v>6</v>
      </c>
      <c r="C448" s="3" t="str">
        <f>INDEX(PEDIDOS!$A:$D,MATCH(FORNECEDOR!A448,PEDIDOS!$A:$A,0),2)</f>
        <v>CD ARAQUARI</v>
      </c>
      <c r="D448" s="3" t="str">
        <f>INDEX(PEDIDOS!$A:$D,MATCH(FORNECEDOR!A448,PEDIDOS!$A:$A,0),3)</f>
        <v>MATRIZ</v>
      </c>
      <c r="E448" s="3" t="str">
        <f>INDEX(PEDIDOS!$A:$D,MATCH(FORNECEDOR!A448,PEDIDOS!$A:$A,0),4)</f>
        <v>CD ARAQUARI</v>
      </c>
    </row>
    <row r="449" spans="1:5" hidden="1" x14ac:dyDescent="0.25">
      <c r="A449" s="1" t="s">
        <v>448</v>
      </c>
      <c r="B449" s="3">
        <f>COUNTIF(PEDIDOS!$A:$A,FORNECEDOR!A449)</f>
        <v>0</v>
      </c>
      <c r="C449" s="3" t="e">
        <f>INDEX(PEDIDOS!$A:$D,MATCH(FORNECEDOR!A449,PEDIDOS!$A:$A,0),2)</f>
        <v>#N/A</v>
      </c>
      <c r="D449" s="3" t="e">
        <f>INDEX(PEDIDOS!$A:$D,MATCH(FORNECEDOR!A449,PEDIDOS!$A:$A,0),3)</f>
        <v>#N/A</v>
      </c>
      <c r="E449" s="3" t="e">
        <f>INDEX(PEDIDOS!$A:$D,MATCH(FORNECEDOR!A449,PEDIDOS!$A:$A,0),4)</f>
        <v>#N/A</v>
      </c>
    </row>
    <row r="450" spans="1:5" x14ac:dyDescent="0.25">
      <c r="A450" s="1" t="s">
        <v>449</v>
      </c>
      <c r="B450" s="3">
        <f>COUNTIF(PEDIDOS!$A:$A,FORNECEDOR!A450)</f>
        <v>1</v>
      </c>
      <c r="C450" s="3" t="str">
        <f>INDEX(PEDIDOS!$A:$D,MATCH(FORNECEDOR!A450,PEDIDOS!$A:$A,0),2)</f>
        <v>ANPPLA</v>
      </c>
      <c r="D450" s="3" t="str">
        <f>INDEX(PEDIDOS!$A:$D,MATCH(FORNECEDOR!A450,PEDIDOS!$A:$A,0),3)</f>
        <v>ANPPLA</v>
      </c>
      <c r="E450" s="3" t="str">
        <f>INDEX(PEDIDOS!$A:$D,MATCH(FORNECEDOR!A450,PEDIDOS!$A:$A,0),4)</f>
        <v>ANPPLA</v>
      </c>
    </row>
    <row r="451" spans="1:5" hidden="1" x14ac:dyDescent="0.25">
      <c r="A451" s="1" t="s">
        <v>450</v>
      </c>
      <c r="B451" s="3">
        <f>COUNTIF(PEDIDOS!$A:$A,FORNECEDOR!A451)</f>
        <v>0</v>
      </c>
      <c r="C451" s="3" t="e">
        <f>INDEX(PEDIDOS!$A:$D,MATCH(FORNECEDOR!A451,PEDIDOS!$A:$A,0),2)</f>
        <v>#N/A</v>
      </c>
      <c r="D451" s="3" t="e">
        <f>INDEX(PEDIDOS!$A:$D,MATCH(FORNECEDOR!A451,PEDIDOS!$A:$A,0),3)</f>
        <v>#N/A</v>
      </c>
      <c r="E451" s="3" t="e">
        <f>INDEX(PEDIDOS!$A:$D,MATCH(FORNECEDOR!A451,PEDIDOS!$A:$A,0),4)</f>
        <v>#N/A</v>
      </c>
    </row>
    <row r="452" spans="1:5" hidden="1" x14ac:dyDescent="0.25">
      <c r="A452" s="1" t="s">
        <v>451</v>
      </c>
      <c r="B452" s="3">
        <f>COUNTIF(PEDIDOS!$A:$A,FORNECEDOR!A452)</f>
        <v>0</v>
      </c>
      <c r="C452" s="3" t="e">
        <f>INDEX(PEDIDOS!$A:$D,MATCH(FORNECEDOR!A452,PEDIDOS!$A:$A,0),2)</f>
        <v>#N/A</v>
      </c>
      <c r="D452" s="3" t="e">
        <f>INDEX(PEDIDOS!$A:$D,MATCH(FORNECEDOR!A452,PEDIDOS!$A:$A,0),3)</f>
        <v>#N/A</v>
      </c>
      <c r="E452" s="3" t="e">
        <f>INDEX(PEDIDOS!$A:$D,MATCH(FORNECEDOR!A452,PEDIDOS!$A:$A,0),4)</f>
        <v>#N/A</v>
      </c>
    </row>
    <row r="453" spans="1:5" x14ac:dyDescent="0.25">
      <c r="A453" s="1" t="s">
        <v>452</v>
      </c>
      <c r="B453" s="3">
        <f>COUNTIF(PEDIDOS!$A:$A,FORNECEDOR!A453)</f>
        <v>1</v>
      </c>
      <c r="C453" s="3" t="str">
        <f>INDEX(PEDIDOS!$A:$D,MATCH(FORNECEDOR!A453,PEDIDOS!$A:$A,0),2)</f>
        <v>MATRIZ</v>
      </c>
      <c r="D453" s="3" t="str">
        <f>INDEX(PEDIDOS!$A:$D,MATCH(FORNECEDOR!A453,PEDIDOS!$A:$A,0),3)</f>
        <v>MATRIZ</v>
      </c>
      <c r="E453" s="3" t="str">
        <f>INDEX(PEDIDOS!$A:$D,MATCH(FORNECEDOR!A453,PEDIDOS!$A:$A,0),4)</f>
        <v>MATRIZ</v>
      </c>
    </row>
    <row r="454" spans="1:5" x14ac:dyDescent="0.25">
      <c r="A454" s="1" t="s">
        <v>453</v>
      </c>
      <c r="B454" s="3">
        <f>COUNTIF(PEDIDOS!$A:$A,FORNECEDOR!A454)</f>
        <v>1</v>
      </c>
      <c r="C454" s="3" t="str">
        <f>INDEX(PEDIDOS!$A:$D,MATCH(FORNECEDOR!A454,PEDIDOS!$A:$A,0),2)</f>
        <v>CD REGIS</v>
      </c>
      <c r="D454" s="3" t="str">
        <f>INDEX(PEDIDOS!$A:$D,MATCH(FORNECEDOR!A454,PEDIDOS!$A:$A,0),3)</f>
        <v>TATUAPE</v>
      </c>
      <c r="E454" s="3" t="str">
        <f>INDEX(PEDIDOS!$A:$D,MATCH(FORNECEDOR!A454,PEDIDOS!$A:$A,0),4)</f>
        <v>CD REGIS</v>
      </c>
    </row>
    <row r="455" spans="1:5" x14ac:dyDescent="0.25">
      <c r="A455" s="1" t="s">
        <v>454</v>
      </c>
      <c r="B455" s="3">
        <f>COUNTIF(PEDIDOS!$A:$A,FORNECEDOR!A455)</f>
        <v>3</v>
      </c>
      <c r="C455" s="3" t="str">
        <f>INDEX(PEDIDOS!$A:$D,MATCH(FORNECEDOR!A455,PEDIDOS!$A:$A,0),2)</f>
        <v>ITAQUERA</v>
      </c>
      <c r="D455" s="3" t="str">
        <f>INDEX(PEDIDOS!$A:$D,MATCH(FORNECEDOR!A455,PEDIDOS!$A:$A,0),3)</f>
        <v>ITAQUERA</v>
      </c>
      <c r="E455" s="3" t="str">
        <f>INDEX(PEDIDOS!$A:$D,MATCH(FORNECEDOR!A455,PEDIDOS!$A:$A,0),4)</f>
        <v>ITAQUERA</v>
      </c>
    </row>
    <row r="456" spans="1:5" x14ac:dyDescent="0.25">
      <c r="A456" s="1" t="s">
        <v>455</v>
      </c>
      <c r="B456" s="3">
        <f>COUNTIF(PEDIDOS!$A:$A,FORNECEDOR!A456)</f>
        <v>1</v>
      </c>
      <c r="C456" s="3" t="str">
        <f>INDEX(PEDIDOS!$A:$D,MATCH(FORNECEDOR!A456,PEDIDOS!$A:$A,0),2)</f>
        <v>JUNDIAI</v>
      </c>
      <c r="D456" s="3" t="str">
        <f>INDEX(PEDIDOS!$A:$D,MATCH(FORNECEDOR!A456,PEDIDOS!$A:$A,0),3)</f>
        <v>JUNDIAI</v>
      </c>
      <c r="E456" s="3" t="str">
        <f>INDEX(PEDIDOS!$A:$D,MATCH(FORNECEDOR!A456,PEDIDOS!$A:$A,0),4)</f>
        <v>JUNDIAI</v>
      </c>
    </row>
    <row r="457" spans="1:5" hidden="1" x14ac:dyDescent="0.25">
      <c r="A457" s="1" t="s">
        <v>456</v>
      </c>
      <c r="B457" s="3">
        <f>COUNTIF(PEDIDOS!$A:$A,FORNECEDOR!A457)</f>
        <v>0</v>
      </c>
      <c r="C457" s="3" t="e">
        <f>INDEX(PEDIDOS!$A:$D,MATCH(FORNECEDOR!A457,PEDIDOS!$A:$A,0),2)</f>
        <v>#N/A</v>
      </c>
      <c r="D457" s="3" t="e">
        <f>INDEX(PEDIDOS!$A:$D,MATCH(FORNECEDOR!A457,PEDIDOS!$A:$A,0),3)</f>
        <v>#N/A</v>
      </c>
      <c r="E457" s="3" t="e">
        <f>INDEX(PEDIDOS!$A:$D,MATCH(FORNECEDOR!A457,PEDIDOS!$A:$A,0),4)</f>
        <v>#N/A</v>
      </c>
    </row>
    <row r="458" spans="1:5" hidden="1" x14ac:dyDescent="0.25">
      <c r="A458" s="1" t="s">
        <v>457</v>
      </c>
      <c r="B458" s="3">
        <f>COUNTIF(PEDIDOS!$A:$A,FORNECEDOR!A458)</f>
        <v>0</v>
      </c>
      <c r="C458" s="3" t="e">
        <f>INDEX(PEDIDOS!$A:$D,MATCH(FORNECEDOR!A458,PEDIDOS!$A:$A,0),2)</f>
        <v>#N/A</v>
      </c>
      <c r="D458" s="3" t="e">
        <f>INDEX(PEDIDOS!$A:$D,MATCH(FORNECEDOR!A458,PEDIDOS!$A:$A,0),3)</f>
        <v>#N/A</v>
      </c>
      <c r="E458" s="3" t="e">
        <f>INDEX(PEDIDOS!$A:$D,MATCH(FORNECEDOR!A458,PEDIDOS!$A:$A,0),4)</f>
        <v>#N/A</v>
      </c>
    </row>
    <row r="459" spans="1:5" hidden="1" x14ac:dyDescent="0.25">
      <c r="A459" s="1" t="s">
        <v>458</v>
      </c>
      <c r="B459" s="3">
        <f>COUNTIF(PEDIDOS!$A:$A,FORNECEDOR!A459)</f>
        <v>0</v>
      </c>
      <c r="C459" s="3" t="e">
        <f>INDEX(PEDIDOS!$A:$D,MATCH(FORNECEDOR!A459,PEDIDOS!$A:$A,0),2)</f>
        <v>#N/A</v>
      </c>
      <c r="D459" s="3" t="e">
        <f>INDEX(PEDIDOS!$A:$D,MATCH(FORNECEDOR!A459,PEDIDOS!$A:$A,0),3)</f>
        <v>#N/A</v>
      </c>
      <c r="E459" s="3" t="e">
        <f>INDEX(PEDIDOS!$A:$D,MATCH(FORNECEDOR!A459,PEDIDOS!$A:$A,0),4)</f>
        <v>#N/A</v>
      </c>
    </row>
    <row r="460" spans="1:5" hidden="1" x14ac:dyDescent="0.25">
      <c r="A460" s="1" t="s">
        <v>459</v>
      </c>
      <c r="B460" s="3">
        <f>COUNTIF(PEDIDOS!$A:$A,FORNECEDOR!A460)</f>
        <v>0</v>
      </c>
      <c r="C460" s="3" t="e">
        <f>INDEX(PEDIDOS!$A:$D,MATCH(FORNECEDOR!A460,PEDIDOS!$A:$A,0),2)</f>
        <v>#N/A</v>
      </c>
      <c r="D460" s="3" t="e">
        <f>INDEX(PEDIDOS!$A:$D,MATCH(FORNECEDOR!A460,PEDIDOS!$A:$A,0),3)</f>
        <v>#N/A</v>
      </c>
      <c r="E460" s="3" t="e">
        <f>INDEX(PEDIDOS!$A:$D,MATCH(FORNECEDOR!A460,PEDIDOS!$A:$A,0),4)</f>
        <v>#N/A</v>
      </c>
    </row>
    <row r="461" spans="1:5" x14ac:dyDescent="0.25">
      <c r="A461" s="1" t="s">
        <v>460</v>
      </c>
      <c r="B461" s="3">
        <f>COUNTIF(PEDIDOS!$A:$A,FORNECEDOR!A461)</f>
        <v>1</v>
      </c>
      <c r="C461" s="3" t="str">
        <f>INDEX(PEDIDOS!$A:$D,MATCH(FORNECEDOR!A461,PEDIDOS!$A:$A,0),2)</f>
        <v>AVANTI- ADM C.CREDITO</v>
      </c>
      <c r="D461" s="3" t="str">
        <f>INDEX(PEDIDOS!$A:$D,MATCH(FORNECEDOR!A461,PEDIDOS!$A:$A,0),3)</f>
        <v>AVANTI- ADM C.CREDITO</v>
      </c>
      <c r="E461" s="3" t="str">
        <f>INDEX(PEDIDOS!$A:$D,MATCH(FORNECEDOR!A461,PEDIDOS!$A:$A,0),4)</f>
        <v>AVANTI- ADM C.CREDITO</v>
      </c>
    </row>
    <row r="462" spans="1:5" x14ac:dyDescent="0.25">
      <c r="A462" s="1" t="s">
        <v>461</v>
      </c>
      <c r="B462" s="3">
        <f>COUNTIF(PEDIDOS!$A:$A,FORNECEDOR!A462)</f>
        <v>1</v>
      </c>
      <c r="C462" s="3" t="str">
        <f>INDEX(PEDIDOS!$A:$D,MATCH(FORNECEDOR!A462,PEDIDOS!$A:$A,0),2)</f>
        <v>CD REGIS</v>
      </c>
      <c r="D462" s="3" t="str">
        <f>INDEX(PEDIDOS!$A:$D,MATCH(FORNECEDOR!A462,PEDIDOS!$A:$A,0),3)</f>
        <v>TATUAPE</v>
      </c>
      <c r="E462" s="3" t="str">
        <f>INDEX(PEDIDOS!$A:$D,MATCH(FORNECEDOR!A462,PEDIDOS!$A:$A,0),4)</f>
        <v>CD REGIS</v>
      </c>
    </row>
    <row r="463" spans="1:5" x14ac:dyDescent="0.25">
      <c r="A463" s="1" t="s">
        <v>462</v>
      </c>
      <c r="B463" s="3">
        <f>COUNTIF(PEDIDOS!$A:$A,FORNECEDOR!A463)</f>
        <v>6</v>
      </c>
      <c r="C463" s="3" t="str">
        <f>INDEX(PEDIDOS!$A:$D,MATCH(FORNECEDOR!A463,PEDIDOS!$A:$A,0),2)</f>
        <v>CD ARAQUARI</v>
      </c>
      <c r="D463" s="3" t="str">
        <f>INDEX(PEDIDOS!$A:$D,MATCH(FORNECEDOR!A463,PEDIDOS!$A:$A,0),3)</f>
        <v>MATRIZ</v>
      </c>
      <c r="E463" s="3" t="str">
        <f>INDEX(PEDIDOS!$A:$D,MATCH(FORNECEDOR!A463,PEDIDOS!$A:$A,0),4)</f>
        <v>CD ARAQUARI</v>
      </c>
    </row>
    <row r="464" spans="1:5" hidden="1" x14ac:dyDescent="0.25">
      <c r="A464" s="1" t="s">
        <v>463</v>
      </c>
      <c r="B464" s="3">
        <f>COUNTIF(PEDIDOS!$A:$A,FORNECEDOR!A464)</f>
        <v>0</v>
      </c>
      <c r="C464" s="3" t="e">
        <f>INDEX(PEDIDOS!$A:$D,MATCH(FORNECEDOR!A464,PEDIDOS!$A:$A,0),2)</f>
        <v>#N/A</v>
      </c>
      <c r="D464" s="3" t="e">
        <f>INDEX(PEDIDOS!$A:$D,MATCH(FORNECEDOR!A464,PEDIDOS!$A:$A,0),3)</f>
        <v>#N/A</v>
      </c>
      <c r="E464" s="3" t="e">
        <f>INDEX(PEDIDOS!$A:$D,MATCH(FORNECEDOR!A464,PEDIDOS!$A:$A,0),4)</f>
        <v>#N/A</v>
      </c>
    </row>
    <row r="465" spans="1:5" hidden="1" x14ac:dyDescent="0.25">
      <c r="A465" s="1" t="s">
        <v>464</v>
      </c>
      <c r="B465" s="3">
        <f>COUNTIF(PEDIDOS!$A:$A,FORNECEDOR!A465)</f>
        <v>0</v>
      </c>
      <c r="C465" s="3" t="e">
        <f>INDEX(PEDIDOS!$A:$D,MATCH(FORNECEDOR!A465,PEDIDOS!$A:$A,0),2)</f>
        <v>#N/A</v>
      </c>
      <c r="D465" s="3" t="e">
        <f>INDEX(PEDIDOS!$A:$D,MATCH(FORNECEDOR!A465,PEDIDOS!$A:$A,0),3)</f>
        <v>#N/A</v>
      </c>
      <c r="E465" s="3" t="e">
        <f>INDEX(PEDIDOS!$A:$D,MATCH(FORNECEDOR!A465,PEDIDOS!$A:$A,0),4)</f>
        <v>#N/A</v>
      </c>
    </row>
    <row r="466" spans="1:5" hidden="1" x14ac:dyDescent="0.25">
      <c r="A466" s="1" t="s">
        <v>465</v>
      </c>
      <c r="B466" s="3">
        <f>COUNTIF(PEDIDOS!$A:$A,FORNECEDOR!A466)</f>
        <v>0</v>
      </c>
      <c r="C466" s="3" t="e">
        <f>INDEX(PEDIDOS!$A:$D,MATCH(FORNECEDOR!A466,PEDIDOS!$A:$A,0),2)</f>
        <v>#N/A</v>
      </c>
      <c r="D466" s="3" t="e">
        <f>INDEX(PEDIDOS!$A:$D,MATCH(FORNECEDOR!A466,PEDIDOS!$A:$A,0),3)</f>
        <v>#N/A</v>
      </c>
      <c r="E466" s="3" t="e">
        <f>INDEX(PEDIDOS!$A:$D,MATCH(FORNECEDOR!A466,PEDIDOS!$A:$A,0),4)</f>
        <v>#N/A</v>
      </c>
    </row>
    <row r="467" spans="1:5" hidden="1" x14ac:dyDescent="0.25">
      <c r="A467" s="1" t="s">
        <v>466</v>
      </c>
      <c r="B467" s="3">
        <f>COUNTIF(PEDIDOS!$A:$A,FORNECEDOR!A467)</f>
        <v>0</v>
      </c>
      <c r="C467" s="3" t="e">
        <f>INDEX(PEDIDOS!$A:$D,MATCH(FORNECEDOR!A467,PEDIDOS!$A:$A,0),2)</f>
        <v>#N/A</v>
      </c>
      <c r="D467" s="3" t="e">
        <f>INDEX(PEDIDOS!$A:$D,MATCH(FORNECEDOR!A467,PEDIDOS!$A:$A,0),3)</f>
        <v>#N/A</v>
      </c>
      <c r="E467" s="3" t="e">
        <f>INDEX(PEDIDOS!$A:$D,MATCH(FORNECEDOR!A467,PEDIDOS!$A:$A,0),4)</f>
        <v>#N/A</v>
      </c>
    </row>
    <row r="468" spans="1:5" x14ac:dyDescent="0.25">
      <c r="A468" s="1" t="s">
        <v>467</v>
      </c>
      <c r="B468" s="3">
        <f>COUNTIF(PEDIDOS!$A:$A,FORNECEDOR!A468)</f>
        <v>1</v>
      </c>
      <c r="C468" s="3" t="str">
        <f>INDEX(PEDIDOS!$A:$D,MATCH(FORNECEDOR!A468,PEDIDOS!$A:$A,0),2)</f>
        <v>CD REGIS</v>
      </c>
      <c r="D468" s="3" t="str">
        <f>INDEX(PEDIDOS!$A:$D,MATCH(FORNECEDOR!A468,PEDIDOS!$A:$A,0),3)</f>
        <v>MATRIZ</v>
      </c>
      <c r="E468" s="3" t="str">
        <f>INDEX(PEDIDOS!$A:$D,MATCH(FORNECEDOR!A468,PEDIDOS!$A:$A,0),4)</f>
        <v>CD REGIS</v>
      </c>
    </row>
    <row r="469" spans="1:5" x14ac:dyDescent="0.25">
      <c r="A469" s="1" t="s">
        <v>468</v>
      </c>
      <c r="B469" s="3">
        <f>COUNTIF(PEDIDOS!$A:$A,FORNECEDOR!A469)</f>
        <v>2</v>
      </c>
      <c r="C469" s="3" t="str">
        <f>INDEX(PEDIDOS!$A:$D,MATCH(FORNECEDOR!A469,PEDIDOS!$A:$A,0),2)</f>
        <v>CD REGIS</v>
      </c>
      <c r="D469" s="3" t="str">
        <f>INDEX(PEDIDOS!$A:$D,MATCH(FORNECEDOR!A469,PEDIDOS!$A:$A,0),3)</f>
        <v>MATRIZ</v>
      </c>
      <c r="E469" s="3" t="str">
        <f>INDEX(PEDIDOS!$A:$D,MATCH(FORNECEDOR!A469,PEDIDOS!$A:$A,0),4)</f>
        <v>CD REGIS</v>
      </c>
    </row>
    <row r="470" spans="1:5" x14ac:dyDescent="0.25">
      <c r="A470" s="1" t="s">
        <v>469</v>
      </c>
      <c r="B470" s="3">
        <f>COUNTIF(PEDIDOS!$A:$A,FORNECEDOR!A470)</f>
        <v>3</v>
      </c>
      <c r="C470" s="3" t="str">
        <f>INDEX(PEDIDOS!$A:$D,MATCH(FORNECEDOR!A470,PEDIDOS!$A:$A,0),2)</f>
        <v>CD REGIS</v>
      </c>
      <c r="D470" s="3" t="str">
        <f>INDEX(PEDIDOS!$A:$D,MATCH(FORNECEDOR!A470,PEDIDOS!$A:$A,0),3)</f>
        <v>CD REGIS</v>
      </c>
      <c r="E470" s="3" t="str">
        <f>INDEX(PEDIDOS!$A:$D,MATCH(FORNECEDOR!A470,PEDIDOS!$A:$A,0),4)</f>
        <v>CD REGIS</v>
      </c>
    </row>
    <row r="471" spans="1:5" hidden="1" x14ac:dyDescent="0.25">
      <c r="A471" s="1" t="s">
        <v>470</v>
      </c>
      <c r="B471" s="3">
        <f>COUNTIF(PEDIDOS!$A:$A,FORNECEDOR!A471)</f>
        <v>0</v>
      </c>
      <c r="C471" s="3" t="e">
        <f>INDEX(PEDIDOS!$A:$D,MATCH(FORNECEDOR!A471,PEDIDOS!$A:$A,0),2)</f>
        <v>#N/A</v>
      </c>
      <c r="D471" s="3" t="e">
        <f>INDEX(PEDIDOS!$A:$D,MATCH(FORNECEDOR!A471,PEDIDOS!$A:$A,0),3)</f>
        <v>#N/A</v>
      </c>
      <c r="E471" s="3" t="e">
        <f>INDEX(PEDIDOS!$A:$D,MATCH(FORNECEDOR!A471,PEDIDOS!$A:$A,0),4)</f>
        <v>#N/A</v>
      </c>
    </row>
    <row r="472" spans="1:5" hidden="1" x14ac:dyDescent="0.25">
      <c r="A472" s="1" t="s">
        <v>471</v>
      </c>
      <c r="B472" s="3">
        <f>COUNTIF(PEDIDOS!$A:$A,FORNECEDOR!A472)</f>
        <v>0</v>
      </c>
      <c r="C472" s="3" t="e">
        <f>INDEX(PEDIDOS!$A:$D,MATCH(FORNECEDOR!A472,PEDIDOS!$A:$A,0),2)</f>
        <v>#N/A</v>
      </c>
      <c r="D472" s="3" t="e">
        <f>INDEX(PEDIDOS!$A:$D,MATCH(FORNECEDOR!A472,PEDIDOS!$A:$A,0),3)</f>
        <v>#N/A</v>
      </c>
      <c r="E472" s="3" t="e">
        <f>INDEX(PEDIDOS!$A:$D,MATCH(FORNECEDOR!A472,PEDIDOS!$A:$A,0),4)</f>
        <v>#N/A</v>
      </c>
    </row>
    <row r="473" spans="1:5" x14ac:dyDescent="0.25">
      <c r="A473" s="1" t="s">
        <v>472</v>
      </c>
      <c r="B473" s="3">
        <f>COUNTIF(PEDIDOS!$A:$A,FORNECEDOR!A473)</f>
        <v>1</v>
      </c>
      <c r="C473" s="3" t="str">
        <f>INDEX(PEDIDOS!$A:$D,MATCH(FORNECEDOR!A473,PEDIDOS!$A:$A,0),2)</f>
        <v>CD REGIS</v>
      </c>
      <c r="D473" s="3" t="str">
        <f>INDEX(PEDIDOS!$A:$D,MATCH(FORNECEDOR!A473,PEDIDOS!$A:$A,0),3)</f>
        <v>TATUAPE</v>
      </c>
      <c r="E473" s="3" t="str">
        <f>INDEX(PEDIDOS!$A:$D,MATCH(FORNECEDOR!A473,PEDIDOS!$A:$A,0),4)</f>
        <v>CD REGIS</v>
      </c>
    </row>
    <row r="474" spans="1:5" x14ac:dyDescent="0.25">
      <c r="A474" s="1" t="s">
        <v>473</v>
      </c>
      <c r="B474" s="3">
        <f>COUNTIF(PEDIDOS!$A:$A,FORNECEDOR!A474)</f>
        <v>1</v>
      </c>
      <c r="C474" s="3" t="str">
        <f>INDEX(PEDIDOS!$A:$D,MATCH(FORNECEDOR!A474,PEDIDOS!$A:$A,0),2)</f>
        <v>CD REGIS</v>
      </c>
      <c r="D474" s="3" t="str">
        <f>INDEX(PEDIDOS!$A:$D,MATCH(FORNECEDOR!A474,PEDIDOS!$A:$A,0),3)</f>
        <v>TATUAPE</v>
      </c>
      <c r="E474" s="3" t="str">
        <f>INDEX(PEDIDOS!$A:$D,MATCH(FORNECEDOR!A474,PEDIDOS!$A:$A,0),4)</f>
        <v>CD REGIS</v>
      </c>
    </row>
    <row r="475" spans="1:5" hidden="1" x14ac:dyDescent="0.25">
      <c r="A475" s="1" t="s">
        <v>474</v>
      </c>
      <c r="B475" s="3">
        <f>COUNTIF(PEDIDOS!$A:$A,FORNECEDOR!A475)</f>
        <v>0</v>
      </c>
      <c r="C475" s="3" t="e">
        <f>INDEX(PEDIDOS!$A:$D,MATCH(FORNECEDOR!A475,PEDIDOS!$A:$A,0),2)</f>
        <v>#N/A</v>
      </c>
      <c r="D475" s="3" t="e">
        <f>INDEX(PEDIDOS!$A:$D,MATCH(FORNECEDOR!A475,PEDIDOS!$A:$A,0),3)</f>
        <v>#N/A</v>
      </c>
      <c r="E475" s="3" t="e">
        <f>INDEX(PEDIDOS!$A:$D,MATCH(FORNECEDOR!A475,PEDIDOS!$A:$A,0),4)</f>
        <v>#N/A</v>
      </c>
    </row>
    <row r="476" spans="1:5" x14ac:dyDescent="0.25">
      <c r="A476" s="1" t="s">
        <v>475</v>
      </c>
      <c r="B476" s="3">
        <f>COUNTIF(PEDIDOS!$A:$A,FORNECEDOR!A476)</f>
        <v>2</v>
      </c>
      <c r="C476" s="3" t="str">
        <f>INDEX(PEDIDOS!$A:$D,MATCH(FORNECEDOR!A476,PEDIDOS!$A:$A,0),2)</f>
        <v>CD REGIS</v>
      </c>
      <c r="D476" s="3" t="str">
        <f>INDEX(PEDIDOS!$A:$D,MATCH(FORNECEDOR!A476,PEDIDOS!$A:$A,0),3)</f>
        <v>MATRIZ</v>
      </c>
      <c r="E476" s="3" t="str">
        <f>INDEX(PEDIDOS!$A:$D,MATCH(FORNECEDOR!A476,PEDIDOS!$A:$A,0),4)</f>
        <v>CD REGIS</v>
      </c>
    </row>
    <row r="477" spans="1:5" hidden="1" x14ac:dyDescent="0.25">
      <c r="A477" s="1" t="s">
        <v>476</v>
      </c>
      <c r="B477" s="3">
        <f>COUNTIF(PEDIDOS!$A:$A,FORNECEDOR!A477)</f>
        <v>0</v>
      </c>
      <c r="C477" s="3" t="e">
        <f>INDEX(PEDIDOS!$A:$D,MATCH(FORNECEDOR!A477,PEDIDOS!$A:$A,0),2)</f>
        <v>#N/A</v>
      </c>
      <c r="D477" s="3" t="e">
        <f>INDEX(PEDIDOS!$A:$D,MATCH(FORNECEDOR!A477,PEDIDOS!$A:$A,0),3)</f>
        <v>#N/A</v>
      </c>
      <c r="E477" s="3" t="e">
        <f>INDEX(PEDIDOS!$A:$D,MATCH(FORNECEDOR!A477,PEDIDOS!$A:$A,0),4)</f>
        <v>#N/A</v>
      </c>
    </row>
    <row r="478" spans="1:5" hidden="1" x14ac:dyDescent="0.25">
      <c r="A478" s="1" t="s">
        <v>477</v>
      </c>
      <c r="B478" s="3">
        <f>COUNTIF(PEDIDOS!$A:$A,FORNECEDOR!A478)</f>
        <v>0</v>
      </c>
      <c r="C478" s="3" t="e">
        <f>INDEX(PEDIDOS!$A:$D,MATCH(FORNECEDOR!A478,PEDIDOS!$A:$A,0),2)</f>
        <v>#N/A</v>
      </c>
      <c r="D478" s="3" t="e">
        <f>INDEX(PEDIDOS!$A:$D,MATCH(FORNECEDOR!A478,PEDIDOS!$A:$A,0),3)</f>
        <v>#N/A</v>
      </c>
      <c r="E478" s="3" t="e">
        <f>INDEX(PEDIDOS!$A:$D,MATCH(FORNECEDOR!A478,PEDIDOS!$A:$A,0),4)</f>
        <v>#N/A</v>
      </c>
    </row>
    <row r="479" spans="1:5" hidden="1" x14ac:dyDescent="0.25">
      <c r="A479" s="1" t="s">
        <v>478</v>
      </c>
      <c r="B479" s="3">
        <f>COUNTIF(PEDIDOS!$A:$A,FORNECEDOR!A479)</f>
        <v>0</v>
      </c>
      <c r="C479" s="3" t="e">
        <f>INDEX(PEDIDOS!$A:$D,MATCH(FORNECEDOR!A479,PEDIDOS!$A:$A,0),2)</f>
        <v>#N/A</v>
      </c>
      <c r="D479" s="3" t="e">
        <f>INDEX(PEDIDOS!$A:$D,MATCH(FORNECEDOR!A479,PEDIDOS!$A:$A,0),3)</f>
        <v>#N/A</v>
      </c>
      <c r="E479" s="3" t="e">
        <f>INDEX(PEDIDOS!$A:$D,MATCH(FORNECEDOR!A479,PEDIDOS!$A:$A,0),4)</f>
        <v>#N/A</v>
      </c>
    </row>
    <row r="480" spans="1:5" x14ac:dyDescent="0.25">
      <c r="A480" s="1" t="s">
        <v>479</v>
      </c>
      <c r="B480" s="3">
        <f>COUNTIF(PEDIDOS!$A:$A,FORNECEDOR!A480)</f>
        <v>1</v>
      </c>
      <c r="C480" s="3" t="str">
        <f>INDEX(PEDIDOS!$A:$D,MATCH(FORNECEDOR!A480,PEDIDOS!$A:$A,0),2)</f>
        <v>CD REGIS</v>
      </c>
      <c r="D480" s="3" t="str">
        <f>INDEX(PEDIDOS!$A:$D,MATCH(FORNECEDOR!A480,PEDIDOS!$A:$A,0),3)</f>
        <v>TATUAPE</v>
      </c>
      <c r="E480" s="3" t="str">
        <f>INDEX(PEDIDOS!$A:$D,MATCH(FORNECEDOR!A480,PEDIDOS!$A:$A,0),4)</f>
        <v>CD REGIS</v>
      </c>
    </row>
    <row r="481" spans="1:5" hidden="1" x14ac:dyDescent="0.25">
      <c r="A481" s="1" t="s">
        <v>480</v>
      </c>
      <c r="B481" s="3">
        <f>COUNTIF(PEDIDOS!$A:$A,FORNECEDOR!A481)</f>
        <v>0</v>
      </c>
      <c r="C481" s="3" t="e">
        <f>INDEX(PEDIDOS!$A:$D,MATCH(FORNECEDOR!A481,PEDIDOS!$A:$A,0),2)</f>
        <v>#N/A</v>
      </c>
      <c r="D481" s="3" t="e">
        <f>INDEX(PEDIDOS!$A:$D,MATCH(FORNECEDOR!A481,PEDIDOS!$A:$A,0),3)</f>
        <v>#N/A</v>
      </c>
      <c r="E481" s="3" t="e">
        <f>INDEX(PEDIDOS!$A:$D,MATCH(FORNECEDOR!A481,PEDIDOS!$A:$A,0),4)</f>
        <v>#N/A</v>
      </c>
    </row>
    <row r="482" spans="1:5" hidden="1" x14ac:dyDescent="0.25">
      <c r="A482" s="1" t="s">
        <v>481</v>
      </c>
      <c r="B482" s="3">
        <f>COUNTIF(PEDIDOS!$A:$A,FORNECEDOR!A482)</f>
        <v>0</v>
      </c>
      <c r="C482" s="3" t="e">
        <f>INDEX(PEDIDOS!$A:$D,MATCH(FORNECEDOR!A482,PEDIDOS!$A:$A,0),2)</f>
        <v>#N/A</v>
      </c>
      <c r="D482" s="3" t="e">
        <f>INDEX(PEDIDOS!$A:$D,MATCH(FORNECEDOR!A482,PEDIDOS!$A:$A,0),3)</f>
        <v>#N/A</v>
      </c>
      <c r="E482" s="3" t="e">
        <f>INDEX(PEDIDOS!$A:$D,MATCH(FORNECEDOR!A482,PEDIDOS!$A:$A,0),4)</f>
        <v>#N/A</v>
      </c>
    </row>
    <row r="483" spans="1:5" hidden="1" x14ac:dyDescent="0.25">
      <c r="A483" s="1" t="s">
        <v>482</v>
      </c>
      <c r="B483" s="3">
        <f>COUNTIF(PEDIDOS!$A:$A,FORNECEDOR!A483)</f>
        <v>0</v>
      </c>
      <c r="C483" s="3" t="e">
        <f>INDEX(PEDIDOS!$A:$D,MATCH(FORNECEDOR!A483,PEDIDOS!$A:$A,0),2)</f>
        <v>#N/A</v>
      </c>
      <c r="D483" s="3" t="e">
        <f>INDEX(PEDIDOS!$A:$D,MATCH(FORNECEDOR!A483,PEDIDOS!$A:$A,0),3)</f>
        <v>#N/A</v>
      </c>
      <c r="E483" s="3" t="e">
        <f>INDEX(PEDIDOS!$A:$D,MATCH(FORNECEDOR!A483,PEDIDOS!$A:$A,0),4)</f>
        <v>#N/A</v>
      </c>
    </row>
    <row r="484" spans="1:5" x14ac:dyDescent="0.25">
      <c r="A484" s="1" t="s">
        <v>483</v>
      </c>
      <c r="B484" s="3">
        <f>COUNTIF(PEDIDOS!$A:$A,FORNECEDOR!A484)</f>
        <v>1</v>
      </c>
      <c r="C484" s="3" t="str">
        <f>INDEX(PEDIDOS!$A:$D,MATCH(FORNECEDOR!A484,PEDIDOS!$A:$A,0),2)</f>
        <v>ITAPEVI</v>
      </c>
      <c r="D484" s="3" t="str">
        <f>INDEX(PEDIDOS!$A:$D,MATCH(FORNECEDOR!A484,PEDIDOS!$A:$A,0),3)</f>
        <v>ITAPEVI</v>
      </c>
      <c r="E484" s="3" t="str">
        <f>INDEX(PEDIDOS!$A:$D,MATCH(FORNECEDOR!A484,PEDIDOS!$A:$A,0),4)</f>
        <v>ITAPEVI</v>
      </c>
    </row>
    <row r="485" spans="1:5" x14ac:dyDescent="0.25">
      <c r="A485" s="1" t="s">
        <v>484</v>
      </c>
      <c r="B485" s="3">
        <f>COUNTIF(PEDIDOS!$A:$A,FORNECEDOR!A485)</f>
        <v>1</v>
      </c>
      <c r="C485" s="3" t="str">
        <f>INDEX(PEDIDOS!$A:$D,MATCH(FORNECEDOR!A485,PEDIDOS!$A:$A,0),2)</f>
        <v>MATRIZ</v>
      </c>
      <c r="D485" s="3" t="str">
        <f>INDEX(PEDIDOS!$A:$D,MATCH(FORNECEDOR!A485,PEDIDOS!$A:$A,0),3)</f>
        <v>MATRIZ</v>
      </c>
      <c r="E485" s="3" t="str">
        <f>INDEX(PEDIDOS!$A:$D,MATCH(FORNECEDOR!A485,PEDIDOS!$A:$A,0),4)</f>
        <v>MATRIZ</v>
      </c>
    </row>
    <row r="486" spans="1:5" hidden="1" x14ac:dyDescent="0.25">
      <c r="A486" s="1" t="s">
        <v>485</v>
      </c>
      <c r="B486" s="3">
        <f>COUNTIF(PEDIDOS!$A:$A,FORNECEDOR!A486)</f>
        <v>0</v>
      </c>
      <c r="C486" s="3" t="e">
        <f>INDEX(PEDIDOS!$A:$D,MATCH(FORNECEDOR!A486,PEDIDOS!$A:$A,0),2)</f>
        <v>#N/A</v>
      </c>
      <c r="D486" s="3" t="e">
        <f>INDEX(PEDIDOS!$A:$D,MATCH(FORNECEDOR!A486,PEDIDOS!$A:$A,0),3)</f>
        <v>#N/A</v>
      </c>
      <c r="E486" s="3" t="e">
        <f>INDEX(PEDIDOS!$A:$D,MATCH(FORNECEDOR!A486,PEDIDOS!$A:$A,0),4)</f>
        <v>#N/A</v>
      </c>
    </row>
    <row r="487" spans="1:5" hidden="1" x14ac:dyDescent="0.25">
      <c r="A487" s="1" t="s">
        <v>486</v>
      </c>
      <c r="B487" s="3">
        <f>COUNTIF(PEDIDOS!$A:$A,FORNECEDOR!A487)</f>
        <v>0</v>
      </c>
      <c r="C487" s="3" t="e">
        <f>INDEX(PEDIDOS!$A:$D,MATCH(FORNECEDOR!A487,PEDIDOS!$A:$A,0),2)</f>
        <v>#N/A</v>
      </c>
      <c r="D487" s="3" t="e">
        <f>INDEX(PEDIDOS!$A:$D,MATCH(FORNECEDOR!A487,PEDIDOS!$A:$A,0),3)</f>
        <v>#N/A</v>
      </c>
      <c r="E487" s="3" t="e">
        <f>INDEX(PEDIDOS!$A:$D,MATCH(FORNECEDOR!A487,PEDIDOS!$A:$A,0),4)</f>
        <v>#N/A</v>
      </c>
    </row>
    <row r="488" spans="1:5" hidden="1" x14ac:dyDescent="0.25">
      <c r="A488" s="1" t="s">
        <v>487</v>
      </c>
      <c r="B488" s="3">
        <f>COUNTIF(PEDIDOS!$A:$A,FORNECEDOR!A488)</f>
        <v>0</v>
      </c>
      <c r="C488" s="3" t="e">
        <f>INDEX(PEDIDOS!$A:$D,MATCH(FORNECEDOR!A488,PEDIDOS!$A:$A,0),2)</f>
        <v>#N/A</v>
      </c>
      <c r="D488" s="3" t="e">
        <f>INDEX(PEDIDOS!$A:$D,MATCH(FORNECEDOR!A488,PEDIDOS!$A:$A,0),3)</f>
        <v>#N/A</v>
      </c>
      <c r="E488" s="3" t="e">
        <f>INDEX(PEDIDOS!$A:$D,MATCH(FORNECEDOR!A488,PEDIDOS!$A:$A,0),4)</f>
        <v>#N/A</v>
      </c>
    </row>
    <row r="489" spans="1:5" x14ac:dyDescent="0.25">
      <c r="A489" s="1" t="s">
        <v>488</v>
      </c>
      <c r="B489" s="3">
        <f>COUNTIF(PEDIDOS!$A:$A,FORNECEDOR!A489)</f>
        <v>2</v>
      </c>
      <c r="C489" s="3" t="str">
        <f>INDEX(PEDIDOS!$A:$D,MATCH(FORNECEDOR!A489,PEDIDOS!$A:$A,0),2)</f>
        <v>AVANTI- ADM C.CREDITO</v>
      </c>
      <c r="D489" s="3" t="str">
        <f>INDEX(PEDIDOS!$A:$D,MATCH(FORNECEDOR!A489,PEDIDOS!$A:$A,0),3)</f>
        <v>AVANTI- ADM C.CREDITO</v>
      </c>
      <c r="E489" s="3" t="str">
        <f>INDEX(PEDIDOS!$A:$D,MATCH(FORNECEDOR!A489,PEDIDOS!$A:$A,0),4)</f>
        <v>AVANTI- ADM C.CREDITO</v>
      </c>
    </row>
    <row r="490" spans="1:5" hidden="1" x14ac:dyDescent="0.25">
      <c r="A490" s="1" t="s">
        <v>489</v>
      </c>
      <c r="B490" s="3">
        <f>COUNTIF(PEDIDOS!$A:$A,FORNECEDOR!A490)</f>
        <v>0</v>
      </c>
      <c r="C490" s="3" t="e">
        <f>INDEX(PEDIDOS!$A:$D,MATCH(FORNECEDOR!A490,PEDIDOS!$A:$A,0),2)</f>
        <v>#N/A</v>
      </c>
      <c r="D490" s="3" t="e">
        <f>INDEX(PEDIDOS!$A:$D,MATCH(FORNECEDOR!A490,PEDIDOS!$A:$A,0),3)</f>
        <v>#N/A</v>
      </c>
      <c r="E490" s="3" t="e">
        <f>INDEX(PEDIDOS!$A:$D,MATCH(FORNECEDOR!A490,PEDIDOS!$A:$A,0),4)</f>
        <v>#N/A</v>
      </c>
    </row>
    <row r="491" spans="1:5" x14ac:dyDescent="0.25">
      <c r="A491" s="1" t="s">
        <v>490</v>
      </c>
      <c r="B491" s="3">
        <f>COUNTIF(PEDIDOS!$A:$A,FORNECEDOR!A491)</f>
        <v>2</v>
      </c>
      <c r="C491" s="3" t="str">
        <f>INDEX(PEDIDOS!$A:$D,MATCH(FORNECEDOR!A491,PEDIDOS!$A:$A,0),2)</f>
        <v>CD REGIS</v>
      </c>
      <c r="D491" s="3" t="str">
        <f>INDEX(PEDIDOS!$A:$D,MATCH(FORNECEDOR!A491,PEDIDOS!$A:$A,0),3)</f>
        <v>MATRIZ</v>
      </c>
      <c r="E491" s="3" t="str">
        <f>INDEX(PEDIDOS!$A:$D,MATCH(FORNECEDOR!A491,PEDIDOS!$A:$A,0),4)</f>
        <v>CD REGIS</v>
      </c>
    </row>
    <row r="492" spans="1:5" x14ac:dyDescent="0.25">
      <c r="A492" s="1" t="s">
        <v>491</v>
      </c>
      <c r="B492" s="3">
        <f>COUNTIF(PEDIDOS!$A:$A,FORNECEDOR!A492)</f>
        <v>5</v>
      </c>
      <c r="C492" s="3" t="str">
        <f>INDEX(PEDIDOS!$A:$D,MATCH(FORNECEDOR!A492,PEDIDOS!$A:$A,0),2)</f>
        <v>FRANCISCO MORATO</v>
      </c>
      <c r="D492" s="3" t="str">
        <f>INDEX(PEDIDOS!$A:$D,MATCH(FORNECEDOR!A492,PEDIDOS!$A:$A,0),3)</f>
        <v>FRANCISCO MORATO</v>
      </c>
      <c r="E492" s="3" t="str">
        <f>INDEX(PEDIDOS!$A:$D,MATCH(FORNECEDOR!A492,PEDIDOS!$A:$A,0),4)</f>
        <v>FRANCISCO MORATO</v>
      </c>
    </row>
    <row r="493" spans="1:5" x14ac:dyDescent="0.25">
      <c r="A493" s="1" t="s">
        <v>492</v>
      </c>
      <c r="B493" s="3">
        <f>COUNTIF(PEDIDOS!$A:$A,FORNECEDOR!A493)</f>
        <v>2</v>
      </c>
      <c r="C493" s="3" t="str">
        <f>INDEX(PEDIDOS!$A:$D,MATCH(FORNECEDOR!A493,PEDIDOS!$A:$A,0),2)</f>
        <v>CD NAVEGANTES</v>
      </c>
      <c r="D493" s="3" t="str">
        <f>INDEX(PEDIDOS!$A:$D,MATCH(FORNECEDOR!A493,PEDIDOS!$A:$A,0),3)</f>
        <v>MATRIZ</v>
      </c>
      <c r="E493" s="3" t="str">
        <f>INDEX(PEDIDOS!$A:$D,MATCH(FORNECEDOR!A493,PEDIDOS!$A:$A,0),4)</f>
        <v>CD NAVEGANTES</v>
      </c>
    </row>
    <row r="494" spans="1:5" x14ac:dyDescent="0.25">
      <c r="A494" s="1" t="s">
        <v>493</v>
      </c>
      <c r="B494" s="3">
        <f>COUNTIF(PEDIDOS!$A:$A,FORNECEDOR!A494)</f>
        <v>1</v>
      </c>
      <c r="C494" s="3" t="str">
        <f>INDEX(PEDIDOS!$A:$D,MATCH(FORNECEDOR!A494,PEDIDOS!$A:$A,0),2)</f>
        <v>CD REGIS</v>
      </c>
      <c r="D494" s="3" t="str">
        <f>INDEX(PEDIDOS!$A:$D,MATCH(FORNECEDOR!A494,PEDIDOS!$A:$A,0),3)</f>
        <v>MATRIZ</v>
      </c>
      <c r="E494" s="3" t="str">
        <f>INDEX(PEDIDOS!$A:$D,MATCH(FORNECEDOR!A494,PEDIDOS!$A:$A,0),4)</f>
        <v>CD REGIS</v>
      </c>
    </row>
    <row r="495" spans="1:5" x14ac:dyDescent="0.25">
      <c r="A495" s="1" t="s">
        <v>494</v>
      </c>
      <c r="B495" s="3">
        <f>COUNTIF(PEDIDOS!$A:$A,FORNECEDOR!A495)</f>
        <v>1</v>
      </c>
      <c r="C495" s="3" t="str">
        <f>INDEX(PEDIDOS!$A:$D,MATCH(FORNECEDOR!A495,PEDIDOS!$A:$A,0),2)</f>
        <v>MATRIZ</v>
      </c>
      <c r="D495" s="3" t="str">
        <f>INDEX(PEDIDOS!$A:$D,MATCH(FORNECEDOR!A495,PEDIDOS!$A:$A,0),3)</f>
        <v>MATRIZ</v>
      </c>
      <c r="E495" s="3" t="str">
        <f>INDEX(PEDIDOS!$A:$D,MATCH(FORNECEDOR!A495,PEDIDOS!$A:$A,0),4)</f>
        <v>MATRIZ</v>
      </c>
    </row>
    <row r="496" spans="1:5" hidden="1" x14ac:dyDescent="0.25">
      <c r="A496" s="1" t="s">
        <v>495</v>
      </c>
      <c r="B496" s="3">
        <f>COUNTIF(PEDIDOS!$A:$A,FORNECEDOR!A496)</f>
        <v>0</v>
      </c>
      <c r="C496" s="3" t="e">
        <f>INDEX(PEDIDOS!$A:$D,MATCH(FORNECEDOR!A496,PEDIDOS!$A:$A,0),2)</f>
        <v>#N/A</v>
      </c>
      <c r="D496" s="3" t="e">
        <f>INDEX(PEDIDOS!$A:$D,MATCH(FORNECEDOR!A496,PEDIDOS!$A:$A,0),3)</f>
        <v>#N/A</v>
      </c>
      <c r="E496" s="3" t="e">
        <f>INDEX(PEDIDOS!$A:$D,MATCH(FORNECEDOR!A496,PEDIDOS!$A:$A,0),4)</f>
        <v>#N/A</v>
      </c>
    </row>
    <row r="497" spans="1:5" hidden="1" x14ac:dyDescent="0.25">
      <c r="A497" s="1" t="s">
        <v>496</v>
      </c>
      <c r="B497" s="3">
        <f>COUNTIF(PEDIDOS!$A:$A,FORNECEDOR!A497)</f>
        <v>0</v>
      </c>
      <c r="C497" s="3" t="e">
        <f>INDEX(PEDIDOS!$A:$D,MATCH(FORNECEDOR!A497,PEDIDOS!$A:$A,0),2)</f>
        <v>#N/A</v>
      </c>
      <c r="D497" s="3" t="e">
        <f>INDEX(PEDIDOS!$A:$D,MATCH(FORNECEDOR!A497,PEDIDOS!$A:$A,0),3)</f>
        <v>#N/A</v>
      </c>
      <c r="E497" s="3" t="e">
        <f>INDEX(PEDIDOS!$A:$D,MATCH(FORNECEDOR!A497,PEDIDOS!$A:$A,0),4)</f>
        <v>#N/A</v>
      </c>
    </row>
    <row r="498" spans="1:5" hidden="1" x14ac:dyDescent="0.25">
      <c r="A498" s="1" t="s">
        <v>497</v>
      </c>
      <c r="B498" s="3">
        <f>COUNTIF(PEDIDOS!$A:$A,FORNECEDOR!A498)</f>
        <v>0</v>
      </c>
      <c r="C498" s="3" t="e">
        <f>INDEX(PEDIDOS!$A:$D,MATCH(FORNECEDOR!A498,PEDIDOS!$A:$A,0),2)</f>
        <v>#N/A</v>
      </c>
      <c r="D498" s="3" t="e">
        <f>INDEX(PEDIDOS!$A:$D,MATCH(FORNECEDOR!A498,PEDIDOS!$A:$A,0),3)</f>
        <v>#N/A</v>
      </c>
      <c r="E498" s="3" t="e">
        <f>INDEX(PEDIDOS!$A:$D,MATCH(FORNECEDOR!A498,PEDIDOS!$A:$A,0),4)</f>
        <v>#N/A</v>
      </c>
    </row>
    <row r="499" spans="1:5" hidden="1" x14ac:dyDescent="0.25">
      <c r="A499" s="1" t="s">
        <v>498</v>
      </c>
      <c r="B499" s="3">
        <f>COUNTIF(PEDIDOS!$A:$A,FORNECEDOR!A499)</f>
        <v>0</v>
      </c>
      <c r="C499" s="3" t="e">
        <f>INDEX(PEDIDOS!$A:$D,MATCH(FORNECEDOR!A499,PEDIDOS!$A:$A,0),2)</f>
        <v>#N/A</v>
      </c>
      <c r="D499" s="3" t="e">
        <f>INDEX(PEDIDOS!$A:$D,MATCH(FORNECEDOR!A499,PEDIDOS!$A:$A,0),3)</f>
        <v>#N/A</v>
      </c>
      <c r="E499" s="3" t="e">
        <f>INDEX(PEDIDOS!$A:$D,MATCH(FORNECEDOR!A499,PEDIDOS!$A:$A,0),4)</f>
        <v>#N/A</v>
      </c>
    </row>
    <row r="500" spans="1:5" hidden="1" x14ac:dyDescent="0.25">
      <c r="A500" s="1" t="s">
        <v>499</v>
      </c>
      <c r="B500" s="3">
        <f>COUNTIF(PEDIDOS!$A:$A,FORNECEDOR!A500)</f>
        <v>0</v>
      </c>
      <c r="C500" s="3" t="e">
        <f>INDEX(PEDIDOS!$A:$D,MATCH(FORNECEDOR!A500,PEDIDOS!$A:$A,0),2)</f>
        <v>#N/A</v>
      </c>
      <c r="D500" s="3" t="e">
        <f>INDEX(PEDIDOS!$A:$D,MATCH(FORNECEDOR!A500,PEDIDOS!$A:$A,0),3)</f>
        <v>#N/A</v>
      </c>
      <c r="E500" s="3" t="e">
        <f>INDEX(PEDIDOS!$A:$D,MATCH(FORNECEDOR!A500,PEDIDOS!$A:$A,0),4)</f>
        <v>#N/A</v>
      </c>
    </row>
    <row r="501" spans="1:5" x14ac:dyDescent="0.25">
      <c r="A501" s="1" t="s">
        <v>500</v>
      </c>
      <c r="B501" s="3">
        <f>COUNTIF(PEDIDOS!$A:$A,FORNECEDOR!A501)</f>
        <v>2</v>
      </c>
      <c r="C501" s="3" t="str">
        <f>INDEX(PEDIDOS!$A:$D,MATCH(FORNECEDOR!A501,PEDIDOS!$A:$A,0),2)</f>
        <v>CD ARAQUARI</v>
      </c>
      <c r="D501" s="3" t="str">
        <f>INDEX(PEDIDOS!$A:$D,MATCH(FORNECEDOR!A501,PEDIDOS!$A:$A,0),3)</f>
        <v>MATRIZ</v>
      </c>
      <c r="E501" s="3" t="str">
        <f>INDEX(PEDIDOS!$A:$D,MATCH(FORNECEDOR!A501,PEDIDOS!$A:$A,0),4)</f>
        <v>CD ARAQUARI</v>
      </c>
    </row>
    <row r="502" spans="1:5" x14ac:dyDescent="0.25">
      <c r="A502" s="1" t="s">
        <v>501</v>
      </c>
      <c r="B502" s="3">
        <f>COUNTIF(PEDIDOS!$A:$A,FORNECEDOR!A502)</f>
        <v>1</v>
      </c>
      <c r="C502" s="3" t="str">
        <f>INDEX(PEDIDOS!$A:$D,MATCH(FORNECEDOR!A502,PEDIDOS!$A:$A,0),2)</f>
        <v>CD REGIS</v>
      </c>
      <c r="D502" s="3" t="str">
        <f>INDEX(PEDIDOS!$A:$D,MATCH(FORNECEDOR!A502,PEDIDOS!$A:$A,0),3)</f>
        <v>TATUAPE</v>
      </c>
      <c r="E502" s="3" t="str">
        <f>INDEX(PEDIDOS!$A:$D,MATCH(FORNECEDOR!A502,PEDIDOS!$A:$A,0),4)</f>
        <v>CD REGIS</v>
      </c>
    </row>
    <row r="503" spans="1:5" hidden="1" x14ac:dyDescent="0.25">
      <c r="A503" s="1" t="s">
        <v>502</v>
      </c>
      <c r="B503" s="3">
        <f>COUNTIF(PEDIDOS!$A:$A,FORNECEDOR!A503)</f>
        <v>0</v>
      </c>
      <c r="C503" s="3" t="e">
        <f>INDEX(PEDIDOS!$A:$D,MATCH(FORNECEDOR!A503,PEDIDOS!$A:$A,0),2)</f>
        <v>#N/A</v>
      </c>
      <c r="D503" s="3" t="e">
        <f>INDEX(PEDIDOS!$A:$D,MATCH(FORNECEDOR!A503,PEDIDOS!$A:$A,0),3)</f>
        <v>#N/A</v>
      </c>
      <c r="E503" s="3" t="e">
        <f>INDEX(PEDIDOS!$A:$D,MATCH(FORNECEDOR!A503,PEDIDOS!$A:$A,0),4)</f>
        <v>#N/A</v>
      </c>
    </row>
    <row r="504" spans="1:5" hidden="1" x14ac:dyDescent="0.25">
      <c r="A504" s="1" t="s">
        <v>503</v>
      </c>
      <c r="B504" s="3">
        <f>COUNTIF(PEDIDOS!$A:$A,FORNECEDOR!A504)</f>
        <v>0</v>
      </c>
      <c r="C504" s="3" t="e">
        <f>INDEX(PEDIDOS!$A:$D,MATCH(FORNECEDOR!A504,PEDIDOS!$A:$A,0),2)</f>
        <v>#N/A</v>
      </c>
      <c r="D504" s="3" t="e">
        <f>INDEX(PEDIDOS!$A:$D,MATCH(FORNECEDOR!A504,PEDIDOS!$A:$A,0),3)</f>
        <v>#N/A</v>
      </c>
      <c r="E504" s="3" t="e">
        <f>INDEX(PEDIDOS!$A:$D,MATCH(FORNECEDOR!A504,PEDIDOS!$A:$A,0),4)</f>
        <v>#N/A</v>
      </c>
    </row>
    <row r="505" spans="1:5" hidden="1" x14ac:dyDescent="0.25">
      <c r="A505" s="1" t="s">
        <v>504</v>
      </c>
      <c r="B505" s="3">
        <f>COUNTIF(PEDIDOS!$A:$A,FORNECEDOR!A505)</f>
        <v>0</v>
      </c>
      <c r="C505" s="3" t="e">
        <f>INDEX(PEDIDOS!$A:$D,MATCH(FORNECEDOR!A505,PEDIDOS!$A:$A,0),2)</f>
        <v>#N/A</v>
      </c>
      <c r="D505" s="3" t="e">
        <f>INDEX(PEDIDOS!$A:$D,MATCH(FORNECEDOR!A505,PEDIDOS!$A:$A,0),3)</f>
        <v>#N/A</v>
      </c>
      <c r="E505" s="3" t="e">
        <f>INDEX(PEDIDOS!$A:$D,MATCH(FORNECEDOR!A505,PEDIDOS!$A:$A,0),4)</f>
        <v>#N/A</v>
      </c>
    </row>
    <row r="506" spans="1:5" hidden="1" x14ac:dyDescent="0.25">
      <c r="A506" s="1" t="s">
        <v>505</v>
      </c>
      <c r="B506" s="3">
        <f>COUNTIF(PEDIDOS!$A:$A,FORNECEDOR!A506)</f>
        <v>0</v>
      </c>
      <c r="C506" s="3" t="e">
        <f>INDEX(PEDIDOS!$A:$D,MATCH(FORNECEDOR!A506,PEDIDOS!$A:$A,0),2)</f>
        <v>#N/A</v>
      </c>
      <c r="D506" s="3" t="e">
        <f>INDEX(PEDIDOS!$A:$D,MATCH(FORNECEDOR!A506,PEDIDOS!$A:$A,0),3)</f>
        <v>#N/A</v>
      </c>
      <c r="E506" s="3" t="e">
        <f>INDEX(PEDIDOS!$A:$D,MATCH(FORNECEDOR!A506,PEDIDOS!$A:$A,0),4)</f>
        <v>#N/A</v>
      </c>
    </row>
    <row r="507" spans="1:5" hidden="1" x14ac:dyDescent="0.25">
      <c r="A507" s="1" t="s">
        <v>506</v>
      </c>
      <c r="B507" s="3">
        <f>COUNTIF(PEDIDOS!$A:$A,FORNECEDOR!A507)</f>
        <v>0</v>
      </c>
      <c r="C507" s="3" t="e">
        <f>INDEX(PEDIDOS!$A:$D,MATCH(FORNECEDOR!A507,PEDIDOS!$A:$A,0),2)</f>
        <v>#N/A</v>
      </c>
      <c r="D507" s="3" t="e">
        <f>INDEX(PEDIDOS!$A:$D,MATCH(FORNECEDOR!A507,PEDIDOS!$A:$A,0),3)</f>
        <v>#N/A</v>
      </c>
      <c r="E507" s="3" t="e">
        <f>INDEX(PEDIDOS!$A:$D,MATCH(FORNECEDOR!A507,PEDIDOS!$A:$A,0),4)</f>
        <v>#N/A</v>
      </c>
    </row>
    <row r="508" spans="1:5" hidden="1" x14ac:dyDescent="0.25">
      <c r="A508" s="1" t="s">
        <v>507</v>
      </c>
      <c r="B508" s="3">
        <f>COUNTIF(PEDIDOS!$A:$A,FORNECEDOR!A508)</f>
        <v>0</v>
      </c>
      <c r="C508" s="3" t="e">
        <f>INDEX(PEDIDOS!$A:$D,MATCH(FORNECEDOR!A508,PEDIDOS!$A:$A,0),2)</f>
        <v>#N/A</v>
      </c>
      <c r="D508" s="3" t="e">
        <f>INDEX(PEDIDOS!$A:$D,MATCH(FORNECEDOR!A508,PEDIDOS!$A:$A,0),3)</f>
        <v>#N/A</v>
      </c>
      <c r="E508" s="3" t="e">
        <f>INDEX(PEDIDOS!$A:$D,MATCH(FORNECEDOR!A508,PEDIDOS!$A:$A,0),4)</f>
        <v>#N/A</v>
      </c>
    </row>
    <row r="509" spans="1:5" hidden="1" x14ac:dyDescent="0.25">
      <c r="A509" s="1" t="s">
        <v>508</v>
      </c>
      <c r="B509" s="3">
        <f>COUNTIF(PEDIDOS!$A:$A,FORNECEDOR!A509)</f>
        <v>0</v>
      </c>
      <c r="C509" s="3" t="e">
        <f>INDEX(PEDIDOS!$A:$D,MATCH(FORNECEDOR!A509,PEDIDOS!$A:$A,0),2)</f>
        <v>#N/A</v>
      </c>
      <c r="D509" s="3" t="e">
        <f>INDEX(PEDIDOS!$A:$D,MATCH(FORNECEDOR!A509,PEDIDOS!$A:$A,0),3)</f>
        <v>#N/A</v>
      </c>
      <c r="E509" s="3" t="e">
        <f>INDEX(PEDIDOS!$A:$D,MATCH(FORNECEDOR!A509,PEDIDOS!$A:$A,0),4)</f>
        <v>#N/A</v>
      </c>
    </row>
    <row r="510" spans="1:5" x14ac:dyDescent="0.25">
      <c r="A510" s="1" t="s">
        <v>509</v>
      </c>
      <c r="B510" s="3">
        <f>COUNTIF(PEDIDOS!$A:$A,FORNECEDOR!A510)</f>
        <v>4</v>
      </c>
      <c r="C510" s="3" t="str">
        <f>INDEX(PEDIDOS!$A:$D,MATCH(FORNECEDOR!A510,PEDIDOS!$A:$A,0),2)</f>
        <v>CARAPICUIBA</v>
      </c>
      <c r="D510" s="3" t="str">
        <f>INDEX(PEDIDOS!$A:$D,MATCH(FORNECEDOR!A510,PEDIDOS!$A:$A,0),3)</f>
        <v>CARAPICUIBA</v>
      </c>
      <c r="E510" s="3" t="str">
        <f>INDEX(PEDIDOS!$A:$D,MATCH(FORNECEDOR!A510,PEDIDOS!$A:$A,0),4)</f>
        <v>CARAPICUIBA</v>
      </c>
    </row>
    <row r="511" spans="1:5" x14ac:dyDescent="0.25">
      <c r="A511" s="1" t="s">
        <v>510</v>
      </c>
      <c r="B511" s="3">
        <f>COUNTIF(PEDIDOS!$A:$A,FORNECEDOR!A511)</f>
        <v>9</v>
      </c>
      <c r="C511" s="3" t="str">
        <f>INDEX(PEDIDOS!$A:$D,MATCH(FORNECEDOR!A511,PEDIDOS!$A:$A,0),2)</f>
        <v>ANPPLA</v>
      </c>
      <c r="D511" s="3" t="str">
        <f>INDEX(PEDIDOS!$A:$D,MATCH(FORNECEDOR!A511,PEDIDOS!$A:$A,0),3)</f>
        <v>ANPPLA</v>
      </c>
      <c r="E511" s="3" t="str">
        <f>INDEX(PEDIDOS!$A:$D,MATCH(FORNECEDOR!A511,PEDIDOS!$A:$A,0),4)</f>
        <v>ANPPLA</v>
      </c>
    </row>
    <row r="512" spans="1:5" hidden="1" x14ac:dyDescent="0.25">
      <c r="A512" s="1" t="s">
        <v>511</v>
      </c>
      <c r="B512" s="3">
        <f>COUNTIF(PEDIDOS!$A:$A,FORNECEDOR!A512)</f>
        <v>0</v>
      </c>
      <c r="C512" s="3" t="e">
        <f>INDEX(PEDIDOS!$A:$D,MATCH(FORNECEDOR!A512,PEDIDOS!$A:$A,0),2)</f>
        <v>#N/A</v>
      </c>
      <c r="D512" s="3" t="e">
        <f>INDEX(PEDIDOS!$A:$D,MATCH(FORNECEDOR!A512,PEDIDOS!$A:$A,0),3)</f>
        <v>#N/A</v>
      </c>
      <c r="E512" s="3" t="e">
        <f>INDEX(PEDIDOS!$A:$D,MATCH(FORNECEDOR!A512,PEDIDOS!$A:$A,0),4)</f>
        <v>#N/A</v>
      </c>
    </row>
    <row r="513" spans="1:5" x14ac:dyDescent="0.25">
      <c r="A513" s="1" t="s">
        <v>512</v>
      </c>
      <c r="B513" s="3">
        <f>COUNTIF(PEDIDOS!$A:$A,FORNECEDOR!A513)</f>
        <v>1</v>
      </c>
      <c r="C513" s="3" t="str">
        <f>INDEX(PEDIDOS!$A:$D,MATCH(FORNECEDOR!A513,PEDIDOS!$A:$A,0),2)</f>
        <v>MATRIZ</v>
      </c>
      <c r="D513" s="3" t="str">
        <f>INDEX(PEDIDOS!$A:$D,MATCH(FORNECEDOR!A513,PEDIDOS!$A:$A,0),3)</f>
        <v>MATRIZ</v>
      </c>
      <c r="E513" s="3" t="str">
        <f>INDEX(PEDIDOS!$A:$D,MATCH(FORNECEDOR!A513,PEDIDOS!$A:$A,0),4)</f>
        <v>MATRIZ</v>
      </c>
    </row>
    <row r="514" spans="1:5" hidden="1" x14ac:dyDescent="0.25">
      <c r="A514" s="1" t="s">
        <v>513</v>
      </c>
      <c r="B514" s="3">
        <f>COUNTIF(PEDIDOS!$A:$A,FORNECEDOR!A514)</f>
        <v>0</v>
      </c>
      <c r="C514" s="3" t="e">
        <f>INDEX(PEDIDOS!$A:$D,MATCH(FORNECEDOR!A514,PEDIDOS!$A:$A,0),2)</f>
        <v>#N/A</v>
      </c>
      <c r="D514" s="3" t="e">
        <f>INDEX(PEDIDOS!$A:$D,MATCH(FORNECEDOR!A514,PEDIDOS!$A:$A,0),3)</f>
        <v>#N/A</v>
      </c>
      <c r="E514" s="3" t="e">
        <f>INDEX(PEDIDOS!$A:$D,MATCH(FORNECEDOR!A514,PEDIDOS!$A:$A,0),4)</f>
        <v>#N/A</v>
      </c>
    </row>
    <row r="515" spans="1:5" x14ac:dyDescent="0.25">
      <c r="A515" s="1" t="s">
        <v>514</v>
      </c>
      <c r="B515" s="3">
        <f>COUNTIF(PEDIDOS!$A:$A,FORNECEDOR!A515)</f>
        <v>1</v>
      </c>
      <c r="C515" s="3" t="str">
        <f>INDEX(PEDIDOS!$A:$D,MATCH(FORNECEDOR!A515,PEDIDOS!$A:$A,0),2)</f>
        <v>MATRIZ</v>
      </c>
      <c r="D515" s="3" t="str">
        <f>INDEX(PEDIDOS!$A:$D,MATCH(FORNECEDOR!A515,PEDIDOS!$A:$A,0),3)</f>
        <v>MATRIZ</v>
      </c>
      <c r="E515" s="3" t="str">
        <f>INDEX(PEDIDOS!$A:$D,MATCH(FORNECEDOR!A515,PEDIDOS!$A:$A,0),4)</f>
        <v>MATRIZ</v>
      </c>
    </row>
    <row r="516" spans="1:5" x14ac:dyDescent="0.25">
      <c r="A516" s="1" t="s">
        <v>515</v>
      </c>
      <c r="B516" s="3">
        <f>COUNTIF(PEDIDOS!$A:$A,FORNECEDOR!A516)</f>
        <v>1</v>
      </c>
      <c r="C516" s="3" t="str">
        <f>INDEX(PEDIDOS!$A:$D,MATCH(FORNECEDOR!A516,PEDIDOS!$A:$A,0),2)</f>
        <v>AVANTI- ADM C.CREDITO</v>
      </c>
      <c r="D516" s="3" t="str">
        <f>INDEX(PEDIDOS!$A:$D,MATCH(FORNECEDOR!A516,PEDIDOS!$A:$A,0),3)</f>
        <v>AVANTI- ADM C.CREDITO</v>
      </c>
      <c r="E516" s="3" t="str">
        <f>INDEX(PEDIDOS!$A:$D,MATCH(FORNECEDOR!A516,PEDIDOS!$A:$A,0),4)</f>
        <v>AVANTI- ADM C.CREDITO</v>
      </c>
    </row>
    <row r="517" spans="1:5" hidden="1" x14ac:dyDescent="0.25">
      <c r="A517" s="1" t="s">
        <v>516</v>
      </c>
      <c r="B517" s="3">
        <f>COUNTIF(PEDIDOS!$A:$A,FORNECEDOR!A517)</f>
        <v>0</v>
      </c>
      <c r="C517" s="3" t="e">
        <f>INDEX(PEDIDOS!$A:$D,MATCH(FORNECEDOR!A517,PEDIDOS!$A:$A,0),2)</f>
        <v>#N/A</v>
      </c>
      <c r="D517" s="3" t="e">
        <f>INDEX(PEDIDOS!$A:$D,MATCH(FORNECEDOR!A517,PEDIDOS!$A:$A,0),3)</f>
        <v>#N/A</v>
      </c>
      <c r="E517" s="3" t="e">
        <f>INDEX(PEDIDOS!$A:$D,MATCH(FORNECEDOR!A517,PEDIDOS!$A:$A,0),4)</f>
        <v>#N/A</v>
      </c>
    </row>
    <row r="518" spans="1:5" x14ac:dyDescent="0.25">
      <c r="A518" s="1" t="s">
        <v>517</v>
      </c>
      <c r="B518" s="3">
        <f>COUNTIF(PEDIDOS!$A:$A,FORNECEDOR!A518)</f>
        <v>3</v>
      </c>
      <c r="C518" s="3" t="str">
        <f>INDEX(PEDIDOS!$A:$D,MATCH(FORNECEDOR!A518,PEDIDOS!$A:$A,0),2)</f>
        <v>CIDADE OCIAN</v>
      </c>
      <c r="D518" s="3" t="str">
        <f>INDEX(PEDIDOS!$A:$D,MATCH(FORNECEDOR!A518,PEDIDOS!$A:$A,0),3)</f>
        <v>CIDADE OCIAN</v>
      </c>
      <c r="E518" s="3" t="str">
        <f>INDEX(PEDIDOS!$A:$D,MATCH(FORNECEDOR!A518,PEDIDOS!$A:$A,0),4)</f>
        <v>CIDADE OCIAN</v>
      </c>
    </row>
    <row r="519" spans="1:5" x14ac:dyDescent="0.25">
      <c r="A519" s="1" t="s">
        <v>518</v>
      </c>
      <c r="B519" s="3">
        <f>COUNTIF(PEDIDOS!$A:$A,FORNECEDOR!A519)</f>
        <v>1</v>
      </c>
      <c r="C519" s="3" t="str">
        <f>INDEX(PEDIDOS!$A:$D,MATCH(FORNECEDOR!A519,PEDIDOS!$A:$A,0),2)</f>
        <v>AVANTI- ADM C.CREDITO</v>
      </c>
      <c r="D519" s="3" t="str">
        <f>INDEX(PEDIDOS!$A:$D,MATCH(FORNECEDOR!A519,PEDIDOS!$A:$A,0),3)</f>
        <v>AVANTI- ADM C.CREDITO</v>
      </c>
      <c r="E519" s="3" t="str">
        <f>INDEX(PEDIDOS!$A:$D,MATCH(FORNECEDOR!A519,PEDIDOS!$A:$A,0),4)</f>
        <v>AVANTI- ADM C.CREDITO</v>
      </c>
    </row>
    <row r="520" spans="1:5" hidden="1" x14ac:dyDescent="0.25">
      <c r="A520" s="1" t="s">
        <v>519</v>
      </c>
      <c r="B520" s="3">
        <f>COUNTIF(PEDIDOS!$A:$A,FORNECEDOR!A520)</f>
        <v>0</v>
      </c>
      <c r="C520" s="3" t="e">
        <f>INDEX(PEDIDOS!$A:$D,MATCH(FORNECEDOR!A520,PEDIDOS!$A:$A,0),2)</f>
        <v>#N/A</v>
      </c>
      <c r="D520" s="3" t="e">
        <f>INDEX(PEDIDOS!$A:$D,MATCH(FORNECEDOR!A520,PEDIDOS!$A:$A,0),3)</f>
        <v>#N/A</v>
      </c>
      <c r="E520" s="3" t="e">
        <f>INDEX(PEDIDOS!$A:$D,MATCH(FORNECEDOR!A520,PEDIDOS!$A:$A,0),4)</f>
        <v>#N/A</v>
      </c>
    </row>
    <row r="521" spans="1:5" hidden="1" x14ac:dyDescent="0.25">
      <c r="A521" s="1" t="s">
        <v>520</v>
      </c>
      <c r="B521" s="3">
        <f>COUNTIF(PEDIDOS!$A:$A,FORNECEDOR!A521)</f>
        <v>0</v>
      </c>
      <c r="C521" s="3" t="e">
        <f>INDEX(PEDIDOS!$A:$D,MATCH(FORNECEDOR!A521,PEDIDOS!$A:$A,0),2)</f>
        <v>#N/A</v>
      </c>
      <c r="D521" s="3" t="e">
        <f>INDEX(PEDIDOS!$A:$D,MATCH(FORNECEDOR!A521,PEDIDOS!$A:$A,0),3)</f>
        <v>#N/A</v>
      </c>
      <c r="E521" s="3" t="e">
        <f>INDEX(PEDIDOS!$A:$D,MATCH(FORNECEDOR!A521,PEDIDOS!$A:$A,0),4)</f>
        <v>#N/A</v>
      </c>
    </row>
    <row r="522" spans="1:5" hidden="1" x14ac:dyDescent="0.25">
      <c r="A522" s="1" t="s">
        <v>521</v>
      </c>
      <c r="B522" s="3">
        <f>COUNTIF(PEDIDOS!$A:$A,FORNECEDOR!A522)</f>
        <v>0</v>
      </c>
      <c r="C522" s="3" t="e">
        <f>INDEX(PEDIDOS!$A:$D,MATCH(FORNECEDOR!A522,PEDIDOS!$A:$A,0),2)</f>
        <v>#N/A</v>
      </c>
      <c r="D522" s="3" t="e">
        <f>INDEX(PEDIDOS!$A:$D,MATCH(FORNECEDOR!A522,PEDIDOS!$A:$A,0),3)</f>
        <v>#N/A</v>
      </c>
      <c r="E522" s="3" t="e">
        <f>INDEX(PEDIDOS!$A:$D,MATCH(FORNECEDOR!A522,PEDIDOS!$A:$A,0),4)</f>
        <v>#N/A</v>
      </c>
    </row>
    <row r="523" spans="1:5" x14ac:dyDescent="0.25">
      <c r="A523" s="1" t="s">
        <v>522</v>
      </c>
      <c r="B523" s="3">
        <f>COUNTIF(PEDIDOS!$A:$A,FORNECEDOR!A523)</f>
        <v>3</v>
      </c>
      <c r="C523" s="3" t="str">
        <f>INDEX(PEDIDOS!$A:$D,MATCH(FORNECEDOR!A523,PEDIDOS!$A:$A,0),2)</f>
        <v>CD ARAQUARI</v>
      </c>
      <c r="D523" s="3" t="str">
        <f>INDEX(PEDIDOS!$A:$D,MATCH(FORNECEDOR!A523,PEDIDOS!$A:$A,0),3)</f>
        <v>MATRIZ</v>
      </c>
      <c r="E523" s="3" t="str">
        <f>INDEX(PEDIDOS!$A:$D,MATCH(FORNECEDOR!A523,PEDIDOS!$A:$A,0),4)</f>
        <v>CD ARAQUARI</v>
      </c>
    </row>
    <row r="524" spans="1:5" x14ac:dyDescent="0.25">
      <c r="A524" s="1" t="s">
        <v>523</v>
      </c>
      <c r="B524" s="3">
        <f>COUNTIF(PEDIDOS!$A:$A,FORNECEDOR!A524)</f>
        <v>2</v>
      </c>
      <c r="C524" s="3" t="str">
        <f>INDEX(PEDIDOS!$A:$D,MATCH(FORNECEDOR!A524,PEDIDOS!$A:$A,0),2)</f>
        <v>CD REGIS</v>
      </c>
      <c r="D524" s="3" t="str">
        <f>INDEX(PEDIDOS!$A:$D,MATCH(FORNECEDOR!A524,PEDIDOS!$A:$A,0),3)</f>
        <v>MATRIZ</v>
      </c>
      <c r="E524" s="3" t="str">
        <f>INDEX(PEDIDOS!$A:$D,MATCH(FORNECEDOR!A524,PEDIDOS!$A:$A,0),4)</f>
        <v>CD REGIS</v>
      </c>
    </row>
    <row r="525" spans="1:5" hidden="1" x14ac:dyDescent="0.25">
      <c r="A525" s="1" t="s">
        <v>524</v>
      </c>
      <c r="B525" s="3">
        <f>COUNTIF(PEDIDOS!$A:$A,FORNECEDOR!A525)</f>
        <v>0</v>
      </c>
      <c r="C525" s="3" t="e">
        <f>INDEX(PEDIDOS!$A:$D,MATCH(FORNECEDOR!A525,PEDIDOS!$A:$A,0),2)</f>
        <v>#N/A</v>
      </c>
      <c r="D525" s="3" t="e">
        <f>INDEX(PEDIDOS!$A:$D,MATCH(FORNECEDOR!A525,PEDIDOS!$A:$A,0),3)</f>
        <v>#N/A</v>
      </c>
      <c r="E525" s="3" t="e">
        <f>INDEX(PEDIDOS!$A:$D,MATCH(FORNECEDOR!A525,PEDIDOS!$A:$A,0),4)</f>
        <v>#N/A</v>
      </c>
    </row>
    <row r="526" spans="1:5" hidden="1" x14ac:dyDescent="0.25">
      <c r="A526" s="1" t="s">
        <v>525</v>
      </c>
      <c r="B526" s="3">
        <f>COUNTIF(PEDIDOS!$A:$A,FORNECEDOR!A526)</f>
        <v>0</v>
      </c>
      <c r="C526" s="3" t="e">
        <f>INDEX(PEDIDOS!$A:$D,MATCH(FORNECEDOR!A526,PEDIDOS!$A:$A,0),2)</f>
        <v>#N/A</v>
      </c>
      <c r="D526" s="3" t="e">
        <f>INDEX(PEDIDOS!$A:$D,MATCH(FORNECEDOR!A526,PEDIDOS!$A:$A,0),3)</f>
        <v>#N/A</v>
      </c>
      <c r="E526" s="3" t="e">
        <f>INDEX(PEDIDOS!$A:$D,MATCH(FORNECEDOR!A526,PEDIDOS!$A:$A,0),4)</f>
        <v>#N/A</v>
      </c>
    </row>
    <row r="527" spans="1:5" x14ac:dyDescent="0.25">
      <c r="A527" s="1" t="s">
        <v>526</v>
      </c>
      <c r="B527" s="3">
        <f>COUNTIF(PEDIDOS!$A:$A,FORNECEDOR!A527)</f>
        <v>6</v>
      </c>
      <c r="C527" s="3" t="str">
        <f>INDEX(PEDIDOS!$A:$D,MATCH(FORNECEDOR!A527,PEDIDOS!$A:$A,0),2)</f>
        <v>CD ARAQUARI</v>
      </c>
      <c r="D527" s="3" t="str">
        <f>INDEX(PEDIDOS!$A:$D,MATCH(FORNECEDOR!A527,PEDIDOS!$A:$A,0),3)</f>
        <v>MATRIZ</v>
      </c>
      <c r="E527" s="3" t="str">
        <f>INDEX(PEDIDOS!$A:$D,MATCH(FORNECEDOR!A527,PEDIDOS!$A:$A,0),4)</f>
        <v>CD ARAQUARI</v>
      </c>
    </row>
    <row r="528" spans="1:5" hidden="1" x14ac:dyDescent="0.25">
      <c r="A528" s="1" t="s">
        <v>527</v>
      </c>
      <c r="B528" s="3">
        <f>COUNTIF(PEDIDOS!$A:$A,FORNECEDOR!A528)</f>
        <v>0</v>
      </c>
      <c r="C528" s="3" t="e">
        <f>INDEX(PEDIDOS!$A:$D,MATCH(FORNECEDOR!A528,PEDIDOS!$A:$A,0),2)</f>
        <v>#N/A</v>
      </c>
      <c r="D528" s="3" t="e">
        <f>INDEX(PEDIDOS!$A:$D,MATCH(FORNECEDOR!A528,PEDIDOS!$A:$A,0),3)</f>
        <v>#N/A</v>
      </c>
      <c r="E528" s="3" t="e">
        <f>INDEX(PEDIDOS!$A:$D,MATCH(FORNECEDOR!A528,PEDIDOS!$A:$A,0),4)</f>
        <v>#N/A</v>
      </c>
    </row>
    <row r="529" spans="1:5" hidden="1" x14ac:dyDescent="0.25">
      <c r="A529" s="1" t="s">
        <v>528</v>
      </c>
      <c r="B529" s="3">
        <f>COUNTIF(PEDIDOS!$A:$A,FORNECEDOR!A529)</f>
        <v>0</v>
      </c>
      <c r="C529" s="3" t="e">
        <f>INDEX(PEDIDOS!$A:$D,MATCH(FORNECEDOR!A529,PEDIDOS!$A:$A,0),2)</f>
        <v>#N/A</v>
      </c>
      <c r="D529" s="3" t="e">
        <f>INDEX(PEDIDOS!$A:$D,MATCH(FORNECEDOR!A529,PEDIDOS!$A:$A,0),3)</f>
        <v>#N/A</v>
      </c>
      <c r="E529" s="3" t="e">
        <f>INDEX(PEDIDOS!$A:$D,MATCH(FORNECEDOR!A529,PEDIDOS!$A:$A,0),4)</f>
        <v>#N/A</v>
      </c>
    </row>
    <row r="530" spans="1:5" x14ac:dyDescent="0.25">
      <c r="A530" s="1" t="s">
        <v>529</v>
      </c>
      <c r="B530" s="3">
        <f>COUNTIF(PEDIDOS!$A:$A,FORNECEDOR!A530)</f>
        <v>1</v>
      </c>
      <c r="C530" s="3" t="str">
        <f>INDEX(PEDIDOS!$A:$D,MATCH(FORNECEDOR!A530,PEDIDOS!$A:$A,0),2)</f>
        <v>CD REGIS</v>
      </c>
      <c r="D530" s="3" t="str">
        <f>INDEX(PEDIDOS!$A:$D,MATCH(FORNECEDOR!A530,PEDIDOS!$A:$A,0),3)</f>
        <v>TATUAPE</v>
      </c>
      <c r="E530" s="3" t="str">
        <f>INDEX(PEDIDOS!$A:$D,MATCH(FORNECEDOR!A530,PEDIDOS!$A:$A,0),4)</f>
        <v>CD REGIS</v>
      </c>
    </row>
    <row r="531" spans="1:5" hidden="1" x14ac:dyDescent="0.25">
      <c r="A531" s="1" t="s">
        <v>530</v>
      </c>
      <c r="B531" s="3">
        <f>COUNTIF(PEDIDOS!$A:$A,FORNECEDOR!A531)</f>
        <v>0</v>
      </c>
      <c r="C531" s="3" t="e">
        <f>INDEX(PEDIDOS!$A:$D,MATCH(FORNECEDOR!A531,PEDIDOS!$A:$A,0),2)</f>
        <v>#N/A</v>
      </c>
      <c r="D531" s="3" t="e">
        <f>INDEX(PEDIDOS!$A:$D,MATCH(FORNECEDOR!A531,PEDIDOS!$A:$A,0),3)</f>
        <v>#N/A</v>
      </c>
      <c r="E531" s="3" t="e">
        <f>INDEX(PEDIDOS!$A:$D,MATCH(FORNECEDOR!A531,PEDIDOS!$A:$A,0),4)</f>
        <v>#N/A</v>
      </c>
    </row>
    <row r="532" spans="1:5" x14ac:dyDescent="0.25">
      <c r="A532" s="1" t="s">
        <v>531</v>
      </c>
      <c r="B532" s="3">
        <f>COUNTIF(PEDIDOS!$A:$A,FORNECEDOR!A532)</f>
        <v>1</v>
      </c>
      <c r="C532" s="3" t="str">
        <f>INDEX(PEDIDOS!$A:$D,MATCH(FORNECEDOR!A532,PEDIDOS!$A:$A,0),2)</f>
        <v>SP - PARI</v>
      </c>
      <c r="D532" s="3" t="str">
        <f>INDEX(PEDIDOS!$A:$D,MATCH(FORNECEDOR!A532,PEDIDOS!$A:$A,0),3)</f>
        <v>SP - PARI</v>
      </c>
      <c r="E532" s="3" t="str">
        <f>INDEX(PEDIDOS!$A:$D,MATCH(FORNECEDOR!A532,PEDIDOS!$A:$A,0),4)</f>
        <v>SP - PARI</v>
      </c>
    </row>
    <row r="533" spans="1:5" hidden="1" x14ac:dyDescent="0.25">
      <c r="A533" s="1" t="s">
        <v>532</v>
      </c>
      <c r="B533" s="3">
        <f>COUNTIF(PEDIDOS!$A:$A,FORNECEDOR!A533)</f>
        <v>0</v>
      </c>
      <c r="C533" s="3" t="e">
        <f>INDEX(PEDIDOS!$A:$D,MATCH(FORNECEDOR!A533,PEDIDOS!$A:$A,0),2)</f>
        <v>#N/A</v>
      </c>
      <c r="D533" s="3" t="e">
        <f>INDEX(PEDIDOS!$A:$D,MATCH(FORNECEDOR!A533,PEDIDOS!$A:$A,0),3)</f>
        <v>#N/A</v>
      </c>
      <c r="E533" s="3" t="e">
        <f>INDEX(PEDIDOS!$A:$D,MATCH(FORNECEDOR!A533,PEDIDOS!$A:$A,0),4)</f>
        <v>#N/A</v>
      </c>
    </row>
    <row r="534" spans="1:5" hidden="1" x14ac:dyDescent="0.25">
      <c r="A534" s="1" t="s">
        <v>533</v>
      </c>
      <c r="B534" s="3">
        <f>COUNTIF(PEDIDOS!$A:$A,FORNECEDOR!A534)</f>
        <v>0</v>
      </c>
      <c r="C534" s="3" t="e">
        <f>INDEX(PEDIDOS!$A:$D,MATCH(FORNECEDOR!A534,PEDIDOS!$A:$A,0),2)</f>
        <v>#N/A</v>
      </c>
      <c r="D534" s="3" t="e">
        <f>INDEX(PEDIDOS!$A:$D,MATCH(FORNECEDOR!A534,PEDIDOS!$A:$A,0),3)</f>
        <v>#N/A</v>
      </c>
      <c r="E534" s="3" t="e">
        <f>INDEX(PEDIDOS!$A:$D,MATCH(FORNECEDOR!A534,PEDIDOS!$A:$A,0),4)</f>
        <v>#N/A</v>
      </c>
    </row>
    <row r="535" spans="1:5" hidden="1" x14ac:dyDescent="0.25">
      <c r="A535" s="1" t="s">
        <v>534</v>
      </c>
      <c r="B535" s="3">
        <f>COUNTIF(PEDIDOS!$A:$A,FORNECEDOR!A535)</f>
        <v>0</v>
      </c>
      <c r="C535" s="3" t="e">
        <f>INDEX(PEDIDOS!$A:$D,MATCH(FORNECEDOR!A535,PEDIDOS!$A:$A,0),2)</f>
        <v>#N/A</v>
      </c>
      <c r="D535" s="3" t="e">
        <f>INDEX(PEDIDOS!$A:$D,MATCH(FORNECEDOR!A535,PEDIDOS!$A:$A,0),3)</f>
        <v>#N/A</v>
      </c>
      <c r="E535" s="3" t="e">
        <f>INDEX(PEDIDOS!$A:$D,MATCH(FORNECEDOR!A535,PEDIDOS!$A:$A,0),4)</f>
        <v>#N/A</v>
      </c>
    </row>
    <row r="536" spans="1:5" x14ac:dyDescent="0.25">
      <c r="A536" s="1" t="s">
        <v>535</v>
      </c>
      <c r="B536" s="3">
        <f>COUNTIF(PEDIDOS!$A:$A,FORNECEDOR!A536)</f>
        <v>1</v>
      </c>
      <c r="C536" s="3" t="str">
        <f>INDEX(PEDIDOS!$A:$D,MATCH(FORNECEDOR!A536,PEDIDOS!$A:$A,0),2)</f>
        <v>SP - PARI</v>
      </c>
      <c r="D536" s="3" t="str">
        <f>INDEX(PEDIDOS!$A:$D,MATCH(FORNECEDOR!A536,PEDIDOS!$A:$A,0),3)</f>
        <v>SP - PARI</v>
      </c>
      <c r="E536" s="3" t="str">
        <f>INDEX(PEDIDOS!$A:$D,MATCH(FORNECEDOR!A536,PEDIDOS!$A:$A,0),4)</f>
        <v>SP - PARI</v>
      </c>
    </row>
    <row r="537" spans="1:5" x14ac:dyDescent="0.25">
      <c r="A537" s="1" t="s">
        <v>536</v>
      </c>
      <c r="B537" s="3">
        <f>COUNTIF(PEDIDOS!$A:$A,FORNECEDOR!A537)</f>
        <v>1</v>
      </c>
      <c r="C537" s="3" t="str">
        <f>INDEX(PEDIDOS!$A:$D,MATCH(FORNECEDOR!A537,PEDIDOS!$A:$A,0),2)</f>
        <v>SP - PIRAPORINHA</v>
      </c>
      <c r="D537" s="3" t="str">
        <f>INDEX(PEDIDOS!$A:$D,MATCH(FORNECEDOR!A537,PEDIDOS!$A:$A,0),3)</f>
        <v>SP - PIRAPORINHA</v>
      </c>
      <c r="E537" s="3" t="str">
        <f>INDEX(PEDIDOS!$A:$D,MATCH(FORNECEDOR!A537,PEDIDOS!$A:$A,0),4)</f>
        <v>SP - PIRAPORINHA</v>
      </c>
    </row>
    <row r="538" spans="1:5" hidden="1" x14ac:dyDescent="0.25">
      <c r="A538" s="1" t="s">
        <v>537</v>
      </c>
      <c r="B538" s="3">
        <f>COUNTIF(PEDIDOS!$A:$A,FORNECEDOR!A538)</f>
        <v>0</v>
      </c>
      <c r="C538" s="3" t="e">
        <f>INDEX(PEDIDOS!$A:$D,MATCH(FORNECEDOR!A538,PEDIDOS!$A:$A,0),2)</f>
        <v>#N/A</v>
      </c>
      <c r="D538" s="3" t="e">
        <f>INDEX(PEDIDOS!$A:$D,MATCH(FORNECEDOR!A538,PEDIDOS!$A:$A,0),3)</f>
        <v>#N/A</v>
      </c>
      <c r="E538" s="3" t="e">
        <f>INDEX(PEDIDOS!$A:$D,MATCH(FORNECEDOR!A538,PEDIDOS!$A:$A,0),4)</f>
        <v>#N/A</v>
      </c>
    </row>
    <row r="539" spans="1:5" hidden="1" x14ac:dyDescent="0.25">
      <c r="A539" s="1" t="s">
        <v>538</v>
      </c>
      <c r="B539" s="3">
        <f>COUNTIF(PEDIDOS!$A:$A,FORNECEDOR!A539)</f>
        <v>0</v>
      </c>
      <c r="C539" s="3" t="e">
        <f>INDEX(PEDIDOS!$A:$D,MATCH(FORNECEDOR!A539,PEDIDOS!$A:$A,0),2)</f>
        <v>#N/A</v>
      </c>
      <c r="D539" s="3" t="e">
        <f>INDEX(PEDIDOS!$A:$D,MATCH(FORNECEDOR!A539,PEDIDOS!$A:$A,0),3)</f>
        <v>#N/A</v>
      </c>
      <c r="E539" s="3" t="e">
        <f>INDEX(PEDIDOS!$A:$D,MATCH(FORNECEDOR!A539,PEDIDOS!$A:$A,0),4)</f>
        <v>#N/A</v>
      </c>
    </row>
    <row r="540" spans="1:5" hidden="1" x14ac:dyDescent="0.25">
      <c r="A540" s="1" t="s">
        <v>539</v>
      </c>
      <c r="B540" s="3">
        <f>COUNTIF(PEDIDOS!$A:$A,FORNECEDOR!A540)</f>
        <v>0</v>
      </c>
      <c r="C540" s="3" t="e">
        <f>INDEX(PEDIDOS!$A:$D,MATCH(FORNECEDOR!A540,PEDIDOS!$A:$A,0),2)</f>
        <v>#N/A</v>
      </c>
      <c r="D540" s="3" t="e">
        <f>INDEX(PEDIDOS!$A:$D,MATCH(FORNECEDOR!A540,PEDIDOS!$A:$A,0),3)</f>
        <v>#N/A</v>
      </c>
      <c r="E540" s="3" t="e">
        <f>INDEX(PEDIDOS!$A:$D,MATCH(FORNECEDOR!A540,PEDIDOS!$A:$A,0),4)</f>
        <v>#N/A</v>
      </c>
    </row>
    <row r="541" spans="1:5" x14ac:dyDescent="0.25">
      <c r="A541" s="1" t="s">
        <v>540</v>
      </c>
      <c r="B541" s="3">
        <f>COUNTIF(PEDIDOS!$A:$A,FORNECEDOR!A541)</f>
        <v>1</v>
      </c>
      <c r="C541" s="3" t="str">
        <f>INDEX(PEDIDOS!$A:$D,MATCH(FORNECEDOR!A541,PEDIDOS!$A:$A,0),2)</f>
        <v>MATRIZ</v>
      </c>
      <c r="D541" s="3" t="str">
        <f>INDEX(PEDIDOS!$A:$D,MATCH(FORNECEDOR!A541,PEDIDOS!$A:$A,0),3)</f>
        <v>MATRIZ</v>
      </c>
      <c r="E541" s="3" t="str">
        <f>INDEX(PEDIDOS!$A:$D,MATCH(FORNECEDOR!A541,PEDIDOS!$A:$A,0),4)</f>
        <v>MATRIZ</v>
      </c>
    </row>
    <row r="542" spans="1:5" hidden="1" x14ac:dyDescent="0.25">
      <c r="A542" s="1" t="s">
        <v>541</v>
      </c>
      <c r="B542" s="3">
        <f>COUNTIF(PEDIDOS!$A:$A,FORNECEDOR!A542)</f>
        <v>0</v>
      </c>
      <c r="C542" s="3" t="e">
        <f>INDEX(PEDIDOS!$A:$D,MATCH(FORNECEDOR!A542,PEDIDOS!$A:$A,0),2)</f>
        <v>#N/A</v>
      </c>
      <c r="D542" s="3" t="e">
        <f>INDEX(PEDIDOS!$A:$D,MATCH(FORNECEDOR!A542,PEDIDOS!$A:$A,0),3)</f>
        <v>#N/A</v>
      </c>
      <c r="E542" s="3" t="e">
        <f>INDEX(PEDIDOS!$A:$D,MATCH(FORNECEDOR!A542,PEDIDOS!$A:$A,0),4)</f>
        <v>#N/A</v>
      </c>
    </row>
    <row r="543" spans="1:5" hidden="1" x14ac:dyDescent="0.25">
      <c r="A543" s="1" t="s">
        <v>542</v>
      </c>
      <c r="B543" s="3">
        <f>COUNTIF(PEDIDOS!$A:$A,FORNECEDOR!A543)</f>
        <v>0</v>
      </c>
      <c r="C543" s="3" t="e">
        <f>INDEX(PEDIDOS!$A:$D,MATCH(FORNECEDOR!A543,PEDIDOS!$A:$A,0),2)</f>
        <v>#N/A</v>
      </c>
      <c r="D543" s="3" t="e">
        <f>INDEX(PEDIDOS!$A:$D,MATCH(FORNECEDOR!A543,PEDIDOS!$A:$A,0),3)</f>
        <v>#N/A</v>
      </c>
      <c r="E543" s="3" t="e">
        <f>INDEX(PEDIDOS!$A:$D,MATCH(FORNECEDOR!A543,PEDIDOS!$A:$A,0),4)</f>
        <v>#N/A</v>
      </c>
    </row>
    <row r="544" spans="1:5" x14ac:dyDescent="0.25">
      <c r="A544" s="1" t="s">
        <v>543</v>
      </c>
      <c r="B544" s="3">
        <f>COUNTIF(PEDIDOS!$A:$A,FORNECEDOR!A544)</f>
        <v>1</v>
      </c>
      <c r="C544" s="3" t="str">
        <f>INDEX(PEDIDOS!$A:$D,MATCH(FORNECEDOR!A544,PEDIDOS!$A:$A,0),2)</f>
        <v>ANPPLA</v>
      </c>
      <c r="D544" s="3" t="str">
        <f>INDEX(PEDIDOS!$A:$D,MATCH(FORNECEDOR!A544,PEDIDOS!$A:$A,0),3)</f>
        <v>ANPPLA</v>
      </c>
      <c r="E544" s="3" t="str">
        <f>INDEX(PEDIDOS!$A:$D,MATCH(FORNECEDOR!A544,PEDIDOS!$A:$A,0),4)</f>
        <v>ANPPLA</v>
      </c>
    </row>
    <row r="545" spans="1:5" hidden="1" x14ac:dyDescent="0.25">
      <c r="A545" s="1" t="s">
        <v>544</v>
      </c>
      <c r="B545" s="3">
        <f>COUNTIF(PEDIDOS!$A:$A,FORNECEDOR!A545)</f>
        <v>0</v>
      </c>
      <c r="C545" s="3" t="e">
        <f>INDEX(PEDIDOS!$A:$D,MATCH(FORNECEDOR!A545,PEDIDOS!$A:$A,0),2)</f>
        <v>#N/A</v>
      </c>
      <c r="D545" s="3" t="e">
        <f>INDEX(PEDIDOS!$A:$D,MATCH(FORNECEDOR!A545,PEDIDOS!$A:$A,0),3)</f>
        <v>#N/A</v>
      </c>
      <c r="E545" s="3" t="e">
        <f>INDEX(PEDIDOS!$A:$D,MATCH(FORNECEDOR!A545,PEDIDOS!$A:$A,0),4)</f>
        <v>#N/A</v>
      </c>
    </row>
    <row r="546" spans="1:5" hidden="1" x14ac:dyDescent="0.25">
      <c r="A546" s="1" t="s">
        <v>545</v>
      </c>
      <c r="B546" s="3">
        <f>COUNTIF(PEDIDOS!$A:$A,FORNECEDOR!A546)</f>
        <v>0</v>
      </c>
      <c r="C546" s="3" t="e">
        <f>INDEX(PEDIDOS!$A:$D,MATCH(FORNECEDOR!A546,PEDIDOS!$A:$A,0),2)</f>
        <v>#N/A</v>
      </c>
      <c r="D546" s="3" t="e">
        <f>INDEX(PEDIDOS!$A:$D,MATCH(FORNECEDOR!A546,PEDIDOS!$A:$A,0),3)</f>
        <v>#N/A</v>
      </c>
      <c r="E546" s="3" t="e">
        <f>INDEX(PEDIDOS!$A:$D,MATCH(FORNECEDOR!A546,PEDIDOS!$A:$A,0),4)</f>
        <v>#N/A</v>
      </c>
    </row>
    <row r="547" spans="1:5" x14ac:dyDescent="0.25">
      <c r="A547" s="1" t="s">
        <v>546</v>
      </c>
      <c r="B547" s="3">
        <f>COUNTIF(PEDIDOS!$A:$A,FORNECEDOR!A547)</f>
        <v>1</v>
      </c>
      <c r="C547" s="3" t="str">
        <f>INDEX(PEDIDOS!$A:$D,MATCH(FORNECEDOR!A547,PEDIDOS!$A:$A,0),2)</f>
        <v>MATRIZ</v>
      </c>
      <c r="D547" s="3" t="str">
        <f>INDEX(PEDIDOS!$A:$D,MATCH(FORNECEDOR!A547,PEDIDOS!$A:$A,0),3)</f>
        <v>MATRIZ</v>
      </c>
      <c r="E547" s="3" t="str">
        <f>INDEX(PEDIDOS!$A:$D,MATCH(FORNECEDOR!A547,PEDIDOS!$A:$A,0),4)</f>
        <v>MATRIZ</v>
      </c>
    </row>
    <row r="548" spans="1:5" hidden="1" x14ac:dyDescent="0.25">
      <c r="A548" s="1" t="s">
        <v>547</v>
      </c>
      <c r="B548" s="3">
        <f>COUNTIF(PEDIDOS!$A:$A,FORNECEDOR!A548)</f>
        <v>0</v>
      </c>
      <c r="C548" s="3" t="e">
        <f>INDEX(PEDIDOS!$A:$D,MATCH(FORNECEDOR!A548,PEDIDOS!$A:$A,0),2)</f>
        <v>#N/A</v>
      </c>
      <c r="D548" s="3" t="e">
        <f>INDEX(PEDIDOS!$A:$D,MATCH(FORNECEDOR!A548,PEDIDOS!$A:$A,0),3)</f>
        <v>#N/A</v>
      </c>
      <c r="E548" s="3" t="e">
        <f>INDEX(PEDIDOS!$A:$D,MATCH(FORNECEDOR!A548,PEDIDOS!$A:$A,0),4)</f>
        <v>#N/A</v>
      </c>
    </row>
    <row r="549" spans="1:5" hidden="1" x14ac:dyDescent="0.25">
      <c r="A549" s="1" t="s">
        <v>548</v>
      </c>
      <c r="B549" s="3">
        <f>COUNTIF(PEDIDOS!$A:$A,FORNECEDOR!A549)</f>
        <v>0</v>
      </c>
      <c r="C549" s="3" t="e">
        <f>INDEX(PEDIDOS!$A:$D,MATCH(FORNECEDOR!A549,PEDIDOS!$A:$A,0),2)</f>
        <v>#N/A</v>
      </c>
      <c r="D549" s="3" t="e">
        <f>INDEX(PEDIDOS!$A:$D,MATCH(FORNECEDOR!A549,PEDIDOS!$A:$A,0),3)</f>
        <v>#N/A</v>
      </c>
      <c r="E549" s="3" t="e">
        <f>INDEX(PEDIDOS!$A:$D,MATCH(FORNECEDOR!A549,PEDIDOS!$A:$A,0),4)</f>
        <v>#N/A</v>
      </c>
    </row>
    <row r="550" spans="1:5" hidden="1" x14ac:dyDescent="0.25">
      <c r="A550" s="1" t="s">
        <v>549</v>
      </c>
      <c r="B550" s="3">
        <f>COUNTIF(PEDIDOS!$A:$A,FORNECEDOR!A550)</f>
        <v>0</v>
      </c>
      <c r="C550" s="3" t="e">
        <f>INDEX(PEDIDOS!$A:$D,MATCH(FORNECEDOR!A550,PEDIDOS!$A:$A,0),2)</f>
        <v>#N/A</v>
      </c>
      <c r="D550" s="3" t="e">
        <f>INDEX(PEDIDOS!$A:$D,MATCH(FORNECEDOR!A550,PEDIDOS!$A:$A,0),3)</f>
        <v>#N/A</v>
      </c>
      <c r="E550" s="3" t="e">
        <f>INDEX(PEDIDOS!$A:$D,MATCH(FORNECEDOR!A550,PEDIDOS!$A:$A,0),4)</f>
        <v>#N/A</v>
      </c>
    </row>
    <row r="551" spans="1:5" x14ac:dyDescent="0.25">
      <c r="A551" s="1" t="s">
        <v>550</v>
      </c>
      <c r="B551" s="3">
        <f>COUNTIF(PEDIDOS!$A:$A,FORNECEDOR!A551)</f>
        <v>1</v>
      </c>
      <c r="C551" s="3" t="str">
        <f>INDEX(PEDIDOS!$A:$D,MATCH(FORNECEDOR!A551,PEDIDOS!$A:$A,0),2)</f>
        <v>CD NAVEGANTES</v>
      </c>
      <c r="D551" s="3" t="str">
        <f>INDEX(PEDIDOS!$A:$D,MATCH(FORNECEDOR!A551,PEDIDOS!$A:$A,0),3)</f>
        <v>MATRIZ</v>
      </c>
      <c r="E551" s="3" t="str">
        <f>INDEX(PEDIDOS!$A:$D,MATCH(FORNECEDOR!A551,PEDIDOS!$A:$A,0),4)</f>
        <v>CD NAVEGANTES</v>
      </c>
    </row>
    <row r="552" spans="1:5" hidden="1" x14ac:dyDescent="0.25">
      <c r="A552" s="1" t="s">
        <v>551</v>
      </c>
      <c r="B552" s="3">
        <f>COUNTIF(PEDIDOS!$A:$A,FORNECEDOR!A552)</f>
        <v>0</v>
      </c>
      <c r="C552" s="3" t="e">
        <f>INDEX(PEDIDOS!$A:$D,MATCH(FORNECEDOR!A552,PEDIDOS!$A:$A,0),2)</f>
        <v>#N/A</v>
      </c>
      <c r="D552" s="3" t="e">
        <f>INDEX(PEDIDOS!$A:$D,MATCH(FORNECEDOR!A552,PEDIDOS!$A:$A,0),3)</f>
        <v>#N/A</v>
      </c>
      <c r="E552" s="3" t="e">
        <f>INDEX(PEDIDOS!$A:$D,MATCH(FORNECEDOR!A552,PEDIDOS!$A:$A,0),4)</f>
        <v>#N/A</v>
      </c>
    </row>
    <row r="553" spans="1:5" x14ac:dyDescent="0.25">
      <c r="A553" s="1" t="s">
        <v>552</v>
      </c>
      <c r="B553" s="3">
        <f>COUNTIF(PEDIDOS!$A:$A,FORNECEDOR!A553)</f>
        <v>3</v>
      </c>
      <c r="C553" s="3" t="str">
        <f>INDEX(PEDIDOS!$A:$D,MATCH(FORNECEDOR!A553,PEDIDOS!$A:$A,0),2)</f>
        <v>CD REGIS</v>
      </c>
      <c r="D553" s="3" t="str">
        <f>INDEX(PEDIDOS!$A:$D,MATCH(FORNECEDOR!A553,PEDIDOS!$A:$A,0),3)</f>
        <v>CD REGIS</v>
      </c>
      <c r="E553" s="3" t="str">
        <f>INDEX(PEDIDOS!$A:$D,MATCH(FORNECEDOR!A553,PEDIDOS!$A:$A,0),4)</f>
        <v>CD REGIS</v>
      </c>
    </row>
    <row r="554" spans="1:5" hidden="1" x14ac:dyDescent="0.25">
      <c r="A554" s="1" t="s">
        <v>553</v>
      </c>
      <c r="B554" s="3">
        <f>COUNTIF(PEDIDOS!$A:$A,FORNECEDOR!A554)</f>
        <v>0</v>
      </c>
      <c r="C554" s="3" t="e">
        <f>INDEX(PEDIDOS!$A:$D,MATCH(FORNECEDOR!A554,PEDIDOS!$A:$A,0),2)</f>
        <v>#N/A</v>
      </c>
      <c r="D554" s="3" t="e">
        <f>INDEX(PEDIDOS!$A:$D,MATCH(FORNECEDOR!A554,PEDIDOS!$A:$A,0),3)</f>
        <v>#N/A</v>
      </c>
      <c r="E554" s="3" t="e">
        <f>INDEX(PEDIDOS!$A:$D,MATCH(FORNECEDOR!A554,PEDIDOS!$A:$A,0),4)</f>
        <v>#N/A</v>
      </c>
    </row>
    <row r="555" spans="1:5" hidden="1" x14ac:dyDescent="0.25">
      <c r="A555" s="1" t="s">
        <v>554</v>
      </c>
      <c r="B555" s="3">
        <f>COUNTIF(PEDIDOS!$A:$A,FORNECEDOR!A555)</f>
        <v>0</v>
      </c>
      <c r="C555" s="3" t="e">
        <f>INDEX(PEDIDOS!$A:$D,MATCH(FORNECEDOR!A555,PEDIDOS!$A:$A,0),2)</f>
        <v>#N/A</v>
      </c>
      <c r="D555" s="3" t="e">
        <f>INDEX(PEDIDOS!$A:$D,MATCH(FORNECEDOR!A555,PEDIDOS!$A:$A,0),3)</f>
        <v>#N/A</v>
      </c>
      <c r="E555" s="3" t="e">
        <f>INDEX(PEDIDOS!$A:$D,MATCH(FORNECEDOR!A555,PEDIDOS!$A:$A,0),4)</f>
        <v>#N/A</v>
      </c>
    </row>
    <row r="556" spans="1:5" hidden="1" x14ac:dyDescent="0.25">
      <c r="A556" s="1" t="s">
        <v>555</v>
      </c>
      <c r="B556" s="3">
        <f>COUNTIF(PEDIDOS!$A:$A,FORNECEDOR!A556)</f>
        <v>0</v>
      </c>
      <c r="C556" s="3" t="e">
        <f>INDEX(PEDIDOS!$A:$D,MATCH(FORNECEDOR!A556,PEDIDOS!$A:$A,0),2)</f>
        <v>#N/A</v>
      </c>
      <c r="D556" s="3" t="e">
        <f>INDEX(PEDIDOS!$A:$D,MATCH(FORNECEDOR!A556,PEDIDOS!$A:$A,0),3)</f>
        <v>#N/A</v>
      </c>
      <c r="E556" s="3" t="e">
        <f>INDEX(PEDIDOS!$A:$D,MATCH(FORNECEDOR!A556,PEDIDOS!$A:$A,0),4)</f>
        <v>#N/A</v>
      </c>
    </row>
    <row r="557" spans="1:5" hidden="1" x14ac:dyDescent="0.25">
      <c r="A557" s="1" t="s">
        <v>556</v>
      </c>
      <c r="B557" s="3">
        <f>COUNTIF(PEDIDOS!$A:$A,FORNECEDOR!A557)</f>
        <v>0</v>
      </c>
      <c r="C557" s="3" t="e">
        <f>INDEX(PEDIDOS!$A:$D,MATCH(FORNECEDOR!A557,PEDIDOS!$A:$A,0),2)</f>
        <v>#N/A</v>
      </c>
      <c r="D557" s="3" t="e">
        <f>INDEX(PEDIDOS!$A:$D,MATCH(FORNECEDOR!A557,PEDIDOS!$A:$A,0),3)</f>
        <v>#N/A</v>
      </c>
      <c r="E557" s="3" t="e">
        <f>INDEX(PEDIDOS!$A:$D,MATCH(FORNECEDOR!A557,PEDIDOS!$A:$A,0),4)</f>
        <v>#N/A</v>
      </c>
    </row>
    <row r="558" spans="1:5" x14ac:dyDescent="0.25">
      <c r="A558" s="1" t="s">
        <v>557</v>
      </c>
      <c r="B558" s="3">
        <f>COUNTIF(PEDIDOS!$A:$A,FORNECEDOR!A558)</f>
        <v>2</v>
      </c>
      <c r="C558" s="3" t="str">
        <f>INDEX(PEDIDOS!$A:$D,MATCH(FORNECEDOR!A558,PEDIDOS!$A:$A,0),2)</f>
        <v>JUNDIAI</v>
      </c>
      <c r="D558" s="3" t="str">
        <f>INDEX(PEDIDOS!$A:$D,MATCH(FORNECEDOR!A558,PEDIDOS!$A:$A,0),3)</f>
        <v>JUNDIAI</v>
      </c>
      <c r="E558" s="3" t="str">
        <f>INDEX(PEDIDOS!$A:$D,MATCH(FORNECEDOR!A558,PEDIDOS!$A:$A,0),4)</f>
        <v>JUNDIAI</v>
      </c>
    </row>
    <row r="559" spans="1:5" x14ac:dyDescent="0.25">
      <c r="A559" s="1" t="s">
        <v>558</v>
      </c>
      <c r="B559" s="3">
        <f>COUNTIF(PEDIDOS!$A:$A,FORNECEDOR!A559)</f>
        <v>1</v>
      </c>
      <c r="C559" s="3" t="str">
        <f>INDEX(PEDIDOS!$A:$D,MATCH(FORNECEDOR!A559,PEDIDOS!$A:$A,0),2)</f>
        <v>PIRASSUNUNGA</v>
      </c>
      <c r="D559" s="3" t="str">
        <f>INDEX(PEDIDOS!$A:$D,MATCH(FORNECEDOR!A559,PEDIDOS!$A:$A,0),3)</f>
        <v>PIRASSUNUNGA</v>
      </c>
      <c r="E559" s="3" t="str">
        <f>INDEX(PEDIDOS!$A:$D,MATCH(FORNECEDOR!A559,PEDIDOS!$A:$A,0),4)</f>
        <v>PIRASSUNUNGA</v>
      </c>
    </row>
    <row r="560" spans="1:5" hidden="1" x14ac:dyDescent="0.25">
      <c r="A560" s="1" t="s">
        <v>559</v>
      </c>
      <c r="B560" s="3">
        <f>COUNTIF(PEDIDOS!$A:$A,FORNECEDOR!A560)</f>
        <v>0</v>
      </c>
      <c r="C560" s="3" t="e">
        <f>INDEX(PEDIDOS!$A:$D,MATCH(FORNECEDOR!A560,PEDIDOS!$A:$A,0),2)</f>
        <v>#N/A</v>
      </c>
      <c r="D560" s="3" t="e">
        <f>INDEX(PEDIDOS!$A:$D,MATCH(FORNECEDOR!A560,PEDIDOS!$A:$A,0),3)</f>
        <v>#N/A</v>
      </c>
      <c r="E560" s="3" t="e">
        <f>INDEX(PEDIDOS!$A:$D,MATCH(FORNECEDOR!A560,PEDIDOS!$A:$A,0),4)</f>
        <v>#N/A</v>
      </c>
    </row>
    <row r="561" spans="1:5" hidden="1" x14ac:dyDescent="0.25">
      <c r="A561" s="1" t="s">
        <v>560</v>
      </c>
      <c r="B561" s="3">
        <f>COUNTIF(PEDIDOS!$A:$A,FORNECEDOR!A561)</f>
        <v>0</v>
      </c>
      <c r="C561" s="3" t="e">
        <f>INDEX(PEDIDOS!$A:$D,MATCH(FORNECEDOR!A561,PEDIDOS!$A:$A,0),2)</f>
        <v>#N/A</v>
      </c>
      <c r="D561" s="3" t="e">
        <f>INDEX(PEDIDOS!$A:$D,MATCH(FORNECEDOR!A561,PEDIDOS!$A:$A,0),3)</f>
        <v>#N/A</v>
      </c>
      <c r="E561" s="3" t="e">
        <f>INDEX(PEDIDOS!$A:$D,MATCH(FORNECEDOR!A561,PEDIDOS!$A:$A,0),4)</f>
        <v>#N/A</v>
      </c>
    </row>
    <row r="562" spans="1:5" hidden="1" x14ac:dyDescent="0.25">
      <c r="A562" s="1" t="s">
        <v>561</v>
      </c>
      <c r="B562" s="3">
        <f>COUNTIF(PEDIDOS!$A:$A,FORNECEDOR!A562)</f>
        <v>0</v>
      </c>
      <c r="C562" s="3" t="e">
        <f>INDEX(PEDIDOS!$A:$D,MATCH(FORNECEDOR!A562,PEDIDOS!$A:$A,0),2)</f>
        <v>#N/A</v>
      </c>
      <c r="D562" s="3" t="e">
        <f>INDEX(PEDIDOS!$A:$D,MATCH(FORNECEDOR!A562,PEDIDOS!$A:$A,0),3)</f>
        <v>#N/A</v>
      </c>
      <c r="E562" s="3" t="e">
        <f>INDEX(PEDIDOS!$A:$D,MATCH(FORNECEDOR!A562,PEDIDOS!$A:$A,0),4)</f>
        <v>#N/A</v>
      </c>
    </row>
    <row r="563" spans="1:5" hidden="1" x14ac:dyDescent="0.25">
      <c r="A563" s="1" t="s">
        <v>562</v>
      </c>
      <c r="B563" s="3">
        <f>COUNTIF(PEDIDOS!$A:$A,FORNECEDOR!A563)</f>
        <v>0</v>
      </c>
      <c r="C563" s="3" t="e">
        <f>INDEX(PEDIDOS!$A:$D,MATCH(FORNECEDOR!A563,PEDIDOS!$A:$A,0),2)</f>
        <v>#N/A</v>
      </c>
      <c r="D563" s="3" t="e">
        <f>INDEX(PEDIDOS!$A:$D,MATCH(FORNECEDOR!A563,PEDIDOS!$A:$A,0),3)</f>
        <v>#N/A</v>
      </c>
      <c r="E563" s="3" t="e">
        <f>INDEX(PEDIDOS!$A:$D,MATCH(FORNECEDOR!A563,PEDIDOS!$A:$A,0),4)</f>
        <v>#N/A</v>
      </c>
    </row>
    <row r="564" spans="1:5" x14ac:dyDescent="0.25">
      <c r="A564" s="1" t="s">
        <v>563</v>
      </c>
      <c r="B564" s="3">
        <f>COUNTIF(PEDIDOS!$A:$A,FORNECEDOR!A564)</f>
        <v>2</v>
      </c>
      <c r="C564" s="3" t="str">
        <f>INDEX(PEDIDOS!$A:$D,MATCH(FORNECEDOR!A564,PEDIDOS!$A:$A,0),2)</f>
        <v>CD REGIS</v>
      </c>
      <c r="D564" s="3" t="str">
        <f>INDEX(PEDIDOS!$A:$D,MATCH(FORNECEDOR!A564,PEDIDOS!$A:$A,0),3)</f>
        <v>MATRIZ</v>
      </c>
      <c r="E564" s="3" t="str">
        <f>INDEX(PEDIDOS!$A:$D,MATCH(FORNECEDOR!A564,PEDIDOS!$A:$A,0),4)</f>
        <v>CD REGIS</v>
      </c>
    </row>
    <row r="565" spans="1:5" x14ac:dyDescent="0.25">
      <c r="A565" s="1" t="s">
        <v>564</v>
      </c>
      <c r="B565" s="3">
        <f>COUNTIF(PEDIDOS!$A:$A,FORNECEDOR!A565)</f>
        <v>1</v>
      </c>
      <c r="C565" s="3" t="str">
        <f>INDEX(PEDIDOS!$A:$D,MATCH(FORNECEDOR!A565,PEDIDOS!$A:$A,0),2)</f>
        <v>CD REGIS</v>
      </c>
      <c r="D565" s="3" t="str">
        <f>INDEX(PEDIDOS!$A:$D,MATCH(FORNECEDOR!A565,PEDIDOS!$A:$A,0),3)</f>
        <v>MATRIZ</v>
      </c>
      <c r="E565" s="3" t="str">
        <f>INDEX(PEDIDOS!$A:$D,MATCH(FORNECEDOR!A565,PEDIDOS!$A:$A,0),4)</f>
        <v>CD REGIS</v>
      </c>
    </row>
    <row r="566" spans="1:5" hidden="1" x14ac:dyDescent="0.25">
      <c r="A566" s="1" t="s">
        <v>565</v>
      </c>
      <c r="B566" s="3">
        <f>COUNTIF(PEDIDOS!$A:$A,FORNECEDOR!A566)</f>
        <v>0</v>
      </c>
      <c r="C566" s="3" t="e">
        <f>INDEX(PEDIDOS!$A:$D,MATCH(FORNECEDOR!A566,PEDIDOS!$A:$A,0),2)</f>
        <v>#N/A</v>
      </c>
      <c r="D566" s="3" t="e">
        <f>INDEX(PEDIDOS!$A:$D,MATCH(FORNECEDOR!A566,PEDIDOS!$A:$A,0),3)</f>
        <v>#N/A</v>
      </c>
      <c r="E566" s="3" t="e">
        <f>INDEX(PEDIDOS!$A:$D,MATCH(FORNECEDOR!A566,PEDIDOS!$A:$A,0),4)</f>
        <v>#N/A</v>
      </c>
    </row>
    <row r="567" spans="1:5" x14ac:dyDescent="0.25">
      <c r="A567" s="1" t="s">
        <v>566</v>
      </c>
      <c r="B567" s="3">
        <f>COUNTIF(PEDIDOS!$A:$A,FORNECEDOR!A567)</f>
        <v>2</v>
      </c>
      <c r="C567" s="3" t="str">
        <f>INDEX(PEDIDOS!$A:$D,MATCH(FORNECEDOR!A567,PEDIDOS!$A:$A,0),2)</f>
        <v>CD REGIS</v>
      </c>
      <c r="D567" s="3" t="str">
        <f>INDEX(PEDIDOS!$A:$D,MATCH(FORNECEDOR!A567,PEDIDOS!$A:$A,0),3)</f>
        <v>MATRIZ</v>
      </c>
      <c r="E567" s="3" t="str">
        <f>INDEX(PEDIDOS!$A:$D,MATCH(FORNECEDOR!A567,PEDIDOS!$A:$A,0),4)</f>
        <v>CD REGIS</v>
      </c>
    </row>
    <row r="568" spans="1:5" hidden="1" x14ac:dyDescent="0.25">
      <c r="A568" s="1" t="s">
        <v>567</v>
      </c>
      <c r="B568" s="3">
        <f>COUNTIF(PEDIDOS!$A:$A,FORNECEDOR!A568)</f>
        <v>0</v>
      </c>
      <c r="C568" s="3" t="e">
        <f>INDEX(PEDIDOS!$A:$D,MATCH(FORNECEDOR!A568,PEDIDOS!$A:$A,0),2)</f>
        <v>#N/A</v>
      </c>
      <c r="D568" s="3" t="e">
        <f>INDEX(PEDIDOS!$A:$D,MATCH(FORNECEDOR!A568,PEDIDOS!$A:$A,0),3)</f>
        <v>#N/A</v>
      </c>
      <c r="E568" s="3" t="e">
        <f>INDEX(PEDIDOS!$A:$D,MATCH(FORNECEDOR!A568,PEDIDOS!$A:$A,0),4)</f>
        <v>#N/A</v>
      </c>
    </row>
    <row r="569" spans="1:5" hidden="1" x14ac:dyDescent="0.25">
      <c r="A569" s="1" t="s">
        <v>568</v>
      </c>
      <c r="B569" s="3">
        <f>COUNTIF(PEDIDOS!$A:$A,FORNECEDOR!A569)</f>
        <v>0</v>
      </c>
      <c r="C569" s="3" t="e">
        <f>INDEX(PEDIDOS!$A:$D,MATCH(FORNECEDOR!A569,PEDIDOS!$A:$A,0),2)</f>
        <v>#N/A</v>
      </c>
      <c r="D569" s="3" t="e">
        <f>INDEX(PEDIDOS!$A:$D,MATCH(FORNECEDOR!A569,PEDIDOS!$A:$A,0),3)</f>
        <v>#N/A</v>
      </c>
      <c r="E569" s="3" t="e">
        <f>INDEX(PEDIDOS!$A:$D,MATCH(FORNECEDOR!A569,PEDIDOS!$A:$A,0),4)</f>
        <v>#N/A</v>
      </c>
    </row>
    <row r="570" spans="1:5" hidden="1" x14ac:dyDescent="0.25">
      <c r="A570" s="1" t="s">
        <v>569</v>
      </c>
      <c r="B570" s="3">
        <f>COUNTIF(PEDIDOS!$A:$A,FORNECEDOR!A570)</f>
        <v>0</v>
      </c>
      <c r="C570" s="3" t="e">
        <f>INDEX(PEDIDOS!$A:$D,MATCH(FORNECEDOR!A570,PEDIDOS!$A:$A,0),2)</f>
        <v>#N/A</v>
      </c>
      <c r="D570" s="3" t="e">
        <f>INDEX(PEDIDOS!$A:$D,MATCH(FORNECEDOR!A570,PEDIDOS!$A:$A,0),3)</f>
        <v>#N/A</v>
      </c>
      <c r="E570" s="3" t="e">
        <f>INDEX(PEDIDOS!$A:$D,MATCH(FORNECEDOR!A570,PEDIDOS!$A:$A,0),4)</f>
        <v>#N/A</v>
      </c>
    </row>
    <row r="571" spans="1:5" hidden="1" x14ac:dyDescent="0.25">
      <c r="A571" s="1" t="s">
        <v>570</v>
      </c>
      <c r="B571" s="3">
        <f>COUNTIF(PEDIDOS!$A:$A,FORNECEDOR!A571)</f>
        <v>0</v>
      </c>
      <c r="C571" s="3" t="e">
        <f>INDEX(PEDIDOS!$A:$D,MATCH(FORNECEDOR!A571,PEDIDOS!$A:$A,0),2)</f>
        <v>#N/A</v>
      </c>
      <c r="D571" s="3" t="e">
        <f>INDEX(PEDIDOS!$A:$D,MATCH(FORNECEDOR!A571,PEDIDOS!$A:$A,0),3)</f>
        <v>#N/A</v>
      </c>
      <c r="E571" s="3" t="e">
        <f>INDEX(PEDIDOS!$A:$D,MATCH(FORNECEDOR!A571,PEDIDOS!$A:$A,0),4)</f>
        <v>#N/A</v>
      </c>
    </row>
    <row r="572" spans="1:5" hidden="1" x14ac:dyDescent="0.25">
      <c r="A572" s="1" t="s">
        <v>571</v>
      </c>
      <c r="B572" s="3">
        <f>COUNTIF(PEDIDOS!$A:$A,FORNECEDOR!A572)</f>
        <v>0</v>
      </c>
      <c r="C572" s="3" t="e">
        <f>INDEX(PEDIDOS!$A:$D,MATCH(FORNECEDOR!A572,PEDIDOS!$A:$A,0),2)</f>
        <v>#N/A</v>
      </c>
      <c r="D572" s="3" t="e">
        <f>INDEX(PEDIDOS!$A:$D,MATCH(FORNECEDOR!A572,PEDIDOS!$A:$A,0),3)</f>
        <v>#N/A</v>
      </c>
      <c r="E572" s="3" t="e">
        <f>INDEX(PEDIDOS!$A:$D,MATCH(FORNECEDOR!A572,PEDIDOS!$A:$A,0),4)</f>
        <v>#N/A</v>
      </c>
    </row>
    <row r="573" spans="1:5" hidden="1" x14ac:dyDescent="0.25">
      <c r="A573" s="1" t="s">
        <v>572</v>
      </c>
      <c r="B573" s="3">
        <f>COUNTIF(PEDIDOS!$A:$A,FORNECEDOR!A573)</f>
        <v>0</v>
      </c>
      <c r="C573" s="3" t="e">
        <f>INDEX(PEDIDOS!$A:$D,MATCH(FORNECEDOR!A573,PEDIDOS!$A:$A,0),2)</f>
        <v>#N/A</v>
      </c>
      <c r="D573" s="3" t="e">
        <f>INDEX(PEDIDOS!$A:$D,MATCH(FORNECEDOR!A573,PEDIDOS!$A:$A,0),3)</f>
        <v>#N/A</v>
      </c>
      <c r="E573" s="3" t="e">
        <f>INDEX(PEDIDOS!$A:$D,MATCH(FORNECEDOR!A573,PEDIDOS!$A:$A,0),4)</f>
        <v>#N/A</v>
      </c>
    </row>
    <row r="574" spans="1:5" x14ac:dyDescent="0.25">
      <c r="A574" s="1" t="s">
        <v>573</v>
      </c>
      <c r="B574" s="3">
        <f>COUNTIF(PEDIDOS!$A:$A,FORNECEDOR!A574)</f>
        <v>2</v>
      </c>
      <c r="C574" s="3" t="str">
        <f>INDEX(PEDIDOS!$A:$D,MATCH(FORNECEDOR!A574,PEDIDOS!$A:$A,0),2)</f>
        <v>CD REGIS</v>
      </c>
      <c r="D574" s="3" t="str">
        <f>INDEX(PEDIDOS!$A:$D,MATCH(FORNECEDOR!A574,PEDIDOS!$A:$A,0),3)</f>
        <v>MATRIZ</v>
      </c>
      <c r="E574" s="3" t="str">
        <f>INDEX(PEDIDOS!$A:$D,MATCH(FORNECEDOR!A574,PEDIDOS!$A:$A,0),4)</f>
        <v>CD REGIS</v>
      </c>
    </row>
    <row r="575" spans="1:5" hidden="1" x14ac:dyDescent="0.25">
      <c r="A575" s="1" t="s">
        <v>574</v>
      </c>
      <c r="B575" s="3">
        <f>COUNTIF(PEDIDOS!$A:$A,FORNECEDOR!A575)</f>
        <v>0</v>
      </c>
      <c r="C575" s="3" t="e">
        <f>INDEX(PEDIDOS!$A:$D,MATCH(FORNECEDOR!A575,PEDIDOS!$A:$A,0),2)</f>
        <v>#N/A</v>
      </c>
      <c r="D575" s="3" t="e">
        <f>INDEX(PEDIDOS!$A:$D,MATCH(FORNECEDOR!A575,PEDIDOS!$A:$A,0),3)</f>
        <v>#N/A</v>
      </c>
      <c r="E575" s="3" t="e">
        <f>INDEX(PEDIDOS!$A:$D,MATCH(FORNECEDOR!A575,PEDIDOS!$A:$A,0),4)</f>
        <v>#N/A</v>
      </c>
    </row>
    <row r="576" spans="1:5" hidden="1" x14ac:dyDescent="0.25">
      <c r="A576" s="1" t="s">
        <v>575</v>
      </c>
      <c r="B576" s="3">
        <f>COUNTIF(PEDIDOS!$A:$A,FORNECEDOR!A576)</f>
        <v>0</v>
      </c>
      <c r="C576" s="3" t="e">
        <f>INDEX(PEDIDOS!$A:$D,MATCH(FORNECEDOR!A576,PEDIDOS!$A:$A,0),2)</f>
        <v>#N/A</v>
      </c>
      <c r="D576" s="3" t="e">
        <f>INDEX(PEDIDOS!$A:$D,MATCH(FORNECEDOR!A576,PEDIDOS!$A:$A,0),3)</f>
        <v>#N/A</v>
      </c>
      <c r="E576" s="3" t="e">
        <f>INDEX(PEDIDOS!$A:$D,MATCH(FORNECEDOR!A576,PEDIDOS!$A:$A,0),4)</f>
        <v>#N/A</v>
      </c>
    </row>
    <row r="577" spans="1:5" x14ac:dyDescent="0.25">
      <c r="A577" s="1" t="s">
        <v>576</v>
      </c>
      <c r="B577" s="3">
        <f>COUNTIF(PEDIDOS!$A:$A,FORNECEDOR!A577)</f>
        <v>1</v>
      </c>
      <c r="C577" s="3" t="str">
        <f>INDEX(PEDIDOS!$A:$D,MATCH(FORNECEDOR!A577,PEDIDOS!$A:$A,0),2)</f>
        <v>CD REGIS</v>
      </c>
      <c r="D577" s="3" t="str">
        <f>INDEX(PEDIDOS!$A:$D,MATCH(FORNECEDOR!A577,PEDIDOS!$A:$A,0),3)</f>
        <v>CD REGIS</v>
      </c>
      <c r="E577" s="3" t="str">
        <f>INDEX(PEDIDOS!$A:$D,MATCH(FORNECEDOR!A577,PEDIDOS!$A:$A,0),4)</f>
        <v>CD REGIS</v>
      </c>
    </row>
    <row r="578" spans="1:5" hidden="1" x14ac:dyDescent="0.25">
      <c r="A578" s="1" t="s">
        <v>577</v>
      </c>
      <c r="B578" s="3">
        <f>COUNTIF(PEDIDOS!$A:$A,FORNECEDOR!A578)</f>
        <v>0</v>
      </c>
      <c r="C578" s="3" t="e">
        <f>INDEX(PEDIDOS!$A:$D,MATCH(FORNECEDOR!A578,PEDIDOS!$A:$A,0),2)</f>
        <v>#N/A</v>
      </c>
      <c r="D578" s="3" t="e">
        <f>INDEX(PEDIDOS!$A:$D,MATCH(FORNECEDOR!A578,PEDIDOS!$A:$A,0),3)</f>
        <v>#N/A</v>
      </c>
      <c r="E578" s="3" t="e">
        <f>INDEX(PEDIDOS!$A:$D,MATCH(FORNECEDOR!A578,PEDIDOS!$A:$A,0),4)</f>
        <v>#N/A</v>
      </c>
    </row>
    <row r="579" spans="1:5" hidden="1" x14ac:dyDescent="0.25">
      <c r="A579" s="1" t="s">
        <v>578</v>
      </c>
      <c r="B579" s="3">
        <f>COUNTIF(PEDIDOS!$A:$A,FORNECEDOR!A579)</f>
        <v>0</v>
      </c>
      <c r="C579" s="3" t="e">
        <f>INDEX(PEDIDOS!$A:$D,MATCH(FORNECEDOR!A579,PEDIDOS!$A:$A,0),2)</f>
        <v>#N/A</v>
      </c>
      <c r="D579" s="3" t="e">
        <f>INDEX(PEDIDOS!$A:$D,MATCH(FORNECEDOR!A579,PEDIDOS!$A:$A,0),3)</f>
        <v>#N/A</v>
      </c>
      <c r="E579" s="3" t="e">
        <f>INDEX(PEDIDOS!$A:$D,MATCH(FORNECEDOR!A579,PEDIDOS!$A:$A,0),4)</f>
        <v>#N/A</v>
      </c>
    </row>
    <row r="580" spans="1:5" hidden="1" x14ac:dyDescent="0.25">
      <c r="A580" s="1" t="s">
        <v>579</v>
      </c>
      <c r="B580" s="3">
        <f>COUNTIF(PEDIDOS!$A:$A,FORNECEDOR!A580)</f>
        <v>0</v>
      </c>
      <c r="C580" s="3" t="e">
        <f>INDEX(PEDIDOS!$A:$D,MATCH(FORNECEDOR!A580,PEDIDOS!$A:$A,0),2)</f>
        <v>#N/A</v>
      </c>
      <c r="D580" s="3" t="e">
        <f>INDEX(PEDIDOS!$A:$D,MATCH(FORNECEDOR!A580,PEDIDOS!$A:$A,0),3)</f>
        <v>#N/A</v>
      </c>
      <c r="E580" s="3" t="e">
        <f>INDEX(PEDIDOS!$A:$D,MATCH(FORNECEDOR!A580,PEDIDOS!$A:$A,0),4)</f>
        <v>#N/A</v>
      </c>
    </row>
    <row r="581" spans="1:5" hidden="1" x14ac:dyDescent="0.25">
      <c r="A581" s="1" t="s">
        <v>580</v>
      </c>
      <c r="B581" s="3">
        <f>COUNTIF(PEDIDOS!$A:$A,FORNECEDOR!A581)</f>
        <v>0</v>
      </c>
      <c r="C581" s="3" t="e">
        <f>INDEX(PEDIDOS!$A:$D,MATCH(FORNECEDOR!A581,PEDIDOS!$A:$A,0),2)</f>
        <v>#N/A</v>
      </c>
      <c r="D581" s="3" t="e">
        <f>INDEX(PEDIDOS!$A:$D,MATCH(FORNECEDOR!A581,PEDIDOS!$A:$A,0),3)</f>
        <v>#N/A</v>
      </c>
      <c r="E581" s="3" t="e">
        <f>INDEX(PEDIDOS!$A:$D,MATCH(FORNECEDOR!A581,PEDIDOS!$A:$A,0),4)</f>
        <v>#N/A</v>
      </c>
    </row>
    <row r="582" spans="1:5" x14ac:dyDescent="0.25">
      <c r="A582" s="1" t="s">
        <v>581</v>
      </c>
      <c r="B582" s="3">
        <f>COUNTIF(PEDIDOS!$A:$A,FORNECEDOR!A582)</f>
        <v>1</v>
      </c>
      <c r="C582" s="3" t="str">
        <f>INDEX(PEDIDOS!$A:$D,MATCH(FORNECEDOR!A582,PEDIDOS!$A:$A,0),2)</f>
        <v>CD REGIS</v>
      </c>
      <c r="D582" s="3" t="str">
        <f>INDEX(PEDIDOS!$A:$D,MATCH(FORNECEDOR!A582,PEDIDOS!$A:$A,0),3)</f>
        <v>MATRIZ</v>
      </c>
      <c r="E582" s="3" t="str">
        <f>INDEX(PEDIDOS!$A:$D,MATCH(FORNECEDOR!A582,PEDIDOS!$A:$A,0),4)</f>
        <v>CD REGIS</v>
      </c>
    </row>
    <row r="583" spans="1:5" x14ac:dyDescent="0.25">
      <c r="A583" s="1" t="s">
        <v>582</v>
      </c>
      <c r="B583" s="3">
        <f>COUNTIF(PEDIDOS!$A:$A,FORNECEDOR!A583)</f>
        <v>1</v>
      </c>
      <c r="C583" s="3" t="str">
        <f>INDEX(PEDIDOS!$A:$D,MATCH(FORNECEDOR!A583,PEDIDOS!$A:$A,0),2)</f>
        <v>ANPPLA</v>
      </c>
      <c r="D583" s="3" t="str">
        <f>INDEX(PEDIDOS!$A:$D,MATCH(FORNECEDOR!A583,PEDIDOS!$A:$A,0),3)</f>
        <v>ANPPLA</v>
      </c>
      <c r="E583" s="3" t="str">
        <f>INDEX(PEDIDOS!$A:$D,MATCH(FORNECEDOR!A583,PEDIDOS!$A:$A,0),4)</f>
        <v>ANPPLA</v>
      </c>
    </row>
    <row r="584" spans="1:5" x14ac:dyDescent="0.25">
      <c r="A584" s="1" t="s">
        <v>583</v>
      </c>
      <c r="B584" s="3">
        <f>COUNTIF(PEDIDOS!$A:$A,FORNECEDOR!A584)</f>
        <v>1</v>
      </c>
      <c r="C584" s="3" t="str">
        <f>INDEX(PEDIDOS!$A:$D,MATCH(FORNECEDOR!A584,PEDIDOS!$A:$A,0),2)</f>
        <v>CD REGIS</v>
      </c>
      <c r="D584" s="3" t="str">
        <f>INDEX(PEDIDOS!$A:$D,MATCH(FORNECEDOR!A584,PEDIDOS!$A:$A,0),3)</f>
        <v>MATRIZ</v>
      </c>
      <c r="E584" s="3" t="str">
        <f>INDEX(PEDIDOS!$A:$D,MATCH(FORNECEDOR!A584,PEDIDOS!$A:$A,0),4)</f>
        <v>CD REGIS</v>
      </c>
    </row>
    <row r="585" spans="1:5" x14ac:dyDescent="0.25">
      <c r="A585" s="1" t="s">
        <v>584</v>
      </c>
      <c r="B585" s="3">
        <f>COUNTIF(PEDIDOS!$A:$A,FORNECEDOR!A585)</f>
        <v>2</v>
      </c>
      <c r="C585" s="3" t="str">
        <f>INDEX(PEDIDOS!$A:$D,MATCH(FORNECEDOR!A585,PEDIDOS!$A:$A,0),2)</f>
        <v>CD REGIS</v>
      </c>
      <c r="D585" s="3" t="str">
        <f>INDEX(PEDIDOS!$A:$D,MATCH(FORNECEDOR!A585,PEDIDOS!$A:$A,0),3)</f>
        <v>MATRIZ</v>
      </c>
      <c r="E585" s="3" t="str">
        <f>INDEX(PEDIDOS!$A:$D,MATCH(FORNECEDOR!A585,PEDIDOS!$A:$A,0),4)</f>
        <v>CD REGIS</v>
      </c>
    </row>
    <row r="586" spans="1:5" x14ac:dyDescent="0.25">
      <c r="A586" s="1" t="s">
        <v>585</v>
      </c>
      <c r="B586" s="3">
        <f>COUNTIF(PEDIDOS!$A:$A,FORNECEDOR!A586)</f>
        <v>1</v>
      </c>
      <c r="C586" s="3" t="str">
        <f>INDEX(PEDIDOS!$A:$D,MATCH(FORNECEDOR!A586,PEDIDOS!$A:$A,0),2)</f>
        <v>CD REGIS</v>
      </c>
      <c r="D586" s="3" t="str">
        <f>INDEX(PEDIDOS!$A:$D,MATCH(FORNECEDOR!A586,PEDIDOS!$A:$A,0),3)</f>
        <v>MATRIZ</v>
      </c>
      <c r="E586" s="3" t="str">
        <f>INDEX(PEDIDOS!$A:$D,MATCH(FORNECEDOR!A586,PEDIDOS!$A:$A,0),4)</f>
        <v>CD REGIS</v>
      </c>
    </row>
    <row r="587" spans="1:5" hidden="1" x14ac:dyDescent="0.25">
      <c r="A587" s="1" t="s">
        <v>586</v>
      </c>
      <c r="B587" s="3">
        <f>COUNTIF(PEDIDOS!$A:$A,FORNECEDOR!A587)</f>
        <v>0</v>
      </c>
      <c r="C587" s="3" t="e">
        <f>INDEX(PEDIDOS!$A:$D,MATCH(FORNECEDOR!A587,PEDIDOS!$A:$A,0),2)</f>
        <v>#N/A</v>
      </c>
      <c r="D587" s="3" t="e">
        <f>INDEX(PEDIDOS!$A:$D,MATCH(FORNECEDOR!A587,PEDIDOS!$A:$A,0),3)</f>
        <v>#N/A</v>
      </c>
      <c r="E587" s="3" t="e">
        <f>INDEX(PEDIDOS!$A:$D,MATCH(FORNECEDOR!A587,PEDIDOS!$A:$A,0),4)</f>
        <v>#N/A</v>
      </c>
    </row>
    <row r="588" spans="1:5" hidden="1" x14ac:dyDescent="0.25">
      <c r="A588" s="1" t="s">
        <v>587</v>
      </c>
      <c r="B588" s="3">
        <f>COUNTIF(PEDIDOS!$A:$A,FORNECEDOR!A588)</f>
        <v>0</v>
      </c>
      <c r="C588" s="3" t="e">
        <f>INDEX(PEDIDOS!$A:$D,MATCH(FORNECEDOR!A588,PEDIDOS!$A:$A,0),2)</f>
        <v>#N/A</v>
      </c>
      <c r="D588" s="3" t="e">
        <f>INDEX(PEDIDOS!$A:$D,MATCH(FORNECEDOR!A588,PEDIDOS!$A:$A,0),3)</f>
        <v>#N/A</v>
      </c>
      <c r="E588" s="3" t="e">
        <f>INDEX(PEDIDOS!$A:$D,MATCH(FORNECEDOR!A588,PEDIDOS!$A:$A,0),4)</f>
        <v>#N/A</v>
      </c>
    </row>
    <row r="589" spans="1:5" hidden="1" x14ac:dyDescent="0.25">
      <c r="A589" s="1" t="s">
        <v>588</v>
      </c>
      <c r="B589" s="3">
        <f>COUNTIF(PEDIDOS!$A:$A,FORNECEDOR!A589)</f>
        <v>0</v>
      </c>
      <c r="C589" s="3" t="e">
        <f>INDEX(PEDIDOS!$A:$D,MATCH(FORNECEDOR!A589,PEDIDOS!$A:$A,0),2)</f>
        <v>#N/A</v>
      </c>
      <c r="D589" s="3" t="e">
        <f>INDEX(PEDIDOS!$A:$D,MATCH(FORNECEDOR!A589,PEDIDOS!$A:$A,0),3)</f>
        <v>#N/A</v>
      </c>
      <c r="E589" s="3" t="e">
        <f>INDEX(PEDIDOS!$A:$D,MATCH(FORNECEDOR!A589,PEDIDOS!$A:$A,0),4)</f>
        <v>#N/A</v>
      </c>
    </row>
    <row r="590" spans="1:5" x14ac:dyDescent="0.25">
      <c r="A590" s="1" t="s">
        <v>589</v>
      </c>
      <c r="B590" s="3">
        <f>COUNTIF(PEDIDOS!$A:$A,FORNECEDOR!A590)</f>
        <v>1</v>
      </c>
      <c r="C590" s="3" t="str">
        <f>INDEX(PEDIDOS!$A:$D,MATCH(FORNECEDOR!A590,PEDIDOS!$A:$A,0),2)</f>
        <v>SP - PARI</v>
      </c>
      <c r="D590" s="3" t="str">
        <f>INDEX(PEDIDOS!$A:$D,MATCH(FORNECEDOR!A590,PEDIDOS!$A:$A,0),3)</f>
        <v>SP - PARI</v>
      </c>
      <c r="E590" s="3" t="str">
        <f>INDEX(PEDIDOS!$A:$D,MATCH(FORNECEDOR!A590,PEDIDOS!$A:$A,0),4)</f>
        <v>SP - PARI</v>
      </c>
    </row>
    <row r="591" spans="1:5" hidden="1" x14ac:dyDescent="0.25">
      <c r="A591" s="1" t="s">
        <v>590</v>
      </c>
      <c r="B591" s="3">
        <f>COUNTIF(PEDIDOS!$A:$A,FORNECEDOR!A591)</f>
        <v>0</v>
      </c>
      <c r="C591" s="3" t="e">
        <f>INDEX(PEDIDOS!$A:$D,MATCH(FORNECEDOR!A591,PEDIDOS!$A:$A,0),2)</f>
        <v>#N/A</v>
      </c>
      <c r="D591" s="3" t="e">
        <f>INDEX(PEDIDOS!$A:$D,MATCH(FORNECEDOR!A591,PEDIDOS!$A:$A,0),3)</f>
        <v>#N/A</v>
      </c>
      <c r="E591" s="3" t="e">
        <f>INDEX(PEDIDOS!$A:$D,MATCH(FORNECEDOR!A591,PEDIDOS!$A:$A,0),4)</f>
        <v>#N/A</v>
      </c>
    </row>
    <row r="592" spans="1:5" hidden="1" x14ac:dyDescent="0.25">
      <c r="A592" s="1" t="s">
        <v>591</v>
      </c>
      <c r="B592" s="3">
        <f>COUNTIF(PEDIDOS!$A:$A,FORNECEDOR!A592)</f>
        <v>0</v>
      </c>
      <c r="C592" s="3" t="e">
        <f>INDEX(PEDIDOS!$A:$D,MATCH(FORNECEDOR!A592,PEDIDOS!$A:$A,0),2)</f>
        <v>#N/A</v>
      </c>
      <c r="D592" s="3" t="e">
        <f>INDEX(PEDIDOS!$A:$D,MATCH(FORNECEDOR!A592,PEDIDOS!$A:$A,0),3)</f>
        <v>#N/A</v>
      </c>
      <c r="E592" s="3" t="e">
        <f>INDEX(PEDIDOS!$A:$D,MATCH(FORNECEDOR!A592,PEDIDOS!$A:$A,0),4)</f>
        <v>#N/A</v>
      </c>
    </row>
    <row r="593" spans="1:5" hidden="1" x14ac:dyDescent="0.25">
      <c r="A593" s="1" t="s">
        <v>592</v>
      </c>
      <c r="B593" s="3">
        <f>COUNTIF(PEDIDOS!$A:$A,FORNECEDOR!A593)</f>
        <v>0</v>
      </c>
      <c r="C593" s="3" t="e">
        <f>INDEX(PEDIDOS!$A:$D,MATCH(FORNECEDOR!A593,PEDIDOS!$A:$A,0),2)</f>
        <v>#N/A</v>
      </c>
      <c r="D593" s="3" t="e">
        <f>INDEX(PEDIDOS!$A:$D,MATCH(FORNECEDOR!A593,PEDIDOS!$A:$A,0),3)</f>
        <v>#N/A</v>
      </c>
      <c r="E593" s="3" t="e">
        <f>INDEX(PEDIDOS!$A:$D,MATCH(FORNECEDOR!A593,PEDIDOS!$A:$A,0),4)</f>
        <v>#N/A</v>
      </c>
    </row>
    <row r="594" spans="1:5" hidden="1" x14ac:dyDescent="0.25">
      <c r="A594" s="1" t="s">
        <v>593</v>
      </c>
      <c r="B594" s="3">
        <f>COUNTIF(PEDIDOS!$A:$A,FORNECEDOR!A594)</f>
        <v>0</v>
      </c>
      <c r="C594" s="3" t="e">
        <f>INDEX(PEDIDOS!$A:$D,MATCH(FORNECEDOR!A594,PEDIDOS!$A:$A,0),2)</f>
        <v>#N/A</v>
      </c>
      <c r="D594" s="3" t="e">
        <f>INDEX(PEDIDOS!$A:$D,MATCH(FORNECEDOR!A594,PEDIDOS!$A:$A,0),3)</f>
        <v>#N/A</v>
      </c>
      <c r="E594" s="3" t="e">
        <f>INDEX(PEDIDOS!$A:$D,MATCH(FORNECEDOR!A594,PEDIDOS!$A:$A,0),4)</f>
        <v>#N/A</v>
      </c>
    </row>
    <row r="595" spans="1:5" hidden="1" x14ac:dyDescent="0.25">
      <c r="A595" s="1" t="s">
        <v>594</v>
      </c>
      <c r="B595" s="3">
        <f>COUNTIF(PEDIDOS!$A:$A,FORNECEDOR!A595)</f>
        <v>0</v>
      </c>
      <c r="C595" s="3" t="e">
        <f>INDEX(PEDIDOS!$A:$D,MATCH(FORNECEDOR!A595,PEDIDOS!$A:$A,0),2)</f>
        <v>#N/A</v>
      </c>
      <c r="D595" s="3" t="e">
        <f>INDEX(PEDIDOS!$A:$D,MATCH(FORNECEDOR!A595,PEDIDOS!$A:$A,0),3)</f>
        <v>#N/A</v>
      </c>
      <c r="E595" s="3" t="e">
        <f>INDEX(PEDIDOS!$A:$D,MATCH(FORNECEDOR!A595,PEDIDOS!$A:$A,0),4)</f>
        <v>#N/A</v>
      </c>
    </row>
    <row r="596" spans="1:5" hidden="1" x14ac:dyDescent="0.25">
      <c r="A596" s="1" t="s">
        <v>595</v>
      </c>
      <c r="B596" s="3">
        <f>COUNTIF(PEDIDOS!$A:$A,FORNECEDOR!A596)</f>
        <v>0</v>
      </c>
      <c r="C596" s="3" t="e">
        <f>INDEX(PEDIDOS!$A:$D,MATCH(FORNECEDOR!A596,PEDIDOS!$A:$A,0),2)</f>
        <v>#N/A</v>
      </c>
      <c r="D596" s="3" t="e">
        <f>INDEX(PEDIDOS!$A:$D,MATCH(FORNECEDOR!A596,PEDIDOS!$A:$A,0),3)</f>
        <v>#N/A</v>
      </c>
      <c r="E596" s="3" t="e">
        <f>INDEX(PEDIDOS!$A:$D,MATCH(FORNECEDOR!A596,PEDIDOS!$A:$A,0),4)</f>
        <v>#N/A</v>
      </c>
    </row>
    <row r="597" spans="1:5" hidden="1" x14ac:dyDescent="0.25">
      <c r="A597" s="1" t="s">
        <v>596</v>
      </c>
      <c r="B597" s="3">
        <f>COUNTIF(PEDIDOS!$A:$A,FORNECEDOR!A597)</f>
        <v>0</v>
      </c>
      <c r="C597" s="3" t="e">
        <f>INDEX(PEDIDOS!$A:$D,MATCH(FORNECEDOR!A597,PEDIDOS!$A:$A,0),2)</f>
        <v>#N/A</v>
      </c>
      <c r="D597" s="3" t="e">
        <f>INDEX(PEDIDOS!$A:$D,MATCH(FORNECEDOR!A597,PEDIDOS!$A:$A,0),3)</f>
        <v>#N/A</v>
      </c>
      <c r="E597" s="3" t="e">
        <f>INDEX(PEDIDOS!$A:$D,MATCH(FORNECEDOR!A597,PEDIDOS!$A:$A,0),4)</f>
        <v>#N/A</v>
      </c>
    </row>
    <row r="598" spans="1:5" hidden="1" x14ac:dyDescent="0.25">
      <c r="A598" s="1" t="s">
        <v>597</v>
      </c>
      <c r="B598" s="3">
        <f>COUNTIF(PEDIDOS!$A:$A,FORNECEDOR!A598)</f>
        <v>0</v>
      </c>
      <c r="C598" s="3" t="e">
        <f>INDEX(PEDIDOS!$A:$D,MATCH(FORNECEDOR!A598,PEDIDOS!$A:$A,0),2)</f>
        <v>#N/A</v>
      </c>
      <c r="D598" s="3" t="e">
        <f>INDEX(PEDIDOS!$A:$D,MATCH(FORNECEDOR!A598,PEDIDOS!$A:$A,0),3)</f>
        <v>#N/A</v>
      </c>
      <c r="E598" s="3" t="e">
        <f>INDEX(PEDIDOS!$A:$D,MATCH(FORNECEDOR!A598,PEDIDOS!$A:$A,0),4)</f>
        <v>#N/A</v>
      </c>
    </row>
    <row r="599" spans="1:5" hidden="1" x14ac:dyDescent="0.25">
      <c r="A599" s="1" t="s">
        <v>598</v>
      </c>
      <c r="B599" s="3">
        <f>COUNTIF(PEDIDOS!$A:$A,FORNECEDOR!A599)</f>
        <v>0</v>
      </c>
      <c r="C599" s="3" t="e">
        <f>INDEX(PEDIDOS!$A:$D,MATCH(FORNECEDOR!A599,PEDIDOS!$A:$A,0),2)</f>
        <v>#N/A</v>
      </c>
      <c r="D599" s="3" t="e">
        <f>INDEX(PEDIDOS!$A:$D,MATCH(FORNECEDOR!A599,PEDIDOS!$A:$A,0),3)</f>
        <v>#N/A</v>
      </c>
      <c r="E599" s="3" t="e">
        <f>INDEX(PEDIDOS!$A:$D,MATCH(FORNECEDOR!A599,PEDIDOS!$A:$A,0),4)</f>
        <v>#N/A</v>
      </c>
    </row>
    <row r="600" spans="1:5" hidden="1" x14ac:dyDescent="0.25">
      <c r="A600" s="1" t="s">
        <v>599</v>
      </c>
      <c r="B600" s="3">
        <f>COUNTIF(PEDIDOS!$A:$A,FORNECEDOR!A600)</f>
        <v>0</v>
      </c>
      <c r="C600" s="3" t="e">
        <f>INDEX(PEDIDOS!$A:$D,MATCH(FORNECEDOR!A600,PEDIDOS!$A:$A,0),2)</f>
        <v>#N/A</v>
      </c>
      <c r="D600" s="3" t="e">
        <f>INDEX(PEDIDOS!$A:$D,MATCH(FORNECEDOR!A600,PEDIDOS!$A:$A,0),3)</f>
        <v>#N/A</v>
      </c>
      <c r="E600" s="3" t="e">
        <f>INDEX(PEDIDOS!$A:$D,MATCH(FORNECEDOR!A600,PEDIDOS!$A:$A,0),4)</f>
        <v>#N/A</v>
      </c>
    </row>
    <row r="601" spans="1:5" hidden="1" x14ac:dyDescent="0.25">
      <c r="A601" s="1" t="s">
        <v>600</v>
      </c>
      <c r="B601" s="3">
        <f>COUNTIF(PEDIDOS!$A:$A,FORNECEDOR!A601)</f>
        <v>0</v>
      </c>
      <c r="C601" s="3" t="e">
        <f>INDEX(PEDIDOS!$A:$D,MATCH(FORNECEDOR!A601,PEDIDOS!$A:$A,0),2)</f>
        <v>#N/A</v>
      </c>
      <c r="D601" s="3" t="e">
        <f>INDEX(PEDIDOS!$A:$D,MATCH(FORNECEDOR!A601,PEDIDOS!$A:$A,0),3)</f>
        <v>#N/A</v>
      </c>
      <c r="E601" s="3" t="e">
        <f>INDEX(PEDIDOS!$A:$D,MATCH(FORNECEDOR!A601,PEDIDOS!$A:$A,0),4)</f>
        <v>#N/A</v>
      </c>
    </row>
    <row r="602" spans="1:5" hidden="1" x14ac:dyDescent="0.25">
      <c r="A602" s="1" t="s">
        <v>601</v>
      </c>
      <c r="B602" s="3">
        <f>COUNTIF(PEDIDOS!$A:$A,FORNECEDOR!A602)</f>
        <v>0</v>
      </c>
      <c r="C602" s="3" t="e">
        <f>INDEX(PEDIDOS!$A:$D,MATCH(FORNECEDOR!A602,PEDIDOS!$A:$A,0),2)</f>
        <v>#N/A</v>
      </c>
      <c r="D602" s="3" t="e">
        <f>INDEX(PEDIDOS!$A:$D,MATCH(FORNECEDOR!A602,PEDIDOS!$A:$A,0),3)</f>
        <v>#N/A</v>
      </c>
      <c r="E602" s="3" t="e">
        <f>INDEX(PEDIDOS!$A:$D,MATCH(FORNECEDOR!A602,PEDIDOS!$A:$A,0),4)</f>
        <v>#N/A</v>
      </c>
    </row>
    <row r="603" spans="1:5" x14ac:dyDescent="0.25">
      <c r="A603" s="1" t="s">
        <v>602</v>
      </c>
      <c r="B603" s="3">
        <f>COUNTIF(PEDIDOS!$A:$A,FORNECEDOR!A603)</f>
        <v>2</v>
      </c>
      <c r="C603" s="3" t="str">
        <f>INDEX(PEDIDOS!$A:$D,MATCH(FORNECEDOR!A603,PEDIDOS!$A:$A,0),2)</f>
        <v>CD ARAQUARI</v>
      </c>
      <c r="D603" s="3" t="str">
        <f>INDEX(PEDIDOS!$A:$D,MATCH(FORNECEDOR!A603,PEDIDOS!$A:$A,0),3)</f>
        <v>MATRIZ</v>
      </c>
      <c r="E603" s="3" t="str">
        <f>INDEX(PEDIDOS!$A:$D,MATCH(FORNECEDOR!A603,PEDIDOS!$A:$A,0),4)</f>
        <v>CD ARAQUARI</v>
      </c>
    </row>
    <row r="604" spans="1:5" hidden="1" x14ac:dyDescent="0.25">
      <c r="A604" s="1" t="s">
        <v>603</v>
      </c>
      <c r="B604" s="3">
        <f>COUNTIF(PEDIDOS!$A:$A,FORNECEDOR!A604)</f>
        <v>0</v>
      </c>
      <c r="C604" s="3" t="e">
        <f>INDEX(PEDIDOS!$A:$D,MATCH(FORNECEDOR!A604,PEDIDOS!$A:$A,0),2)</f>
        <v>#N/A</v>
      </c>
      <c r="D604" s="3" t="e">
        <f>INDEX(PEDIDOS!$A:$D,MATCH(FORNECEDOR!A604,PEDIDOS!$A:$A,0),3)</f>
        <v>#N/A</v>
      </c>
      <c r="E604" s="3" t="e">
        <f>INDEX(PEDIDOS!$A:$D,MATCH(FORNECEDOR!A604,PEDIDOS!$A:$A,0),4)</f>
        <v>#N/A</v>
      </c>
    </row>
    <row r="605" spans="1:5" hidden="1" x14ac:dyDescent="0.25">
      <c r="A605" s="1" t="s">
        <v>604</v>
      </c>
      <c r="B605" s="3">
        <f>COUNTIF(PEDIDOS!$A:$A,FORNECEDOR!A605)</f>
        <v>0</v>
      </c>
      <c r="C605" s="3" t="e">
        <f>INDEX(PEDIDOS!$A:$D,MATCH(FORNECEDOR!A605,PEDIDOS!$A:$A,0),2)</f>
        <v>#N/A</v>
      </c>
      <c r="D605" s="3" t="e">
        <f>INDEX(PEDIDOS!$A:$D,MATCH(FORNECEDOR!A605,PEDIDOS!$A:$A,0),3)</f>
        <v>#N/A</v>
      </c>
      <c r="E605" s="3" t="e">
        <f>INDEX(PEDIDOS!$A:$D,MATCH(FORNECEDOR!A605,PEDIDOS!$A:$A,0),4)</f>
        <v>#N/A</v>
      </c>
    </row>
    <row r="606" spans="1:5" hidden="1" x14ac:dyDescent="0.25">
      <c r="A606" s="1" t="s">
        <v>605</v>
      </c>
      <c r="B606" s="3">
        <f>COUNTIF(PEDIDOS!$A:$A,FORNECEDOR!A606)</f>
        <v>0</v>
      </c>
      <c r="C606" s="3" t="e">
        <f>INDEX(PEDIDOS!$A:$D,MATCH(FORNECEDOR!A606,PEDIDOS!$A:$A,0),2)</f>
        <v>#N/A</v>
      </c>
      <c r="D606" s="3" t="e">
        <f>INDEX(PEDIDOS!$A:$D,MATCH(FORNECEDOR!A606,PEDIDOS!$A:$A,0),3)</f>
        <v>#N/A</v>
      </c>
      <c r="E606" s="3" t="e">
        <f>INDEX(PEDIDOS!$A:$D,MATCH(FORNECEDOR!A606,PEDIDOS!$A:$A,0),4)</f>
        <v>#N/A</v>
      </c>
    </row>
    <row r="607" spans="1:5" x14ac:dyDescent="0.25">
      <c r="A607" s="1" t="s">
        <v>606</v>
      </c>
      <c r="B607" s="3">
        <f>COUNTIF(PEDIDOS!$A:$A,FORNECEDOR!A607)</f>
        <v>1</v>
      </c>
      <c r="C607" s="3" t="str">
        <f>INDEX(PEDIDOS!$A:$D,MATCH(FORNECEDOR!A607,PEDIDOS!$A:$A,0),2)</f>
        <v>ANPPLA</v>
      </c>
      <c r="D607" s="3" t="str">
        <f>INDEX(PEDIDOS!$A:$D,MATCH(FORNECEDOR!A607,PEDIDOS!$A:$A,0),3)</f>
        <v>ANPPLA</v>
      </c>
      <c r="E607" s="3" t="str">
        <f>INDEX(PEDIDOS!$A:$D,MATCH(FORNECEDOR!A607,PEDIDOS!$A:$A,0),4)</f>
        <v>ANPPLA</v>
      </c>
    </row>
    <row r="608" spans="1:5" hidden="1" x14ac:dyDescent="0.25">
      <c r="A608" s="1" t="s">
        <v>607</v>
      </c>
      <c r="B608" s="3">
        <f>COUNTIF(PEDIDOS!$A:$A,FORNECEDOR!A608)</f>
        <v>0</v>
      </c>
      <c r="C608" s="3" t="e">
        <f>INDEX(PEDIDOS!$A:$D,MATCH(FORNECEDOR!A608,PEDIDOS!$A:$A,0),2)</f>
        <v>#N/A</v>
      </c>
      <c r="D608" s="3" t="e">
        <f>INDEX(PEDIDOS!$A:$D,MATCH(FORNECEDOR!A608,PEDIDOS!$A:$A,0),3)</f>
        <v>#N/A</v>
      </c>
      <c r="E608" s="3" t="e">
        <f>INDEX(PEDIDOS!$A:$D,MATCH(FORNECEDOR!A608,PEDIDOS!$A:$A,0),4)</f>
        <v>#N/A</v>
      </c>
    </row>
    <row r="609" spans="1:5" x14ac:dyDescent="0.25">
      <c r="A609" s="1" t="s">
        <v>608</v>
      </c>
      <c r="B609" s="3">
        <f>COUNTIF(PEDIDOS!$A:$A,FORNECEDOR!A609)</f>
        <v>1</v>
      </c>
      <c r="C609" s="3" t="str">
        <f>INDEX(PEDIDOS!$A:$D,MATCH(FORNECEDOR!A609,PEDIDOS!$A:$A,0),2)</f>
        <v>MATRIZ</v>
      </c>
      <c r="D609" s="3" t="str">
        <f>INDEX(PEDIDOS!$A:$D,MATCH(FORNECEDOR!A609,PEDIDOS!$A:$A,0),3)</f>
        <v>MATRIZ</v>
      </c>
      <c r="E609" s="3" t="str">
        <f>INDEX(PEDIDOS!$A:$D,MATCH(FORNECEDOR!A609,PEDIDOS!$A:$A,0),4)</f>
        <v>MATRIZ</v>
      </c>
    </row>
    <row r="610" spans="1:5" hidden="1" x14ac:dyDescent="0.25">
      <c r="A610" s="1" t="s">
        <v>609</v>
      </c>
      <c r="B610" s="3">
        <f>COUNTIF(PEDIDOS!$A:$A,FORNECEDOR!A610)</f>
        <v>0</v>
      </c>
      <c r="C610" s="3" t="e">
        <f>INDEX(PEDIDOS!$A:$D,MATCH(FORNECEDOR!A610,PEDIDOS!$A:$A,0),2)</f>
        <v>#N/A</v>
      </c>
      <c r="D610" s="3" t="e">
        <f>INDEX(PEDIDOS!$A:$D,MATCH(FORNECEDOR!A610,PEDIDOS!$A:$A,0),3)</f>
        <v>#N/A</v>
      </c>
      <c r="E610" s="3" t="e">
        <f>INDEX(PEDIDOS!$A:$D,MATCH(FORNECEDOR!A610,PEDIDOS!$A:$A,0),4)</f>
        <v>#N/A</v>
      </c>
    </row>
    <row r="611" spans="1:5" hidden="1" x14ac:dyDescent="0.25">
      <c r="A611" s="1" t="s">
        <v>610</v>
      </c>
      <c r="B611" s="3">
        <f>COUNTIF(PEDIDOS!$A:$A,FORNECEDOR!A611)</f>
        <v>0</v>
      </c>
      <c r="C611" s="3" t="e">
        <f>INDEX(PEDIDOS!$A:$D,MATCH(FORNECEDOR!A611,PEDIDOS!$A:$A,0),2)</f>
        <v>#N/A</v>
      </c>
      <c r="D611" s="3" t="e">
        <f>INDEX(PEDIDOS!$A:$D,MATCH(FORNECEDOR!A611,PEDIDOS!$A:$A,0),3)</f>
        <v>#N/A</v>
      </c>
      <c r="E611" s="3" t="e">
        <f>INDEX(PEDIDOS!$A:$D,MATCH(FORNECEDOR!A611,PEDIDOS!$A:$A,0),4)</f>
        <v>#N/A</v>
      </c>
    </row>
    <row r="612" spans="1:5" x14ac:dyDescent="0.25">
      <c r="A612" s="1" t="s">
        <v>611</v>
      </c>
      <c r="B612" s="3">
        <f>COUNTIF(PEDIDOS!$A:$A,FORNECEDOR!A612)</f>
        <v>1</v>
      </c>
      <c r="C612" s="3" t="str">
        <f>INDEX(PEDIDOS!$A:$D,MATCH(FORNECEDOR!A612,PEDIDOS!$A:$A,0),2)</f>
        <v>CD REGIS</v>
      </c>
      <c r="D612" s="3" t="str">
        <f>INDEX(PEDIDOS!$A:$D,MATCH(FORNECEDOR!A612,PEDIDOS!$A:$A,0),3)</f>
        <v>MATRIZ</v>
      </c>
      <c r="E612" s="3" t="str">
        <f>INDEX(PEDIDOS!$A:$D,MATCH(FORNECEDOR!A612,PEDIDOS!$A:$A,0),4)</f>
        <v>CD REGIS</v>
      </c>
    </row>
    <row r="613" spans="1:5" hidden="1" x14ac:dyDescent="0.25">
      <c r="A613" s="1" t="s">
        <v>612</v>
      </c>
      <c r="B613" s="3">
        <f>COUNTIF(PEDIDOS!$A:$A,FORNECEDOR!A613)</f>
        <v>0</v>
      </c>
      <c r="C613" s="3" t="e">
        <f>INDEX(PEDIDOS!$A:$D,MATCH(FORNECEDOR!A613,PEDIDOS!$A:$A,0),2)</f>
        <v>#N/A</v>
      </c>
      <c r="D613" s="3" t="e">
        <f>INDEX(PEDIDOS!$A:$D,MATCH(FORNECEDOR!A613,PEDIDOS!$A:$A,0),3)</f>
        <v>#N/A</v>
      </c>
      <c r="E613" s="3" t="e">
        <f>INDEX(PEDIDOS!$A:$D,MATCH(FORNECEDOR!A613,PEDIDOS!$A:$A,0),4)</f>
        <v>#N/A</v>
      </c>
    </row>
    <row r="614" spans="1:5" x14ac:dyDescent="0.25">
      <c r="A614" s="1" t="s">
        <v>613</v>
      </c>
      <c r="B614" s="3">
        <f>COUNTIF(PEDIDOS!$A:$A,FORNECEDOR!A614)</f>
        <v>1</v>
      </c>
      <c r="C614" s="3" t="str">
        <f>INDEX(PEDIDOS!$A:$D,MATCH(FORNECEDOR!A614,PEDIDOS!$A:$A,0),2)</f>
        <v>CD REGIS</v>
      </c>
      <c r="D614" s="3" t="str">
        <f>INDEX(PEDIDOS!$A:$D,MATCH(FORNECEDOR!A614,PEDIDOS!$A:$A,0),3)</f>
        <v>MATRIZ</v>
      </c>
      <c r="E614" s="3" t="str">
        <f>INDEX(PEDIDOS!$A:$D,MATCH(FORNECEDOR!A614,PEDIDOS!$A:$A,0),4)</f>
        <v>CD REGIS</v>
      </c>
    </row>
    <row r="615" spans="1:5" x14ac:dyDescent="0.25">
      <c r="A615" s="1" t="s">
        <v>614</v>
      </c>
      <c r="B615" s="3">
        <f>COUNTIF(PEDIDOS!$A:$A,FORNECEDOR!A615)</f>
        <v>1</v>
      </c>
      <c r="C615" s="3" t="str">
        <f>INDEX(PEDIDOS!$A:$D,MATCH(FORNECEDOR!A615,PEDIDOS!$A:$A,0),2)</f>
        <v>CD REGIS</v>
      </c>
      <c r="D615" s="3" t="str">
        <f>INDEX(PEDIDOS!$A:$D,MATCH(FORNECEDOR!A615,PEDIDOS!$A:$A,0),3)</f>
        <v>TATUAPE</v>
      </c>
      <c r="E615" s="3" t="str">
        <f>INDEX(PEDIDOS!$A:$D,MATCH(FORNECEDOR!A615,PEDIDOS!$A:$A,0),4)</f>
        <v>CD REGIS</v>
      </c>
    </row>
    <row r="616" spans="1:5" hidden="1" x14ac:dyDescent="0.25">
      <c r="A616" s="1" t="s">
        <v>615</v>
      </c>
      <c r="B616" s="3">
        <f>COUNTIF(PEDIDOS!$A:$A,FORNECEDOR!A616)</f>
        <v>0</v>
      </c>
      <c r="C616" s="3" t="e">
        <f>INDEX(PEDIDOS!$A:$D,MATCH(FORNECEDOR!A616,PEDIDOS!$A:$A,0),2)</f>
        <v>#N/A</v>
      </c>
      <c r="D616" s="3" t="e">
        <f>INDEX(PEDIDOS!$A:$D,MATCH(FORNECEDOR!A616,PEDIDOS!$A:$A,0),3)</f>
        <v>#N/A</v>
      </c>
      <c r="E616" s="3" t="e">
        <f>INDEX(PEDIDOS!$A:$D,MATCH(FORNECEDOR!A616,PEDIDOS!$A:$A,0),4)</f>
        <v>#N/A</v>
      </c>
    </row>
    <row r="617" spans="1:5" hidden="1" x14ac:dyDescent="0.25">
      <c r="A617" s="1" t="s">
        <v>616</v>
      </c>
      <c r="B617" s="3">
        <f>COUNTIF(PEDIDOS!$A:$A,FORNECEDOR!A617)</f>
        <v>0</v>
      </c>
      <c r="C617" s="3" t="e">
        <f>INDEX(PEDIDOS!$A:$D,MATCH(FORNECEDOR!A617,PEDIDOS!$A:$A,0),2)</f>
        <v>#N/A</v>
      </c>
      <c r="D617" s="3" t="e">
        <f>INDEX(PEDIDOS!$A:$D,MATCH(FORNECEDOR!A617,PEDIDOS!$A:$A,0),3)</f>
        <v>#N/A</v>
      </c>
      <c r="E617" s="3" t="e">
        <f>INDEX(PEDIDOS!$A:$D,MATCH(FORNECEDOR!A617,PEDIDOS!$A:$A,0),4)</f>
        <v>#N/A</v>
      </c>
    </row>
    <row r="618" spans="1:5" hidden="1" x14ac:dyDescent="0.25">
      <c r="A618" s="1" t="s">
        <v>617</v>
      </c>
      <c r="B618" s="3">
        <f>COUNTIF(PEDIDOS!$A:$A,FORNECEDOR!A618)</f>
        <v>0</v>
      </c>
      <c r="C618" s="3" t="e">
        <f>INDEX(PEDIDOS!$A:$D,MATCH(FORNECEDOR!A618,PEDIDOS!$A:$A,0),2)</f>
        <v>#N/A</v>
      </c>
      <c r="D618" s="3" t="e">
        <f>INDEX(PEDIDOS!$A:$D,MATCH(FORNECEDOR!A618,PEDIDOS!$A:$A,0),3)</f>
        <v>#N/A</v>
      </c>
      <c r="E618" s="3" t="e">
        <f>INDEX(PEDIDOS!$A:$D,MATCH(FORNECEDOR!A618,PEDIDOS!$A:$A,0),4)</f>
        <v>#N/A</v>
      </c>
    </row>
    <row r="619" spans="1:5" hidden="1" x14ac:dyDescent="0.25">
      <c r="A619" s="1" t="s">
        <v>618</v>
      </c>
      <c r="B619" s="3">
        <f>COUNTIF(PEDIDOS!$A:$A,FORNECEDOR!A619)</f>
        <v>0</v>
      </c>
      <c r="C619" s="3" t="e">
        <f>INDEX(PEDIDOS!$A:$D,MATCH(FORNECEDOR!A619,PEDIDOS!$A:$A,0),2)</f>
        <v>#N/A</v>
      </c>
      <c r="D619" s="3" t="e">
        <f>INDEX(PEDIDOS!$A:$D,MATCH(FORNECEDOR!A619,PEDIDOS!$A:$A,0),3)</f>
        <v>#N/A</v>
      </c>
      <c r="E619" s="3" t="e">
        <f>INDEX(PEDIDOS!$A:$D,MATCH(FORNECEDOR!A619,PEDIDOS!$A:$A,0),4)</f>
        <v>#N/A</v>
      </c>
    </row>
    <row r="620" spans="1:5" x14ac:dyDescent="0.25">
      <c r="A620" s="1" t="s">
        <v>619</v>
      </c>
      <c r="B620" s="3">
        <f>COUNTIF(PEDIDOS!$A:$A,FORNECEDOR!A620)</f>
        <v>1</v>
      </c>
      <c r="C620" s="3" t="str">
        <f>INDEX(PEDIDOS!$A:$D,MATCH(FORNECEDOR!A620,PEDIDOS!$A:$A,0),2)</f>
        <v>CD REGIS</v>
      </c>
      <c r="D620" s="3" t="str">
        <f>INDEX(PEDIDOS!$A:$D,MATCH(FORNECEDOR!A620,PEDIDOS!$A:$A,0),3)</f>
        <v>MATRIZ</v>
      </c>
      <c r="E620" s="3" t="str">
        <f>INDEX(PEDIDOS!$A:$D,MATCH(FORNECEDOR!A620,PEDIDOS!$A:$A,0),4)</f>
        <v>CD REGIS</v>
      </c>
    </row>
    <row r="621" spans="1:5" hidden="1" x14ac:dyDescent="0.25">
      <c r="A621" s="1" t="s">
        <v>620</v>
      </c>
      <c r="B621" s="3">
        <f>COUNTIF(PEDIDOS!$A:$A,FORNECEDOR!A621)</f>
        <v>0</v>
      </c>
      <c r="C621" s="3" t="e">
        <f>INDEX(PEDIDOS!$A:$D,MATCH(FORNECEDOR!A621,PEDIDOS!$A:$A,0),2)</f>
        <v>#N/A</v>
      </c>
      <c r="D621" s="3" t="e">
        <f>INDEX(PEDIDOS!$A:$D,MATCH(FORNECEDOR!A621,PEDIDOS!$A:$A,0),3)</f>
        <v>#N/A</v>
      </c>
      <c r="E621" s="3" t="e">
        <f>INDEX(PEDIDOS!$A:$D,MATCH(FORNECEDOR!A621,PEDIDOS!$A:$A,0),4)</f>
        <v>#N/A</v>
      </c>
    </row>
    <row r="622" spans="1:5" hidden="1" x14ac:dyDescent="0.25">
      <c r="A622" s="1" t="s">
        <v>621</v>
      </c>
      <c r="B622" s="3">
        <f>COUNTIF(PEDIDOS!$A:$A,FORNECEDOR!A622)</f>
        <v>0</v>
      </c>
      <c r="C622" s="3" t="e">
        <f>INDEX(PEDIDOS!$A:$D,MATCH(FORNECEDOR!A622,PEDIDOS!$A:$A,0),2)</f>
        <v>#N/A</v>
      </c>
      <c r="D622" s="3" t="e">
        <f>INDEX(PEDIDOS!$A:$D,MATCH(FORNECEDOR!A622,PEDIDOS!$A:$A,0),3)</f>
        <v>#N/A</v>
      </c>
      <c r="E622" s="3" t="e">
        <f>INDEX(PEDIDOS!$A:$D,MATCH(FORNECEDOR!A622,PEDIDOS!$A:$A,0),4)</f>
        <v>#N/A</v>
      </c>
    </row>
    <row r="623" spans="1:5" hidden="1" x14ac:dyDescent="0.25">
      <c r="A623" s="1" t="s">
        <v>622</v>
      </c>
      <c r="B623" s="3">
        <f>COUNTIF(PEDIDOS!$A:$A,FORNECEDOR!A623)</f>
        <v>0</v>
      </c>
      <c r="C623" s="3" t="e">
        <f>INDEX(PEDIDOS!$A:$D,MATCH(FORNECEDOR!A623,PEDIDOS!$A:$A,0),2)</f>
        <v>#N/A</v>
      </c>
      <c r="D623" s="3" t="e">
        <f>INDEX(PEDIDOS!$A:$D,MATCH(FORNECEDOR!A623,PEDIDOS!$A:$A,0),3)</f>
        <v>#N/A</v>
      </c>
      <c r="E623" s="3" t="e">
        <f>INDEX(PEDIDOS!$A:$D,MATCH(FORNECEDOR!A623,PEDIDOS!$A:$A,0),4)</f>
        <v>#N/A</v>
      </c>
    </row>
    <row r="624" spans="1:5" hidden="1" x14ac:dyDescent="0.25">
      <c r="A624" s="1" t="s">
        <v>623</v>
      </c>
      <c r="B624" s="3">
        <f>COUNTIF(PEDIDOS!$A:$A,FORNECEDOR!A624)</f>
        <v>0</v>
      </c>
      <c r="C624" s="3" t="e">
        <f>INDEX(PEDIDOS!$A:$D,MATCH(FORNECEDOR!A624,PEDIDOS!$A:$A,0),2)</f>
        <v>#N/A</v>
      </c>
      <c r="D624" s="3" t="e">
        <f>INDEX(PEDIDOS!$A:$D,MATCH(FORNECEDOR!A624,PEDIDOS!$A:$A,0),3)</f>
        <v>#N/A</v>
      </c>
      <c r="E624" s="3" t="e">
        <f>INDEX(PEDIDOS!$A:$D,MATCH(FORNECEDOR!A624,PEDIDOS!$A:$A,0),4)</f>
        <v>#N/A</v>
      </c>
    </row>
    <row r="625" spans="1:5" hidden="1" x14ac:dyDescent="0.25">
      <c r="A625" s="1" t="s">
        <v>624</v>
      </c>
      <c r="B625" s="3">
        <f>COUNTIF(PEDIDOS!$A:$A,FORNECEDOR!A625)</f>
        <v>0</v>
      </c>
      <c r="C625" s="3" t="e">
        <f>INDEX(PEDIDOS!$A:$D,MATCH(FORNECEDOR!A625,PEDIDOS!$A:$A,0),2)</f>
        <v>#N/A</v>
      </c>
      <c r="D625" s="3" t="e">
        <f>INDEX(PEDIDOS!$A:$D,MATCH(FORNECEDOR!A625,PEDIDOS!$A:$A,0),3)</f>
        <v>#N/A</v>
      </c>
      <c r="E625" s="3" t="e">
        <f>INDEX(PEDIDOS!$A:$D,MATCH(FORNECEDOR!A625,PEDIDOS!$A:$A,0),4)</f>
        <v>#N/A</v>
      </c>
    </row>
    <row r="626" spans="1:5" hidden="1" x14ac:dyDescent="0.25">
      <c r="A626" s="1" t="s">
        <v>625</v>
      </c>
      <c r="B626" s="3">
        <f>COUNTIF(PEDIDOS!$A:$A,FORNECEDOR!A626)</f>
        <v>0</v>
      </c>
      <c r="C626" s="3" t="e">
        <f>INDEX(PEDIDOS!$A:$D,MATCH(FORNECEDOR!A626,PEDIDOS!$A:$A,0),2)</f>
        <v>#N/A</v>
      </c>
      <c r="D626" s="3" t="e">
        <f>INDEX(PEDIDOS!$A:$D,MATCH(FORNECEDOR!A626,PEDIDOS!$A:$A,0),3)</f>
        <v>#N/A</v>
      </c>
      <c r="E626" s="3" t="e">
        <f>INDEX(PEDIDOS!$A:$D,MATCH(FORNECEDOR!A626,PEDIDOS!$A:$A,0),4)</f>
        <v>#N/A</v>
      </c>
    </row>
    <row r="627" spans="1:5" hidden="1" x14ac:dyDescent="0.25">
      <c r="A627" s="1" t="s">
        <v>626</v>
      </c>
      <c r="B627" s="3">
        <f>COUNTIF(PEDIDOS!$A:$A,FORNECEDOR!A627)</f>
        <v>0</v>
      </c>
      <c r="C627" s="3" t="e">
        <f>INDEX(PEDIDOS!$A:$D,MATCH(FORNECEDOR!A627,PEDIDOS!$A:$A,0),2)</f>
        <v>#N/A</v>
      </c>
      <c r="D627" s="3" t="e">
        <f>INDEX(PEDIDOS!$A:$D,MATCH(FORNECEDOR!A627,PEDIDOS!$A:$A,0),3)</f>
        <v>#N/A</v>
      </c>
      <c r="E627" s="3" t="e">
        <f>INDEX(PEDIDOS!$A:$D,MATCH(FORNECEDOR!A627,PEDIDOS!$A:$A,0),4)</f>
        <v>#N/A</v>
      </c>
    </row>
    <row r="628" spans="1:5" hidden="1" x14ac:dyDescent="0.25">
      <c r="A628" s="1" t="s">
        <v>627</v>
      </c>
      <c r="B628" s="3">
        <f>COUNTIF(PEDIDOS!$A:$A,FORNECEDOR!A628)</f>
        <v>0</v>
      </c>
      <c r="C628" s="3" t="e">
        <f>INDEX(PEDIDOS!$A:$D,MATCH(FORNECEDOR!A628,PEDIDOS!$A:$A,0),2)</f>
        <v>#N/A</v>
      </c>
      <c r="D628" s="3" t="e">
        <f>INDEX(PEDIDOS!$A:$D,MATCH(FORNECEDOR!A628,PEDIDOS!$A:$A,0),3)</f>
        <v>#N/A</v>
      </c>
      <c r="E628" s="3" t="e">
        <f>INDEX(PEDIDOS!$A:$D,MATCH(FORNECEDOR!A628,PEDIDOS!$A:$A,0),4)</f>
        <v>#N/A</v>
      </c>
    </row>
    <row r="629" spans="1:5" hidden="1" x14ac:dyDescent="0.25">
      <c r="A629" s="1" t="s">
        <v>628</v>
      </c>
      <c r="B629" s="3">
        <f>COUNTIF(PEDIDOS!$A:$A,FORNECEDOR!A629)</f>
        <v>0</v>
      </c>
      <c r="C629" s="3" t="e">
        <f>INDEX(PEDIDOS!$A:$D,MATCH(FORNECEDOR!A629,PEDIDOS!$A:$A,0),2)</f>
        <v>#N/A</v>
      </c>
      <c r="D629" s="3" t="e">
        <f>INDEX(PEDIDOS!$A:$D,MATCH(FORNECEDOR!A629,PEDIDOS!$A:$A,0),3)</f>
        <v>#N/A</v>
      </c>
      <c r="E629" s="3" t="e">
        <f>INDEX(PEDIDOS!$A:$D,MATCH(FORNECEDOR!A629,PEDIDOS!$A:$A,0),4)</f>
        <v>#N/A</v>
      </c>
    </row>
    <row r="630" spans="1:5" hidden="1" x14ac:dyDescent="0.25">
      <c r="A630" s="1" t="s">
        <v>629</v>
      </c>
      <c r="B630" s="3">
        <f>COUNTIF(PEDIDOS!$A:$A,FORNECEDOR!A630)</f>
        <v>0</v>
      </c>
      <c r="C630" s="3" t="e">
        <f>INDEX(PEDIDOS!$A:$D,MATCH(FORNECEDOR!A630,PEDIDOS!$A:$A,0),2)</f>
        <v>#N/A</v>
      </c>
      <c r="D630" s="3" t="e">
        <f>INDEX(PEDIDOS!$A:$D,MATCH(FORNECEDOR!A630,PEDIDOS!$A:$A,0),3)</f>
        <v>#N/A</v>
      </c>
      <c r="E630" s="3" t="e">
        <f>INDEX(PEDIDOS!$A:$D,MATCH(FORNECEDOR!A630,PEDIDOS!$A:$A,0),4)</f>
        <v>#N/A</v>
      </c>
    </row>
    <row r="631" spans="1:5" hidden="1" x14ac:dyDescent="0.25">
      <c r="A631" s="1" t="s">
        <v>630</v>
      </c>
      <c r="B631" s="3">
        <f>COUNTIF(PEDIDOS!$A:$A,FORNECEDOR!A631)</f>
        <v>0</v>
      </c>
      <c r="C631" s="3" t="e">
        <f>INDEX(PEDIDOS!$A:$D,MATCH(FORNECEDOR!A631,PEDIDOS!$A:$A,0),2)</f>
        <v>#N/A</v>
      </c>
      <c r="D631" s="3" t="e">
        <f>INDEX(PEDIDOS!$A:$D,MATCH(FORNECEDOR!A631,PEDIDOS!$A:$A,0),3)</f>
        <v>#N/A</v>
      </c>
      <c r="E631" s="3" t="e">
        <f>INDEX(PEDIDOS!$A:$D,MATCH(FORNECEDOR!A631,PEDIDOS!$A:$A,0),4)</f>
        <v>#N/A</v>
      </c>
    </row>
    <row r="632" spans="1:5" x14ac:dyDescent="0.25">
      <c r="A632" s="1" t="s">
        <v>631</v>
      </c>
      <c r="B632" s="3">
        <f>COUNTIF(PEDIDOS!$A:$A,FORNECEDOR!A632)</f>
        <v>1</v>
      </c>
      <c r="C632" s="3" t="str">
        <f>INDEX(PEDIDOS!$A:$D,MATCH(FORNECEDOR!A632,PEDIDOS!$A:$A,0),2)</f>
        <v>ANPPLA</v>
      </c>
      <c r="D632" s="3" t="str">
        <f>INDEX(PEDIDOS!$A:$D,MATCH(FORNECEDOR!A632,PEDIDOS!$A:$A,0),3)</f>
        <v>ANPPLA</v>
      </c>
      <c r="E632" s="3" t="str">
        <f>INDEX(PEDIDOS!$A:$D,MATCH(FORNECEDOR!A632,PEDIDOS!$A:$A,0),4)</f>
        <v>ANPPLA</v>
      </c>
    </row>
    <row r="633" spans="1:5" hidden="1" x14ac:dyDescent="0.25">
      <c r="A633" s="1" t="s">
        <v>632</v>
      </c>
      <c r="B633" s="3">
        <f>COUNTIF(PEDIDOS!$A:$A,FORNECEDOR!A633)</f>
        <v>0</v>
      </c>
      <c r="C633" s="3" t="e">
        <f>INDEX(PEDIDOS!$A:$D,MATCH(FORNECEDOR!A633,PEDIDOS!$A:$A,0),2)</f>
        <v>#N/A</v>
      </c>
      <c r="D633" s="3" t="e">
        <f>INDEX(PEDIDOS!$A:$D,MATCH(FORNECEDOR!A633,PEDIDOS!$A:$A,0),3)</f>
        <v>#N/A</v>
      </c>
      <c r="E633" s="3" t="e">
        <f>INDEX(PEDIDOS!$A:$D,MATCH(FORNECEDOR!A633,PEDIDOS!$A:$A,0),4)</f>
        <v>#N/A</v>
      </c>
    </row>
    <row r="634" spans="1:5" x14ac:dyDescent="0.25">
      <c r="A634" s="1" t="s">
        <v>633</v>
      </c>
      <c r="B634" s="3">
        <f>COUNTIF(PEDIDOS!$A:$A,FORNECEDOR!A634)</f>
        <v>1</v>
      </c>
      <c r="C634" s="3" t="str">
        <f>INDEX(PEDIDOS!$A:$D,MATCH(FORNECEDOR!A634,PEDIDOS!$A:$A,0),2)</f>
        <v>CD REGIS</v>
      </c>
      <c r="D634" s="3" t="str">
        <f>INDEX(PEDIDOS!$A:$D,MATCH(FORNECEDOR!A634,PEDIDOS!$A:$A,0),3)</f>
        <v>TATUAPE</v>
      </c>
      <c r="E634" s="3" t="str">
        <f>INDEX(PEDIDOS!$A:$D,MATCH(FORNECEDOR!A634,PEDIDOS!$A:$A,0),4)</f>
        <v>CD REGIS</v>
      </c>
    </row>
    <row r="635" spans="1:5" x14ac:dyDescent="0.25">
      <c r="A635" s="1" t="s">
        <v>634</v>
      </c>
      <c r="B635" s="3">
        <f>COUNTIF(PEDIDOS!$A:$A,FORNECEDOR!A635)</f>
        <v>1</v>
      </c>
      <c r="C635" s="3" t="str">
        <f>INDEX(PEDIDOS!$A:$D,MATCH(FORNECEDOR!A635,PEDIDOS!$A:$A,0),2)</f>
        <v>CD REGIS</v>
      </c>
      <c r="D635" s="3" t="str">
        <f>INDEX(PEDIDOS!$A:$D,MATCH(FORNECEDOR!A635,PEDIDOS!$A:$A,0),3)</f>
        <v>TATUAPE</v>
      </c>
      <c r="E635" s="3" t="str">
        <f>INDEX(PEDIDOS!$A:$D,MATCH(FORNECEDOR!A635,PEDIDOS!$A:$A,0),4)</f>
        <v>CD REGIS</v>
      </c>
    </row>
    <row r="636" spans="1:5" hidden="1" x14ac:dyDescent="0.25">
      <c r="A636" s="1" t="s">
        <v>635</v>
      </c>
      <c r="B636" s="3">
        <f>COUNTIF(PEDIDOS!$A:$A,FORNECEDOR!A636)</f>
        <v>0</v>
      </c>
      <c r="C636" s="3" t="e">
        <f>INDEX(PEDIDOS!$A:$D,MATCH(FORNECEDOR!A636,PEDIDOS!$A:$A,0),2)</f>
        <v>#N/A</v>
      </c>
      <c r="D636" s="3" t="e">
        <f>INDEX(PEDIDOS!$A:$D,MATCH(FORNECEDOR!A636,PEDIDOS!$A:$A,0),3)</f>
        <v>#N/A</v>
      </c>
      <c r="E636" s="3" t="e">
        <f>INDEX(PEDIDOS!$A:$D,MATCH(FORNECEDOR!A636,PEDIDOS!$A:$A,0),4)</f>
        <v>#N/A</v>
      </c>
    </row>
    <row r="637" spans="1:5" hidden="1" x14ac:dyDescent="0.25">
      <c r="A637" s="1" t="s">
        <v>636</v>
      </c>
      <c r="B637" s="3">
        <f>COUNTIF(PEDIDOS!$A:$A,FORNECEDOR!A637)</f>
        <v>0</v>
      </c>
      <c r="C637" s="3" t="e">
        <f>INDEX(PEDIDOS!$A:$D,MATCH(FORNECEDOR!A637,PEDIDOS!$A:$A,0),2)</f>
        <v>#N/A</v>
      </c>
      <c r="D637" s="3" t="e">
        <f>INDEX(PEDIDOS!$A:$D,MATCH(FORNECEDOR!A637,PEDIDOS!$A:$A,0),3)</f>
        <v>#N/A</v>
      </c>
      <c r="E637" s="3" t="e">
        <f>INDEX(PEDIDOS!$A:$D,MATCH(FORNECEDOR!A637,PEDIDOS!$A:$A,0),4)</f>
        <v>#N/A</v>
      </c>
    </row>
    <row r="638" spans="1:5" hidden="1" x14ac:dyDescent="0.25">
      <c r="A638" s="1" t="s">
        <v>637</v>
      </c>
      <c r="B638" s="3">
        <f>COUNTIF(PEDIDOS!$A:$A,FORNECEDOR!A638)</f>
        <v>0</v>
      </c>
      <c r="C638" s="3" t="e">
        <f>INDEX(PEDIDOS!$A:$D,MATCH(FORNECEDOR!A638,PEDIDOS!$A:$A,0),2)</f>
        <v>#N/A</v>
      </c>
      <c r="D638" s="3" t="e">
        <f>INDEX(PEDIDOS!$A:$D,MATCH(FORNECEDOR!A638,PEDIDOS!$A:$A,0),3)</f>
        <v>#N/A</v>
      </c>
      <c r="E638" s="3" t="e">
        <f>INDEX(PEDIDOS!$A:$D,MATCH(FORNECEDOR!A638,PEDIDOS!$A:$A,0),4)</f>
        <v>#N/A</v>
      </c>
    </row>
    <row r="639" spans="1:5" x14ac:dyDescent="0.25">
      <c r="A639" s="1" t="s">
        <v>638</v>
      </c>
      <c r="B639" s="3">
        <f>COUNTIF(PEDIDOS!$A:$A,FORNECEDOR!A639)</f>
        <v>5</v>
      </c>
      <c r="C639" s="3" t="str">
        <f>INDEX(PEDIDOS!$A:$D,MATCH(FORNECEDOR!A639,PEDIDOS!$A:$A,0),2)</f>
        <v>ITAIM</v>
      </c>
      <c r="D639" s="3" t="str">
        <f>INDEX(PEDIDOS!$A:$D,MATCH(FORNECEDOR!A639,PEDIDOS!$A:$A,0),3)</f>
        <v>ITAIM</v>
      </c>
      <c r="E639" s="3" t="str">
        <f>INDEX(PEDIDOS!$A:$D,MATCH(FORNECEDOR!A639,PEDIDOS!$A:$A,0),4)</f>
        <v>ITAIM</v>
      </c>
    </row>
    <row r="640" spans="1:5" hidden="1" x14ac:dyDescent="0.25">
      <c r="A640" s="1" t="s">
        <v>639</v>
      </c>
      <c r="B640" s="3">
        <f>COUNTIF(PEDIDOS!$A:$A,FORNECEDOR!A640)</f>
        <v>0</v>
      </c>
      <c r="C640" s="3" t="e">
        <f>INDEX(PEDIDOS!$A:$D,MATCH(FORNECEDOR!A640,PEDIDOS!$A:$A,0),2)</f>
        <v>#N/A</v>
      </c>
      <c r="D640" s="3" t="e">
        <f>INDEX(PEDIDOS!$A:$D,MATCH(FORNECEDOR!A640,PEDIDOS!$A:$A,0),3)</f>
        <v>#N/A</v>
      </c>
      <c r="E640" s="3" t="e">
        <f>INDEX(PEDIDOS!$A:$D,MATCH(FORNECEDOR!A640,PEDIDOS!$A:$A,0),4)</f>
        <v>#N/A</v>
      </c>
    </row>
    <row r="641" spans="1:5" hidden="1" x14ac:dyDescent="0.25">
      <c r="A641" s="1" t="s">
        <v>640</v>
      </c>
      <c r="B641" s="3">
        <f>COUNTIF(PEDIDOS!$A:$A,FORNECEDOR!A641)</f>
        <v>0</v>
      </c>
      <c r="C641" s="3" t="e">
        <f>INDEX(PEDIDOS!$A:$D,MATCH(FORNECEDOR!A641,PEDIDOS!$A:$A,0),2)</f>
        <v>#N/A</v>
      </c>
      <c r="D641" s="3" t="e">
        <f>INDEX(PEDIDOS!$A:$D,MATCH(FORNECEDOR!A641,PEDIDOS!$A:$A,0),3)</f>
        <v>#N/A</v>
      </c>
      <c r="E641" s="3" t="e">
        <f>INDEX(PEDIDOS!$A:$D,MATCH(FORNECEDOR!A641,PEDIDOS!$A:$A,0),4)</f>
        <v>#N/A</v>
      </c>
    </row>
    <row r="642" spans="1:5" hidden="1" x14ac:dyDescent="0.25">
      <c r="A642" s="1" t="s">
        <v>641</v>
      </c>
      <c r="B642" s="3">
        <f>COUNTIF(PEDIDOS!$A:$A,FORNECEDOR!A642)</f>
        <v>0</v>
      </c>
      <c r="C642" s="3" t="e">
        <f>INDEX(PEDIDOS!$A:$D,MATCH(FORNECEDOR!A642,PEDIDOS!$A:$A,0),2)</f>
        <v>#N/A</v>
      </c>
      <c r="D642" s="3" t="e">
        <f>INDEX(PEDIDOS!$A:$D,MATCH(FORNECEDOR!A642,PEDIDOS!$A:$A,0),3)</f>
        <v>#N/A</v>
      </c>
      <c r="E642" s="3" t="e">
        <f>INDEX(PEDIDOS!$A:$D,MATCH(FORNECEDOR!A642,PEDIDOS!$A:$A,0),4)</f>
        <v>#N/A</v>
      </c>
    </row>
    <row r="643" spans="1:5" x14ac:dyDescent="0.25">
      <c r="A643" s="1" t="s">
        <v>642</v>
      </c>
      <c r="B643" s="3">
        <f>COUNTIF(PEDIDOS!$A:$A,FORNECEDOR!A643)</f>
        <v>1</v>
      </c>
      <c r="C643" s="3" t="str">
        <f>INDEX(PEDIDOS!$A:$D,MATCH(FORNECEDOR!A643,PEDIDOS!$A:$A,0),2)</f>
        <v>CD REGIS</v>
      </c>
      <c r="D643" s="3" t="str">
        <f>INDEX(PEDIDOS!$A:$D,MATCH(FORNECEDOR!A643,PEDIDOS!$A:$A,0),3)</f>
        <v>CD REGIS</v>
      </c>
      <c r="E643" s="3" t="str">
        <f>INDEX(PEDIDOS!$A:$D,MATCH(FORNECEDOR!A643,PEDIDOS!$A:$A,0),4)</f>
        <v>CD REGIS</v>
      </c>
    </row>
    <row r="644" spans="1:5" hidden="1" x14ac:dyDescent="0.25">
      <c r="A644" s="1" t="s">
        <v>643</v>
      </c>
      <c r="B644" s="3">
        <f>COUNTIF(PEDIDOS!$A:$A,FORNECEDOR!A644)</f>
        <v>0</v>
      </c>
      <c r="C644" s="3" t="e">
        <f>INDEX(PEDIDOS!$A:$D,MATCH(FORNECEDOR!A644,PEDIDOS!$A:$A,0),2)</f>
        <v>#N/A</v>
      </c>
      <c r="D644" s="3" t="e">
        <f>INDEX(PEDIDOS!$A:$D,MATCH(FORNECEDOR!A644,PEDIDOS!$A:$A,0),3)</f>
        <v>#N/A</v>
      </c>
      <c r="E644" s="3" t="e">
        <f>INDEX(PEDIDOS!$A:$D,MATCH(FORNECEDOR!A644,PEDIDOS!$A:$A,0),4)</f>
        <v>#N/A</v>
      </c>
    </row>
    <row r="645" spans="1:5" x14ac:dyDescent="0.25">
      <c r="A645" s="1" t="s">
        <v>644</v>
      </c>
      <c r="B645" s="3">
        <f>COUNTIF(PEDIDOS!$A:$A,FORNECEDOR!A645)</f>
        <v>3</v>
      </c>
      <c r="C645" s="3" t="str">
        <f>INDEX(PEDIDOS!$A:$D,MATCH(FORNECEDOR!A645,PEDIDOS!$A:$A,0),2)</f>
        <v>CD REGIS</v>
      </c>
      <c r="D645" s="3" t="str">
        <f>INDEX(PEDIDOS!$A:$D,MATCH(FORNECEDOR!A645,PEDIDOS!$A:$A,0),3)</f>
        <v>CD REGIS</v>
      </c>
      <c r="E645" s="3" t="str">
        <f>INDEX(PEDIDOS!$A:$D,MATCH(FORNECEDOR!A645,PEDIDOS!$A:$A,0),4)</f>
        <v>CD REGIS</v>
      </c>
    </row>
    <row r="646" spans="1:5" hidden="1" x14ac:dyDescent="0.25">
      <c r="A646" s="1" t="s">
        <v>645</v>
      </c>
      <c r="B646" s="3">
        <f>COUNTIF(PEDIDOS!$A:$A,FORNECEDOR!A646)</f>
        <v>0</v>
      </c>
      <c r="C646" s="3" t="e">
        <f>INDEX(PEDIDOS!$A:$D,MATCH(FORNECEDOR!A646,PEDIDOS!$A:$A,0),2)</f>
        <v>#N/A</v>
      </c>
      <c r="D646" s="3" t="e">
        <f>INDEX(PEDIDOS!$A:$D,MATCH(FORNECEDOR!A646,PEDIDOS!$A:$A,0),3)</f>
        <v>#N/A</v>
      </c>
      <c r="E646" s="3" t="e">
        <f>INDEX(PEDIDOS!$A:$D,MATCH(FORNECEDOR!A646,PEDIDOS!$A:$A,0),4)</f>
        <v>#N/A</v>
      </c>
    </row>
    <row r="647" spans="1:5" hidden="1" x14ac:dyDescent="0.25">
      <c r="A647" s="1" t="s">
        <v>646</v>
      </c>
      <c r="B647" s="3">
        <f>COUNTIF(PEDIDOS!$A:$A,FORNECEDOR!A647)</f>
        <v>0</v>
      </c>
      <c r="C647" s="3" t="e">
        <f>INDEX(PEDIDOS!$A:$D,MATCH(FORNECEDOR!A647,PEDIDOS!$A:$A,0),2)</f>
        <v>#N/A</v>
      </c>
      <c r="D647" s="3" t="e">
        <f>INDEX(PEDIDOS!$A:$D,MATCH(FORNECEDOR!A647,PEDIDOS!$A:$A,0),3)</f>
        <v>#N/A</v>
      </c>
      <c r="E647" s="3" t="e">
        <f>INDEX(PEDIDOS!$A:$D,MATCH(FORNECEDOR!A647,PEDIDOS!$A:$A,0),4)</f>
        <v>#N/A</v>
      </c>
    </row>
    <row r="648" spans="1:5" hidden="1" x14ac:dyDescent="0.25">
      <c r="A648" s="1" t="s">
        <v>647</v>
      </c>
      <c r="B648" s="3">
        <f>COUNTIF(PEDIDOS!$A:$A,FORNECEDOR!A648)</f>
        <v>0</v>
      </c>
      <c r="C648" s="3" t="e">
        <f>INDEX(PEDIDOS!$A:$D,MATCH(FORNECEDOR!A648,PEDIDOS!$A:$A,0),2)</f>
        <v>#N/A</v>
      </c>
      <c r="D648" s="3" t="e">
        <f>INDEX(PEDIDOS!$A:$D,MATCH(FORNECEDOR!A648,PEDIDOS!$A:$A,0),3)</f>
        <v>#N/A</v>
      </c>
      <c r="E648" s="3" t="e">
        <f>INDEX(PEDIDOS!$A:$D,MATCH(FORNECEDOR!A648,PEDIDOS!$A:$A,0),4)</f>
        <v>#N/A</v>
      </c>
    </row>
    <row r="649" spans="1:5" x14ac:dyDescent="0.25">
      <c r="A649" s="1" t="s">
        <v>648</v>
      </c>
      <c r="B649" s="3">
        <f>COUNTIF(PEDIDOS!$A:$A,FORNECEDOR!A649)</f>
        <v>1</v>
      </c>
      <c r="C649" s="3" t="str">
        <f>INDEX(PEDIDOS!$A:$D,MATCH(FORNECEDOR!A649,PEDIDOS!$A:$A,0),2)</f>
        <v>MATRIZ</v>
      </c>
      <c r="D649" s="3" t="str">
        <f>INDEX(PEDIDOS!$A:$D,MATCH(FORNECEDOR!A649,PEDIDOS!$A:$A,0),3)</f>
        <v>MATRIZ</v>
      </c>
      <c r="E649" s="3" t="str">
        <f>INDEX(PEDIDOS!$A:$D,MATCH(FORNECEDOR!A649,PEDIDOS!$A:$A,0),4)</f>
        <v>MATRIZ</v>
      </c>
    </row>
    <row r="650" spans="1:5" x14ac:dyDescent="0.25">
      <c r="A650" s="1" t="s">
        <v>649</v>
      </c>
      <c r="B650" s="3">
        <f>COUNTIF(PEDIDOS!$A:$A,FORNECEDOR!A650)</f>
        <v>1</v>
      </c>
      <c r="C650" s="3" t="str">
        <f>INDEX(PEDIDOS!$A:$D,MATCH(FORNECEDOR!A650,PEDIDOS!$A:$A,0),2)</f>
        <v>CD REGIS</v>
      </c>
      <c r="D650" s="3" t="str">
        <f>INDEX(PEDIDOS!$A:$D,MATCH(FORNECEDOR!A650,PEDIDOS!$A:$A,0),3)</f>
        <v>TATUAPE</v>
      </c>
      <c r="E650" s="3" t="str">
        <f>INDEX(PEDIDOS!$A:$D,MATCH(FORNECEDOR!A650,PEDIDOS!$A:$A,0),4)</f>
        <v>CD REGIS</v>
      </c>
    </row>
    <row r="651" spans="1:5" hidden="1" x14ac:dyDescent="0.25">
      <c r="A651" s="1" t="s">
        <v>650</v>
      </c>
      <c r="B651" s="3">
        <f>COUNTIF(PEDIDOS!$A:$A,FORNECEDOR!A651)</f>
        <v>0</v>
      </c>
      <c r="C651" s="3" t="e">
        <f>INDEX(PEDIDOS!$A:$D,MATCH(FORNECEDOR!A651,PEDIDOS!$A:$A,0),2)</f>
        <v>#N/A</v>
      </c>
      <c r="D651" s="3" t="e">
        <f>INDEX(PEDIDOS!$A:$D,MATCH(FORNECEDOR!A651,PEDIDOS!$A:$A,0),3)</f>
        <v>#N/A</v>
      </c>
      <c r="E651" s="3" t="e">
        <f>INDEX(PEDIDOS!$A:$D,MATCH(FORNECEDOR!A651,PEDIDOS!$A:$A,0),4)</f>
        <v>#N/A</v>
      </c>
    </row>
    <row r="652" spans="1:5" hidden="1" x14ac:dyDescent="0.25">
      <c r="A652" s="1" t="s">
        <v>651</v>
      </c>
      <c r="B652" s="3">
        <f>COUNTIF(PEDIDOS!$A:$A,FORNECEDOR!A652)</f>
        <v>0</v>
      </c>
      <c r="C652" s="3" t="e">
        <f>INDEX(PEDIDOS!$A:$D,MATCH(FORNECEDOR!A652,PEDIDOS!$A:$A,0),2)</f>
        <v>#N/A</v>
      </c>
      <c r="D652" s="3" t="e">
        <f>INDEX(PEDIDOS!$A:$D,MATCH(FORNECEDOR!A652,PEDIDOS!$A:$A,0),3)</f>
        <v>#N/A</v>
      </c>
      <c r="E652" s="3" t="e">
        <f>INDEX(PEDIDOS!$A:$D,MATCH(FORNECEDOR!A652,PEDIDOS!$A:$A,0),4)</f>
        <v>#N/A</v>
      </c>
    </row>
    <row r="653" spans="1:5" hidden="1" x14ac:dyDescent="0.25">
      <c r="A653" s="1" t="s">
        <v>652</v>
      </c>
      <c r="B653" s="3">
        <f>COUNTIF(PEDIDOS!$A:$A,FORNECEDOR!A653)</f>
        <v>0</v>
      </c>
      <c r="C653" s="3" t="e">
        <f>INDEX(PEDIDOS!$A:$D,MATCH(FORNECEDOR!A653,PEDIDOS!$A:$A,0),2)</f>
        <v>#N/A</v>
      </c>
      <c r="D653" s="3" t="e">
        <f>INDEX(PEDIDOS!$A:$D,MATCH(FORNECEDOR!A653,PEDIDOS!$A:$A,0),3)</f>
        <v>#N/A</v>
      </c>
      <c r="E653" s="3" t="e">
        <f>INDEX(PEDIDOS!$A:$D,MATCH(FORNECEDOR!A653,PEDIDOS!$A:$A,0),4)</f>
        <v>#N/A</v>
      </c>
    </row>
    <row r="654" spans="1:5" hidden="1" x14ac:dyDescent="0.25">
      <c r="A654" s="1" t="s">
        <v>653</v>
      </c>
      <c r="B654" s="3">
        <f>COUNTIF(PEDIDOS!$A:$A,FORNECEDOR!A654)</f>
        <v>0</v>
      </c>
      <c r="C654" s="3" t="e">
        <f>INDEX(PEDIDOS!$A:$D,MATCH(FORNECEDOR!A654,PEDIDOS!$A:$A,0),2)</f>
        <v>#N/A</v>
      </c>
      <c r="D654" s="3" t="e">
        <f>INDEX(PEDIDOS!$A:$D,MATCH(FORNECEDOR!A654,PEDIDOS!$A:$A,0),3)</f>
        <v>#N/A</v>
      </c>
      <c r="E654" s="3" t="e">
        <f>INDEX(PEDIDOS!$A:$D,MATCH(FORNECEDOR!A654,PEDIDOS!$A:$A,0),4)</f>
        <v>#N/A</v>
      </c>
    </row>
    <row r="655" spans="1:5" x14ac:dyDescent="0.25">
      <c r="A655" s="1" t="s">
        <v>654</v>
      </c>
      <c r="B655" s="3">
        <f>COUNTIF(PEDIDOS!$A:$A,FORNECEDOR!A655)</f>
        <v>1</v>
      </c>
      <c r="C655" s="3" t="str">
        <f>INDEX(PEDIDOS!$A:$D,MATCH(FORNECEDOR!A655,PEDIDOS!$A:$A,0),2)</f>
        <v>MATRIZ</v>
      </c>
      <c r="D655" s="3" t="str">
        <f>INDEX(PEDIDOS!$A:$D,MATCH(FORNECEDOR!A655,PEDIDOS!$A:$A,0),3)</f>
        <v>MATRIZ</v>
      </c>
      <c r="E655" s="3" t="str">
        <f>INDEX(PEDIDOS!$A:$D,MATCH(FORNECEDOR!A655,PEDIDOS!$A:$A,0),4)</f>
        <v>MATRIZ</v>
      </c>
    </row>
    <row r="656" spans="1:5" hidden="1" x14ac:dyDescent="0.25">
      <c r="A656" s="1" t="s">
        <v>655</v>
      </c>
      <c r="B656" s="3">
        <f>COUNTIF(PEDIDOS!$A:$A,FORNECEDOR!A656)</f>
        <v>0</v>
      </c>
      <c r="C656" s="3" t="e">
        <f>INDEX(PEDIDOS!$A:$D,MATCH(FORNECEDOR!A656,PEDIDOS!$A:$A,0),2)</f>
        <v>#N/A</v>
      </c>
      <c r="D656" s="3" t="e">
        <f>INDEX(PEDIDOS!$A:$D,MATCH(FORNECEDOR!A656,PEDIDOS!$A:$A,0),3)</f>
        <v>#N/A</v>
      </c>
      <c r="E656" s="3" t="e">
        <f>INDEX(PEDIDOS!$A:$D,MATCH(FORNECEDOR!A656,PEDIDOS!$A:$A,0),4)</f>
        <v>#N/A</v>
      </c>
    </row>
    <row r="657" spans="1:5" hidden="1" x14ac:dyDescent="0.25">
      <c r="A657" s="1" t="s">
        <v>656</v>
      </c>
      <c r="B657" s="3">
        <f>COUNTIF(PEDIDOS!$A:$A,FORNECEDOR!A657)</f>
        <v>0</v>
      </c>
      <c r="C657" s="3" t="e">
        <f>INDEX(PEDIDOS!$A:$D,MATCH(FORNECEDOR!A657,PEDIDOS!$A:$A,0),2)</f>
        <v>#N/A</v>
      </c>
      <c r="D657" s="3" t="e">
        <f>INDEX(PEDIDOS!$A:$D,MATCH(FORNECEDOR!A657,PEDIDOS!$A:$A,0),3)</f>
        <v>#N/A</v>
      </c>
      <c r="E657" s="3" t="e">
        <f>INDEX(PEDIDOS!$A:$D,MATCH(FORNECEDOR!A657,PEDIDOS!$A:$A,0),4)</f>
        <v>#N/A</v>
      </c>
    </row>
    <row r="658" spans="1:5" hidden="1" x14ac:dyDescent="0.25">
      <c r="A658" s="1" t="s">
        <v>657</v>
      </c>
      <c r="B658" s="3">
        <f>COUNTIF(PEDIDOS!$A:$A,FORNECEDOR!A658)</f>
        <v>0</v>
      </c>
      <c r="C658" s="3" t="e">
        <f>INDEX(PEDIDOS!$A:$D,MATCH(FORNECEDOR!A658,PEDIDOS!$A:$A,0),2)</f>
        <v>#N/A</v>
      </c>
      <c r="D658" s="3" t="e">
        <f>INDEX(PEDIDOS!$A:$D,MATCH(FORNECEDOR!A658,PEDIDOS!$A:$A,0),3)</f>
        <v>#N/A</v>
      </c>
      <c r="E658" s="3" t="e">
        <f>INDEX(PEDIDOS!$A:$D,MATCH(FORNECEDOR!A658,PEDIDOS!$A:$A,0),4)</f>
        <v>#N/A</v>
      </c>
    </row>
    <row r="659" spans="1:5" x14ac:dyDescent="0.25">
      <c r="A659" s="1" t="s">
        <v>658</v>
      </c>
      <c r="B659" s="3">
        <f>COUNTIF(PEDIDOS!$A:$A,FORNECEDOR!A659)</f>
        <v>2</v>
      </c>
      <c r="C659" s="3" t="str">
        <f>INDEX(PEDIDOS!$A:$D,MATCH(FORNECEDOR!A659,PEDIDOS!$A:$A,0),2)</f>
        <v>CD REGIS</v>
      </c>
      <c r="D659" s="3" t="str">
        <f>INDEX(PEDIDOS!$A:$D,MATCH(FORNECEDOR!A659,PEDIDOS!$A:$A,0),3)</f>
        <v>MATRIZ</v>
      </c>
      <c r="E659" s="3" t="str">
        <f>INDEX(PEDIDOS!$A:$D,MATCH(FORNECEDOR!A659,PEDIDOS!$A:$A,0),4)</f>
        <v>CD REGIS</v>
      </c>
    </row>
    <row r="660" spans="1:5" hidden="1" x14ac:dyDescent="0.25">
      <c r="A660" s="1" t="s">
        <v>659</v>
      </c>
      <c r="B660" s="3">
        <f>COUNTIF(PEDIDOS!$A:$A,FORNECEDOR!A660)</f>
        <v>0</v>
      </c>
      <c r="C660" s="3" t="e">
        <f>INDEX(PEDIDOS!$A:$D,MATCH(FORNECEDOR!A660,PEDIDOS!$A:$A,0),2)</f>
        <v>#N/A</v>
      </c>
      <c r="D660" s="3" t="e">
        <f>INDEX(PEDIDOS!$A:$D,MATCH(FORNECEDOR!A660,PEDIDOS!$A:$A,0),3)</f>
        <v>#N/A</v>
      </c>
      <c r="E660" s="3" t="e">
        <f>INDEX(PEDIDOS!$A:$D,MATCH(FORNECEDOR!A660,PEDIDOS!$A:$A,0),4)</f>
        <v>#N/A</v>
      </c>
    </row>
    <row r="661" spans="1:5" x14ac:dyDescent="0.25">
      <c r="A661" s="1" t="s">
        <v>660</v>
      </c>
      <c r="B661" s="3">
        <f>COUNTIF(PEDIDOS!$A:$A,FORNECEDOR!A661)</f>
        <v>1</v>
      </c>
      <c r="C661" s="3" t="str">
        <f>INDEX(PEDIDOS!$A:$D,MATCH(FORNECEDOR!A661,PEDIDOS!$A:$A,0),2)</f>
        <v>CD REGIS</v>
      </c>
      <c r="D661" s="3" t="str">
        <f>INDEX(PEDIDOS!$A:$D,MATCH(FORNECEDOR!A661,PEDIDOS!$A:$A,0),3)</f>
        <v>MATRIZ</v>
      </c>
      <c r="E661" s="3" t="str">
        <f>INDEX(PEDIDOS!$A:$D,MATCH(FORNECEDOR!A661,PEDIDOS!$A:$A,0),4)</f>
        <v>CD REGIS</v>
      </c>
    </row>
    <row r="662" spans="1:5" x14ac:dyDescent="0.25">
      <c r="A662" s="1" t="s">
        <v>661</v>
      </c>
      <c r="B662" s="3">
        <f>COUNTIF(PEDIDOS!$A:$A,FORNECEDOR!A662)</f>
        <v>1</v>
      </c>
      <c r="C662" s="3" t="str">
        <f>INDEX(PEDIDOS!$A:$D,MATCH(FORNECEDOR!A662,PEDIDOS!$A:$A,0),2)</f>
        <v>CD REGIS</v>
      </c>
      <c r="D662" s="3" t="str">
        <f>INDEX(PEDIDOS!$A:$D,MATCH(FORNECEDOR!A662,PEDIDOS!$A:$A,0),3)</f>
        <v>CD REGIS</v>
      </c>
      <c r="E662" s="3" t="str">
        <f>INDEX(PEDIDOS!$A:$D,MATCH(FORNECEDOR!A662,PEDIDOS!$A:$A,0),4)</f>
        <v>CD REGIS</v>
      </c>
    </row>
    <row r="663" spans="1:5" hidden="1" x14ac:dyDescent="0.25">
      <c r="A663" s="1" t="s">
        <v>662</v>
      </c>
      <c r="B663" s="3">
        <f>COUNTIF(PEDIDOS!$A:$A,FORNECEDOR!A663)</f>
        <v>0</v>
      </c>
      <c r="C663" s="3" t="e">
        <f>INDEX(PEDIDOS!$A:$D,MATCH(FORNECEDOR!A663,PEDIDOS!$A:$A,0),2)</f>
        <v>#N/A</v>
      </c>
      <c r="D663" s="3" t="e">
        <f>INDEX(PEDIDOS!$A:$D,MATCH(FORNECEDOR!A663,PEDIDOS!$A:$A,0),3)</f>
        <v>#N/A</v>
      </c>
      <c r="E663" s="3" t="e">
        <f>INDEX(PEDIDOS!$A:$D,MATCH(FORNECEDOR!A663,PEDIDOS!$A:$A,0),4)</f>
        <v>#N/A</v>
      </c>
    </row>
    <row r="664" spans="1:5" hidden="1" x14ac:dyDescent="0.25">
      <c r="A664" s="1" t="s">
        <v>663</v>
      </c>
      <c r="B664" s="3">
        <f>COUNTIF(PEDIDOS!$A:$A,FORNECEDOR!A664)</f>
        <v>0</v>
      </c>
      <c r="C664" s="3" t="e">
        <f>INDEX(PEDIDOS!$A:$D,MATCH(FORNECEDOR!A664,PEDIDOS!$A:$A,0),2)</f>
        <v>#N/A</v>
      </c>
      <c r="D664" s="3" t="e">
        <f>INDEX(PEDIDOS!$A:$D,MATCH(FORNECEDOR!A664,PEDIDOS!$A:$A,0),3)</f>
        <v>#N/A</v>
      </c>
      <c r="E664" s="3" t="e">
        <f>INDEX(PEDIDOS!$A:$D,MATCH(FORNECEDOR!A664,PEDIDOS!$A:$A,0),4)</f>
        <v>#N/A</v>
      </c>
    </row>
    <row r="665" spans="1:5" hidden="1" x14ac:dyDescent="0.25">
      <c r="A665" s="1" t="s">
        <v>664</v>
      </c>
      <c r="B665" s="3">
        <f>COUNTIF(PEDIDOS!$A:$A,FORNECEDOR!A665)</f>
        <v>0</v>
      </c>
      <c r="C665" s="3" t="e">
        <f>INDEX(PEDIDOS!$A:$D,MATCH(FORNECEDOR!A665,PEDIDOS!$A:$A,0),2)</f>
        <v>#N/A</v>
      </c>
      <c r="D665" s="3" t="e">
        <f>INDEX(PEDIDOS!$A:$D,MATCH(FORNECEDOR!A665,PEDIDOS!$A:$A,0),3)</f>
        <v>#N/A</v>
      </c>
      <c r="E665" s="3" t="e">
        <f>INDEX(PEDIDOS!$A:$D,MATCH(FORNECEDOR!A665,PEDIDOS!$A:$A,0),4)</f>
        <v>#N/A</v>
      </c>
    </row>
    <row r="666" spans="1:5" hidden="1" x14ac:dyDescent="0.25">
      <c r="A666" s="1" t="s">
        <v>665</v>
      </c>
      <c r="B666" s="3">
        <f>COUNTIF(PEDIDOS!$A:$A,FORNECEDOR!A666)</f>
        <v>0</v>
      </c>
      <c r="C666" s="3" t="e">
        <f>INDEX(PEDIDOS!$A:$D,MATCH(FORNECEDOR!A666,PEDIDOS!$A:$A,0),2)</f>
        <v>#N/A</v>
      </c>
      <c r="D666" s="3" t="e">
        <f>INDEX(PEDIDOS!$A:$D,MATCH(FORNECEDOR!A666,PEDIDOS!$A:$A,0),3)</f>
        <v>#N/A</v>
      </c>
      <c r="E666" s="3" t="e">
        <f>INDEX(PEDIDOS!$A:$D,MATCH(FORNECEDOR!A666,PEDIDOS!$A:$A,0),4)</f>
        <v>#N/A</v>
      </c>
    </row>
    <row r="667" spans="1:5" hidden="1" x14ac:dyDescent="0.25">
      <c r="A667" s="1" t="s">
        <v>666</v>
      </c>
      <c r="B667" s="3">
        <f>COUNTIF(PEDIDOS!$A:$A,FORNECEDOR!A667)</f>
        <v>0</v>
      </c>
      <c r="C667" s="3" t="e">
        <f>INDEX(PEDIDOS!$A:$D,MATCH(FORNECEDOR!A667,PEDIDOS!$A:$A,0),2)</f>
        <v>#N/A</v>
      </c>
      <c r="D667" s="3" t="e">
        <f>INDEX(PEDIDOS!$A:$D,MATCH(FORNECEDOR!A667,PEDIDOS!$A:$A,0),3)</f>
        <v>#N/A</v>
      </c>
      <c r="E667" s="3" t="e">
        <f>INDEX(PEDIDOS!$A:$D,MATCH(FORNECEDOR!A667,PEDIDOS!$A:$A,0),4)</f>
        <v>#N/A</v>
      </c>
    </row>
    <row r="668" spans="1:5" hidden="1" x14ac:dyDescent="0.25">
      <c r="A668" s="1" t="s">
        <v>667</v>
      </c>
      <c r="B668" s="3">
        <f>COUNTIF(PEDIDOS!$A:$A,FORNECEDOR!A668)</f>
        <v>0</v>
      </c>
      <c r="C668" s="3" t="e">
        <f>INDEX(PEDIDOS!$A:$D,MATCH(FORNECEDOR!A668,PEDIDOS!$A:$A,0),2)</f>
        <v>#N/A</v>
      </c>
      <c r="D668" s="3" t="e">
        <f>INDEX(PEDIDOS!$A:$D,MATCH(FORNECEDOR!A668,PEDIDOS!$A:$A,0),3)</f>
        <v>#N/A</v>
      </c>
      <c r="E668" s="3" t="e">
        <f>INDEX(PEDIDOS!$A:$D,MATCH(FORNECEDOR!A668,PEDIDOS!$A:$A,0),4)</f>
        <v>#N/A</v>
      </c>
    </row>
    <row r="669" spans="1:5" x14ac:dyDescent="0.25">
      <c r="A669" s="1" t="s">
        <v>668</v>
      </c>
      <c r="B669" s="3">
        <f>COUNTIF(PEDIDOS!$A:$A,FORNECEDOR!A669)</f>
        <v>2</v>
      </c>
      <c r="C669" s="3" t="str">
        <f>INDEX(PEDIDOS!$A:$D,MATCH(FORNECEDOR!A669,PEDIDOS!$A:$A,0),2)</f>
        <v>CD ARAQUARI</v>
      </c>
      <c r="D669" s="3" t="str">
        <f>INDEX(PEDIDOS!$A:$D,MATCH(FORNECEDOR!A669,PEDIDOS!$A:$A,0),3)</f>
        <v>MATRIZ</v>
      </c>
      <c r="E669" s="3" t="str">
        <f>INDEX(PEDIDOS!$A:$D,MATCH(FORNECEDOR!A669,PEDIDOS!$A:$A,0),4)</f>
        <v>CD ARAQUARI</v>
      </c>
    </row>
    <row r="670" spans="1:5" hidden="1" x14ac:dyDescent="0.25">
      <c r="A670" s="1" t="s">
        <v>669</v>
      </c>
      <c r="B670" s="3">
        <f>COUNTIF(PEDIDOS!$A:$A,FORNECEDOR!A670)</f>
        <v>0</v>
      </c>
      <c r="C670" s="3" t="e">
        <f>INDEX(PEDIDOS!$A:$D,MATCH(FORNECEDOR!A670,PEDIDOS!$A:$A,0),2)</f>
        <v>#N/A</v>
      </c>
      <c r="D670" s="3" t="e">
        <f>INDEX(PEDIDOS!$A:$D,MATCH(FORNECEDOR!A670,PEDIDOS!$A:$A,0),3)</f>
        <v>#N/A</v>
      </c>
      <c r="E670" s="3" t="e">
        <f>INDEX(PEDIDOS!$A:$D,MATCH(FORNECEDOR!A670,PEDIDOS!$A:$A,0),4)</f>
        <v>#N/A</v>
      </c>
    </row>
    <row r="671" spans="1:5" hidden="1" x14ac:dyDescent="0.25">
      <c r="A671" s="1" t="s">
        <v>670</v>
      </c>
      <c r="B671" s="3">
        <f>COUNTIF(PEDIDOS!$A:$A,FORNECEDOR!A671)</f>
        <v>0</v>
      </c>
      <c r="C671" s="3" t="e">
        <f>INDEX(PEDIDOS!$A:$D,MATCH(FORNECEDOR!A671,PEDIDOS!$A:$A,0),2)</f>
        <v>#N/A</v>
      </c>
      <c r="D671" s="3" t="e">
        <f>INDEX(PEDIDOS!$A:$D,MATCH(FORNECEDOR!A671,PEDIDOS!$A:$A,0),3)</f>
        <v>#N/A</v>
      </c>
      <c r="E671" s="3" t="e">
        <f>INDEX(PEDIDOS!$A:$D,MATCH(FORNECEDOR!A671,PEDIDOS!$A:$A,0),4)</f>
        <v>#N/A</v>
      </c>
    </row>
    <row r="672" spans="1:5" hidden="1" x14ac:dyDescent="0.25">
      <c r="A672" s="1" t="s">
        <v>671</v>
      </c>
      <c r="B672" s="3">
        <f>COUNTIF(PEDIDOS!$A:$A,FORNECEDOR!A672)</f>
        <v>0</v>
      </c>
      <c r="C672" s="3" t="e">
        <f>INDEX(PEDIDOS!$A:$D,MATCH(FORNECEDOR!A672,PEDIDOS!$A:$A,0),2)</f>
        <v>#N/A</v>
      </c>
      <c r="D672" s="3" t="e">
        <f>INDEX(PEDIDOS!$A:$D,MATCH(FORNECEDOR!A672,PEDIDOS!$A:$A,0),3)</f>
        <v>#N/A</v>
      </c>
      <c r="E672" s="3" t="e">
        <f>INDEX(PEDIDOS!$A:$D,MATCH(FORNECEDOR!A672,PEDIDOS!$A:$A,0),4)</f>
        <v>#N/A</v>
      </c>
    </row>
    <row r="673" spans="1:5" hidden="1" x14ac:dyDescent="0.25">
      <c r="A673" s="1" t="s">
        <v>672</v>
      </c>
      <c r="B673" s="3">
        <f>COUNTIF(PEDIDOS!$A:$A,FORNECEDOR!A673)</f>
        <v>0</v>
      </c>
      <c r="C673" s="3" t="e">
        <f>INDEX(PEDIDOS!$A:$D,MATCH(FORNECEDOR!A673,PEDIDOS!$A:$A,0),2)</f>
        <v>#N/A</v>
      </c>
      <c r="D673" s="3" t="e">
        <f>INDEX(PEDIDOS!$A:$D,MATCH(FORNECEDOR!A673,PEDIDOS!$A:$A,0),3)</f>
        <v>#N/A</v>
      </c>
      <c r="E673" s="3" t="e">
        <f>INDEX(PEDIDOS!$A:$D,MATCH(FORNECEDOR!A673,PEDIDOS!$A:$A,0),4)</f>
        <v>#N/A</v>
      </c>
    </row>
    <row r="674" spans="1:5" hidden="1" x14ac:dyDescent="0.25">
      <c r="A674" s="1" t="s">
        <v>673</v>
      </c>
      <c r="B674" s="3">
        <f>COUNTIF(PEDIDOS!$A:$A,FORNECEDOR!A674)</f>
        <v>0</v>
      </c>
      <c r="C674" s="3" t="e">
        <f>INDEX(PEDIDOS!$A:$D,MATCH(FORNECEDOR!A674,PEDIDOS!$A:$A,0),2)</f>
        <v>#N/A</v>
      </c>
      <c r="D674" s="3" t="e">
        <f>INDEX(PEDIDOS!$A:$D,MATCH(FORNECEDOR!A674,PEDIDOS!$A:$A,0),3)</f>
        <v>#N/A</v>
      </c>
      <c r="E674" s="3" t="e">
        <f>INDEX(PEDIDOS!$A:$D,MATCH(FORNECEDOR!A674,PEDIDOS!$A:$A,0),4)</f>
        <v>#N/A</v>
      </c>
    </row>
    <row r="675" spans="1:5" hidden="1" x14ac:dyDescent="0.25">
      <c r="A675" s="1" t="s">
        <v>674</v>
      </c>
      <c r="B675" s="3">
        <f>COUNTIF(PEDIDOS!$A:$A,FORNECEDOR!A675)</f>
        <v>0</v>
      </c>
      <c r="C675" s="3" t="e">
        <f>INDEX(PEDIDOS!$A:$D,MATCH(FORNECEDOR!A675,PEDIDOS!$A:$A,0),2)</f>
        <v>#N/A</v>
      </c>
      <c r="D675" s="3" t="e">
        <f>INDEX(PEDIDOS!$A:$D,MATCH(FORNECEDOR!A675,PEDIDOS!$A:$A,0),3)</f>
        <v>#N/A</v>
      </c>
      <c r="E675" s="3" t="e">
        <f>INDEX(PEDIDOS!$A:$D,MATCH(FORNECEDOR!A675,PEDIDOS!$A:$A,0),4)</f>
        <v>#N/A</v>
      </c>
    </row>
    <row r="676" spans="1:5" x14ac:dyDescent="0.25">
      <c r="A676" s="1" t="s">
        <v>675</v>
      </c>
      <c r="B676" s="3">
        <f>COUNTIF(PEDIDOS!$A:$A,FORNECEDOR!A676)</f>
        <v>1</v>
      </c>
      <c r="C676" s="3" t="str">
        <f>INDEX(PEDIDOS!$A:$D,MATCH(FORNECEDOR!A676,PEDIDOS!$A:$A,0),2)</f>
        <v>MATRIZ</v>
      </c>
      <c r="D676" s="3" t="str">
        <f>INDEX(PEDIDOS!$A:$D,MATCH(FORNECEDOR!A676,PEDIDOS!$A:$A,0),3)</f>
        <v>MATRIZ</v>
      </c>
      <c r="E676" s="3" t="str">
        <f>INDEX(PEDIDOS!$A:$D,MATCH(FORNECEDOR!A676,PEDIDOS!$A:$A,0),4)</f>
        <v>MATRIZ</v>
      </c>
    </row>
    <row r="677" spans="1:5" x14ac:dyDescent="0.25">
      <c r="A677" s="1" t="s">
        <v>676</v>
      </c>
      <c r="B677" s="3">
        <f>COUNTIF(PEDIDOS!$A:$A,FORNECEDOR!A677)</f>
        <v>6</v>
      </c>
      <c r="C677" s="3" t="str">
        <f>INDEX(PEDIDOS!$A:$D,MATCH(FORNECEDOR!A677,PEDIDOS!$A:$A,0),2)</f>
        <v>CD ARAQUARI</v>
      </c>
      <c r="D677" s="3" t="str">
        <f>INDEX(PEDIDOS!$A:$D,MATCH(FORNECEDOR!A677,PEDIDOS!$A:$A,0),3)</f>
        <v>MATRIZ</v>
      </c>
      <c r="E677" s="3" t="str">
        <f>INDEX(PEDIDOS!$A:$D,MATCH(FORNECEDOR!A677,PEDIDOS!$A:$A,0),4)</f>
        <v>CD ARAQUARI</v>
      </c>
    </row>
    <row r="678" spans="1:5" hidden="1" x14ac:dyDescent="0.25">
      <c r="A678" s="1" t="s">
        <v>677</v>
      </c>
      <c r="B678" s="3">
        <f>COUNTIF(PEDIDOS!$A:$A,FORNECEDOR!A678)</f>
        <v>0</v>
      </c>
      <c r="C678" s="3" t="e">
        <f>INDEX(PEDIDOS!$A:$D,MATCH(FORNECEDOR!A678,PEDIDOS!$A:$A,0),2)</f>
        <v>#N/A</v>
      </c>
      <c r="D678" s="3" t="e">
        <f>INDEX(PEDIDOS!$A:$D,MATCH(FORNECEDOR!A678,PEDIDOS!$A:$A,0),3)</f>
        <v>#N/A</v>
      </c>
      <c r="E678" s="3" t="e">
        <f>INDEX(PEDIDOS!$A:$D,MATCH(FORNECEDOR!A678,PEDIDOS!$A:$A,0),4)</f>
        <v>#N/A</v>
      </c>
    </row>
    <row r="679" spans="1:5" x14ac:dyDescent="0.25">
      <c r="A679" s="1" t="s">
        <v>678</v>
      </c>
      <c r="B679" s="3">
        <f>COUNTIF(PEDIDOS!$A:$A,FORNECEDOR!A679)</f>
        <v>2</v>
      </c>
      <c r="C679" s="3" t="str">
        <f>INDEX(PEDIDOS!$A:$D,MATCH(FORNECEDOR!A679,PEDIDOS!$A:$A,0),2)</f>
        <v>CD REGIS</v>
      </c>
      <c r="D679" s="3" t="str">
        <f>INDEX(PEDIDOS!$A:$D,MATCH(FORNECEDOR!A679,PEDIDOS!$A:$A,0),3)</f>
        <v>MATRIZ</v>
      </c>
      <c r="E679" s="3" t="str">
        <f>INDEX(PEDIDOS!$A:$D,MATCH(FORNECEDOR!A679,PEDIDOS!$A:$A,0),4)</f>
        <v>CD REGIS</v>
      </c>
    </row>
    <row r="680" spans="1:5" hidden="1" x14ac:dyDescent="0.25">
      <c r="A680" s="1" t="s">
        <v>679</v>
      </c>
      <c r="B680" s="3">
        <f>COUNTIF(PEDIDOS!$A:$A,FORNECEDOR!A680)</f>
        <v>0</v>
      </c>
      <c r="C680" s="3" t="e">
        <f>INDEX(PEDIDOS!$A:$D,MATCH(FORNECEDOR!A680,PEDIDOS!$A:$A,0),2)</f>
        <v>#N/A</v>
      </c>
      <c r="D680" s="3" t="e">
        <f>INDEX(PEDIDOS!$A:$D,MATCH(FORNECEDOR!A680,PEDIDOS!$A:$A,0),3)</f>
        <v>#N/A</v>
      </c>
      <c r="E680" s="3" t="e">
        <f>INDEX(PEDIDOS!$A:$D,MATCH(FORNECEDOR!A680,PEDIDOS!$A:$A,0),4)</f>
        <v>#N/A</v>
      </c>
    </row>
    <row r="681" spans="1:5" x14ac:dyDescent="0.25">
      <c r="A681" s="1" t="s">
        <v>680</v>
      </c>
      <c r="B681" s="3">
        <f>COUNTIF(PEDIDOS!$A:$A,FORNECEDOR!A681)</f>
        <v>1</v>
      </c>
      <c r="C681" s="3" t="str">
        <f>INDEX(PEDIDOS!$A:$D,MATCH(FORNECEDOR!A681,PEDIDOS!$A:$A,0),2)</f>
        <v>MATRIZ</v>
      </c>
      <c r="D681" s="3" t="str">
        <f>INDEX(PEDIDOS!$A:$D,MATCH(FORNECEDOR!A681,PEDIDOS!$A:$A,0),3)</f>
        <v>MATRIZ</v>
      </c>
      <c r="E681" s="3" t="str">
        <f>INDEX(PEDIDOS!$A:$D,MATCH(FORNECEDOR!A681,PEDIDOS!$A:$A,0),4)</f>
        <v>MATRIZ</v>
      </c>
    </row>
    <row r="682" spans="1:5" hidden="1" x14ac:dyDescent="0.25">
      <c r="A682" s="1" t="s">
        <v>681</v>
      </c>
      <c r="B682" s="3">
        <f>COUNTIF(PEDIDOS!$A:$A,FORNECEDOR!A682)</f>
        <v>0</v>
      </c>
      <c r="C682" s="3" t="e">
        <f>INDEX(PEDIDOS!$A:$D,MATCH(FORNECEDOR!A682,PEDIDOS!$A:$A,0),2)</f>
        <v>#N/A</v>
      </c>
      <c r="D682" s="3" t="e">
        <f>INDEX(PEDIDOS!$A:$D,MATCH(FORNECEDOR!A682,PEDIDOS!$A:$A,0),3)</f>
        <v>#N/A</v>
      </c>
      <c r="E682" s="3" t="e">
        <f>INDEX(PEDIDOS!$A:$D,MATCH(FORNECEDOR!A682,PEDIDOS!$A:$A,0),4)</f>
        <v>#N/A</v>
      </c>
    </row>
    <row r="683" spans="1:5" hidden="1" x14ac:dyDescent="0.25">
      <c r="A683" s="1" t="s">
        <v>682</v>
      </c>
      <c r="B683" s="3">
        <f>COUNTIF(PEDIDOS!$A:$A,FORNECEDOR!A683)</f>
        <v>0</v>
      </c>
      <c r="C683" s="3" t="e">
        <f>INDEX(PEDIDOS!$A:$D,MATCH(FORNECEDOR!A683,PEDIDOS!$A:$A,0),2)</f>
        <v>#N/A</v>
      </c>
      <c r="D683" s="3" t="e">
        <f>INDEX(PEDIDOS!$A:$D,MATCH(FORNECEDOR!A683,PEDIDOS!$A:$A,0),3)</f>
        <v>#N/A</v>
      </c>
      <c r="E683" s="3" t="e">
        <f>INDEX(PEDIDOS!$A:$D,MATCH(FORNECEDOR!A683,PEDIDOS!$A:$A,0),4)</f>
        <v>#N/A</v>
      </c>
    </row>
    <row r="684" spans="1:5" hidden="1" x14ac:dyDescent="0.25">
      <c r="A684" s="1" t="s">
        <v>683</v>
      </c>
      <c r="B684" s="3">
        <f>COUNTIF(PEDIDOS!$A:$A,FORNECEDOR!A684)</f>
        <v>0</v>
      </c>
      <c r="C684" s="3" t="e">
        <f>INDEX(PEDIDOS!$A:$D,MATCH(FORNECEDOR!A684,PEDIDOS!$A:$A,0),2)</f>
        <v>#N/A</v>
      </c>
      <c r="D684" s="3" t="e">
        <f>INDEX(PEDIDOS!$A:$D,MATCH(FORNECEDOR!A684,PEDIDOS!$A:$A,0),3)</f>
        <v>#N/A</v>
      </c>
      <c r="E684" s="3" t="e">
        <f>INDEX(PEDIDOS!$A:$D,MATCH(FORNECEDOR!A684,PEDIDOS!$A:$A,0),4)</f>
        <v>#N/A</v>
      </c>
    </row>
    <row r="685" spans="1:5" hidden="1" x14ac:dyDescent="0.25">
      <c r="A685" s="1" t="s">
        <v>684</v>
      </c>
      <c r="B685" s="3">
        <f>COUNTIF(PEDIDOS!$A:$A,FORNECEDOR!A685)</f>
        <v>0</v>
      </c>
      <c r="C685" s="3" t="e">
        <f>INDEX(PEDIDOS!$A:$D,MATCH(FORNECEDOR!A685,PEDIDOS!$A:$A,0),2)</f>
        <v>#N/A</v>
      </c>
      <c r="D685" s="3" t="e">
        <f>INDEX(PEDIDOS!$A:$D,MATCH(FORNECEDOR!A685,PEDIDOS!$A:$A,0),3)</f>
        <v>#N/A</v>
      </c>
      <c r="E685" s="3" t="e">
        <f>INDEX(PEDIDOS!$A:$D,MATCH(FORNECEDOR!A685,PEDIDOS!$A:$A,0),4)</f>
        <v>#N/A</v>
      </c>
    </row>
    <row r="686" spans="1:5" hidden="1" x14ac:dyDescent="0.25">
      <c r="A686" s="1" t="s">
        <v>685</v>
      </c>
      <c r="B686" s="3">
        <f>COUNTIF(PEDIDOS!$A:$A,FORNECEDOR!A686)</f>
        <v>0</v>
      </c>
      <c r="C686" s="3" t="e">
        <f>INDEX(PEDIDOS!$A:$D,MATCH(FORNECEDOR!A686,PEDIDOS!$A:$A,0),2)</f>
        <v>#N/A</v>
      </c>
      <c r="D686" s="3" t="e">
        <f>INDEX(PEDIDOS!$A:$D,MATCH(FORNECEDOR!A686,PEDIDOS!$A:$A,0),3)</f>
        <v>#N/A</v>
      </c>
      <c r="E686" s="3" t="e">
        <f>INDEX(PEDIDOS!$A:$D,MATCH(FORNECEDOR!A686,PEDIDOS!$A:$A,0),4)</f>
        <v>#N/A</v>
      </c>
    </row>
    <row r="687" spans="1:5" hidden="1" x14ac:dyDescent="0.25">
      <c r="A687" s="1" t="s">
        <v>686</v>
      </c>
      <c r="B687" s="3">
        <f>COUNTIF(PEDIDOS!$A:$A,FORNECEDOR!A687)</f>
        <v>0</v>
      </c>
      <c r="C687" s="3" t="e">
        <f>INDEX(PEDIDOS!$A:$D,MATCH(FORNECEDOR!A687,PEDIDOS!$A:$A,0),2)</f>
        <v>#N/A</v>
      </c>
      <c r="D687" s="3" t="e">
        <f>INDEX(PEDIDOS!$A:$D,MATCH(FORNECEDOR!A687,PEDIDOS!$A:$A,0),3)</f>
        <v>#N/A</v>
      </c>
      <c r="E687" s="3" t="e">
        <f>INDEX(PEDIDOS!$A:$D,MATCH(FORNECEDOR!A687,PEDIDOS!$A:$A,0),4)</f>
        <v>#N/A</v>
      </c>
    </row>
    <row r="688" spans="1:5" hidden="1" x14ac:dyDescent="0.25">
      <c r="A688" s="1" t="s">
        <v>687</v>
      </c>
      <c r="B688" s="3">
        <f>COUNTIF(PEDIDOS!$A:$A,FORNECEDOR!A688)</f>
        <v>0</v>
      </c>
      <c r="C688" s="3" t="e">
        <f>INDEX(PEDIDOS!$A:$D,MATCH(FORNECEDOR!A688,PEDIDOS!$A:$A,0),2)</f>
        <v>#N/A</v>
      </c>
      <c r="D688" s="3" t="e">
        <f>INDEX(PEDIDOS!$A:$D,MATCH(FORNECEDOR!A688,PEDIDOS!$A:$A,0),3)</f>
        <v>#N/A</v>
      </c>
      <c r="E688" s="3" t="e">
        <f>INDEX(PEDIDOS!$A:$D,MATCH(FORNECEDOR!A688,PEDIDOS!$A:$A,0),4)</f>
        <v>#N/A</v>
      </c>
    </row>
    <row r="689" spans="1:5" hidden="1" x14ac:dyDescent="0.25">
      <c r="A689" s="1" t="s">
        <v>688</v>
      </c>
      <c r="B689" s="3">
        <f>COUNTIF(PEDIDOS!$A:$A,FORNECEDOR!A689)</f>
        <v>0</v>
      </c>
      <c r="C689" s="3" t="e">
        <f>INDEX(PEDIDOS!$A:$D,MATCH(FORNECEDOR!A689,PEDIDOS!$A:$A,0),2)</f>
        <v>#N/A</v>
      </c>
      <c r="D689" s="3" t="e">
        <f>INDEX(PEDIDOS!$A:$D,MATCH(FORNECEDOR!A689,PEDIDOS!$A:$A,0),3)</f>
        <v>#N/A</v>
      </c>
      <c r="E689" s="3" t="e">
        <f>INDEX(PEDIDOS!$A:$D,MATCH(FORNECEDOR!A689,PEDIDOS!$A:$A,0),4)</f>
        <v>#N/A</v>
      </c>
    </row>
    <row r="690" spans="1:5" hidden="1" x14ac:dyDescent="0.25">
      <c r="A690" s="1" t="s">
        <v>689</v>
      </c>
      <c r="B690" s="3">
        <f>COUNTIF(PEDIDOS!$A:$A,FORNECEDOR!A690)</f>
        <v>0</v>
      </c>
      <c r="C690" s="3" t="e">
        <f>INDEX(PEDIDOS!$A:$D,MATCH(FORNECEDOR!A690,PEDIDOS!$A:$A,0),2)</f>
        <v>#N/A</v>
      </c>
      <c r="D690" s="3" t="e">
        <f>INDEX(PEDIDOS!$A:$D,MATCH(FORNECEDOR!A690,PEDIDOS!$A:$A,0),3)</f>
        <v>#N/A</v>
      </c>
      <c r="E690" s="3" t="e">
        <f>INDEX(PEDIDOS!$A:$D,MATCH(FORNECEDOR!A690,PEDIDOS!$A:$A,0),4)</f>
        <v>#N/A</v>
      </c>
    </row>
    <row r="691" spans="1:5" x14ac:dyDescent="0.25">
      <c r="A691" s="1" t="s">
        <v>690</v>
      </c>
      <c r="B691" s="3">
        <f>COUNTIF(PEDIDOS!$A:$A,FORNECEDOR!A691)</f>
        <v>2</v>
      </c>
      <c r="C691" s="3" t="str">
        <f>INDEX(PEDIDOS!$A:$D,MATCH(FORNECEDOR!A691,PEDIDOS!$A:$A,0),2)</f>
        <v>CD ARAQUARI</v>
      </c>
      <c r="D691" s="3" t="str">
        <f>INDEX(PEDIDOS!$A:$D,MATCH(FORNECEDOR!A691,PEDIDOS!$A:$A,0),3)</f>
        <v>MATRIZ</v>
      </c>
      <c r="E691" s="3" t="str">
        <f>INDEX(PEDIDOS!$A:$D,MATCH(FORNECEDOR!A691,PEDIDOS!$A:$A,0),4)</f>
        <v>CD ARAQUARI</v>
      </c>
    </row>
    <row r="692" spans="1:5" hidden="1" x14ac:dyDescent="0.25">
      <c r="A692" s="1" t="s">
        <v>691</v>
      </c>
      <c r="B692" s="3">
        <f>COUNTIF(PEDIDOS!$A:$A,FORNECEDOR!A692)</f>
        <v>0</v>
      </c>
      <c r="C692" s="3" t="e">
        <f>INDEX(PEDIDOS!$A:$D,MATCH(FORNECEDOR!A692,PEDIDOS!$A:$A,0),2)</f>
        <v>#N/A</v>
      </c>
      <c r="D692" s="3" t="e">
        <f>INDEX(PEDIDOS!$A:$D,MATCH(FORNECEDOR!A692,PEDIDOS!$A:$A,0),3)</f>
        <v>#N/A</v>
      </c>
      <c r="E692" s="3" t="e">
        <f>INDEX(PEDIDOS!$A:$D,MATCH(FORNECEDOR!A692,PEDIDOS!$A:$A,0),4)</f>
        <v>#N/A</v>
      </c>
    </row>
    <row r="693" spans="1:5" hidden="1" x14ac:dyDescent="0.25">
      <c r="A693" s="1" t="s">
        <v>692</v>
      </c>
      <c r="B693" s="3">
        <f>COUNTIF(PEDIDOS!$A:$A,FORNECEDOR!A693)</f>
        <v>0</v>
      </c>
      <c r="C693" s="3" t="e">
        <f>INDEX(PEDIDOS!$A:$D,MATCH(FORNECEDOR!A693,PEDIDOS!$A:$A,0),2)</f>
        <v>#N/A</v>
      </c>
      <c r="D693" s="3" t="e">
        <f>INDEX(PEDIDOS!$A:$D,MATCH(FORNECEDOR!A693,PEDIDOS!$A:$A,0),3)</f>
        <v>#N/A</v>
      </c>
      <c r="E693" s="3" t="e">
        <f>INDEX(PEDIDOS!$A:$D,MATCH(FORNECEDOR!A693,PEDIDOS!$A:$A,0),4)</f>
        <v>#N/A</v>
      </c>
    </row>
    <row r="694" spans="1:5" hidden="1" x14ac:dyDescent="0.25">
      <c r="A694" s="1" t="s">
        <v>693</v>
      </c>
      <c r="B694" s="3">
        <f>COUNTIF(PEDIDOS!$A:$A,FORNECEDOR!A694)</f>
        <v>0</v>
      </c>
      <c r="C694" s="3" t="e">
        <f>INDEX(PEDIDOS!$A:$D,MATCH(FORNECEDOR!A694,PEDIDOS!$A:$A,0),2)</f>
        <v>#N/A</v>
      </c>
      <c r="D694" s="3" t="e">
        <f>INDEX(PEDIDOS!$A:$D,MATCH(FORNECEDOR!A694,PEDIDOS!$A:$A,0),3)</f>
        <v>#N/A</v>
      </c>
      <c r="E694" s="3" t="e">
        <f>INDEX(PEDIDOS!$A:$D,MATCH(FORNECEDOR!A694,PEDIDOS!$A:$A,0),4)</f>
        <v>#N/A</v>
      </c>
    </row>
    <row r="695" spans="1:5" hidden="1" x14ac:dyDescent="0.25">
      <c r="A695" s="1" t="s">
        <v>694</v>
      </c>
      <c r="B695" s="3">
        <f>COUNTIF(PEDIDOS!$A:$A,FORNECEDOR!A695)</f>
        <v>0</v>
      </c>
      <c r="C695" s="3" t="e">
        <f>INDEX(PEDIDOS!$A:$D,MATCH(FORNECEDOR!A695,PEDIDOS!$A:$A,0),2)</f>
        <v>#N/A</v>
      </c>
      <c r="D695" s="3" t="e">
        <f>INDEX(PEDIDOS!$A:$D,MATCH(FORNECEDOR!A695,PEDIDOS!$A:$A,0),3)</f>
        <v>#N/A</v>
      </c>
      <c r="E695" s="3" t="e">
        <f>INDEX(PEDIDOS!$A:$D,MATCH(FORNECEDOR!A695,PEDIDOS!$A:$A,0),4)</f>
        <v>#N/A</v>
      </c>
    </row>
    <row r="696" spans="1:5" hidden="1" x14ac:dyDescent="0.25">
      <c r="A696" s="1" t="s">
        <v>695</v>
      </c>
      <c r="B696" s="3">
        <f>COUNTIF(PEDIDOS!$A:$A,FORNECEDOR!A696)</f>
        <v>0</v>
      </c>
      <c r="C696" s="3" t="e">
        <f>INDEX(PEDIDOS!$A:$D,MATCH(FORNECEDOR!A696,PEDIDOS!$A:$A,0),2)</f>
        <v>#N/A</v>
      </c>
      <c r="D696" s="3" t="e">
        <f>INDEX(PEDIDOS!$A:$D,MATCH(FORNECEDOR!A696,PEDIDOS!$A:$A,0),3)</f>
        <v>#N/A</v>
      </c>
      <c r="E696" s="3" t="e">
        <f>INDEX(PEDIDOS!$A:$D,MATCH(FORNECEDOR!A696,PEDIDOS!$A:$A,0),4)</f>
        <v>#N/A</v>
      </c>
    </row>
    <row r="697" spans="1:5" hidden="1" x14ac:dyDescent="0.25">
      <c r="A697" s="1" t="s">
        <v>696</v>
      </c>
      <c r="B697" s="3">
        <f>COUNTIF(PEDIDOS!$A:$A,FORNECEDOR!A697)</f>
        <v>0</v>
      </c>
      <c r="C697" s="3" t="e">
        <f>INDEX(PEDIDOS!$A:$D,MATCH(FORNECEDOR!A697,PEDIDOS!$A:$A,0),2)</f>
        <v>#N/A</v>
      </c>
      <c r="D697" s="3" t="e">
        <f>INDEX(PEDIDOS!$A:$D,MATCH(FORNECEDOR!A697,PEDIDOS!$A:$A,0),3)</f>
        <v>#N/A</v>
      </c>
      <c r="E697" s="3" t="e">
        <f>INDEX(PEDIDOS!$A:$D,MATCH(FORNECEDOR!A697,PEDIDOS!$A:$A,0),4)</f>
        <v>#N/A</v>
      </c>
    </row>
    <row r="698" spans="1:5" hidden="1" x14ac:dyDescent="0.25">
      <c r="A698" s="1" t="s">
        <v>697</v>
      </c>
      <c r="B698" s="3">
        <f>COUNTIF(PEDIDOS!$A:$A,FORNECEDOR!A698)</f>
        <v>0</v>
      </c>
      <c r="C698" s="3" t="e">
        <f>INDEX(PEDIDOS!$A:$D,MATCH(FORNECEDOR!A698,PEDIDOS!$A:$A,0),2)</f>
        <v>#N/A</v>
      </c>
      <c r="D698" s="3" t="e">
        <f>INDEX(PEDIDOS!$A:$D,MATCH(FORNECEDOR!A698,PEDIDOS!$A:$A,0),3)</f>
        <v>#N/A</v>
      </c>
      <c r="E698" s="3" t="e">
        <f>INDEX(PEDIDOS!$A:$D,MATCH(FORNECEDOR!A698,PEDIDOS!$A:$A,0),4)</f>
        <v>#N/A</v>
      </c>
    </row>
    <row r="699" spans="1:5" hidden="1" x14ac:dyDescent="0.25">
      <c r="A699" s="1" t="s">
        <v>698</v>
      </c>
      <c r="B699" s="3">
        <f>COUNTIF(PEDIDOS!$A:$A,FORNECEDOR!A699)</f>
        <v>0</v>
      </c>
      <c r="C699" s="3" t="e">
        <f>INDEX(PEDIDOS!$A:$D,MATCH(FORNECEDOR!A699,PEDIDOS!$A:$A,0),2)</f>
        <v>#N/A</v>
      </c>
      <c r="D699" s="3" t="e">
        <f>INDEX(PEDIDOS!$A:$D,MATCH(FORNECEDOR!A699,PEDIDOS!$A:$A,0),3)</f>
        <v>#N/A</v>
      </c>
      <c r="E699" s="3" t="e">
        <f>INDEX(PEDIDOS!$A:$D,MATCH(FORNECEDOR!A699,PEDIDOS!$A:$A,0),4)</f>
        <v>#N/A</v>
      </c>
    </row>
    <row r="700" spans="1:5" hidden="1" x14ac:dyDescent="0.25">
      <c r="A700" s="1" t="s">
        <v>699</v>
      </c>
      <c r="B700" s="3">
        <f>COUNTIF(PEDIDOS!$A:$A,FORNECEDOR!A700)</f>
        <v>0</v>
      </c>
      <c r="C700" s="3" t="e">
        <f>INDEX(PEDIDOS!$A:$D,MATCH(FORNECEDOR!A700,PEDIDOS!$A:$A,0),2)</f>
        <v>#N/A</v>
      </c>
      <c r="D700" s="3" t="e">
        <f>INDEX(PEDIDOS!$A:$D,MATCH(FORNECEDOR!A700,PEDIDOS!$A:$A,0),3)</f>
        <v>#N/A</v>
      </c>
      <c r="E700" s="3" t="e">
        <f>INDEX(PEDIDOS!$A:$D,MATCH(FORNECEDOR!A700,PEDIDOS!$A:$A,0),4)</f>
        <v>#N/A</v>
      </c>
    </row>
    <row r="701" spans="1:5" hidden="1" x14ac:dyDescent="0.25">
      <c r="A701" s="1" t="s">
        <v>700</v>
      </c>
      <c r="B701" s="3">
        <f>COUNTIF(PEDIDOS!$A:$A,FORNECEDOR!A701)</f>
        <v>0</v>
      </c>
      <c r="C701" s="3" t="e">
        <f>INDEX(PEDIDOS!$A:$D,MATCH(FORNECEDOR!A701,PEDIDOS!$A:$A,0),2)</f>
        <v>#N/A</v>
      </c>
      <c r="D701" s="3" t="e">
        <f>INDEX(PEDIDOS!$A:$D,MATCH(FORNECEDOR!A701,PEDIDOS!$A:$A,0),3)</f>
        <v>#N/A</v>
      </c>
      <c r="E701" s="3" t="e">
        <f>INDEX(PEDIDOS!$A:$D,MATCH(FORNECEDOR!A701,PEDIDOS!$A:$A,0),4)</f>
        <v>#N/A</v>
      </c>
    </row>
    <row r="702" spans="1:5" hidden="1" x14ac:dyDescent="0.25">
      <c r="A702" s="1" t="s">
        <v>701</v>
      </c>
      <c r="B702" s="3">
        <f>COUNTIF(PEDIDOS!$A:$A,FORNECEDOR!A702)</f>
        <v>0</v>
      </c>
      <c r="C702" s="3" t="e">
        <f>INDEX(PEDIDOS!$A:$D,MATCH(FORNECEDOR!A702,PEDIDOS!$A:$A,0),2)</f>
        <v>#N/A</v>
      </c>
      <c r="D702" s="3" t="e">
        <f>INDEX(PEDIDOS!$A:$D,MATCH(FORNECEDOR!A702,PEDIDOS!$A:$A,0),3)</f>
        <v>#N/A</v>
      </c>
      <c r="E702" s="3" t="e">
        <f>INDEX(PEDIDOS!$A:$D,MATCH(FORNECEDOR!A702,PEDIDOS!$A:$A,0),4)</f>
        <v>#N/A</v>
      </c>
    </row>
    <row r="703" spans="1:5" hidden="1" x14ac:dyDescent="0.25">
      <c r="A703" s="1" t="s">
        <v>702</v>
      </c>
      <c r="B703" s="3">
        <f>COUNTIF(PEDIDOS!$A:$A,FORNECEDOR!A703)</f>
        <v>0</v>
      </c>
      <c r="C703" s="3" t="e">
        <f>INDEX(PEDIDOS!$A:$D,MATCH(FORNECEDOR!A703,PEDIDOS!$A:$A,0),2)</f>
        <v>#N/A</v>
      </c>
      <c r="D703" s="3" t="e">
        <f>INDEX(PEDIDOS!$A:$D,MATCH(FORNECEDOR!A703,PEDIDOS!$A:$A,0),3)</f>
        <v>#N/A</v>
      </c>
      <c r="E703" s="3" t="e">
        <f>INDEX(PEDIDOS!$A:$D,MATCH(FORNECEDOR!A703,PEDIDOS!$A:$A,0),4)</f>
        <v>#N/A</v>
      </c>
    </row>
    <row r="704" spans="1:5" hidden="1" x14ac:dyDescent="0.25">
      <c r="A704" s="1" t="s">
        <v>703</v>
      </c>
      <c r="B704" s="3">
        <f>COUNTIF(PEDIDOS!$A:$A,FORNECEDOR!A704)</f>
        <v>0</v>
      </c>
      <c r="C704" s="3" t="e">
        <f>INDEX(PEDIDOS!$A:$D,MATCH(FORNECEDOR!A704,PEDIDOS!$A:$A,0),2)</f>
        <v>#N/A</v>
      </c>
      <c r="D704" s="3" t="e">
        <f>INDEX(PEDIDOS!$A:$D,MATCH(FORNECEDOR!A704,PEDIDOS!$A:$A,0),3)</f>
        <v>#N/A</v>
      </c>
      <c r="E704" s="3" t="e">
        <f>INDEX(PEDIDOS!$A:$D,MATCH(FORNECEDOR!A704,PEDIDOS!$A:$A,0),4)</f>
        <v>#N/A</v>
      </c>
    </row>
    <row r="705" spans="1:5" hidden="1" x14ac:dyDescent="0.25">
      <c r="A705" s="1" t="s">
        <v>704</v>
      </c>
      <c r="B705" s="3">
        <f>COUNTIF(PEDIDOS!$A:$A,FORNECEDOR!A705)</f>
        <v>0</v>
      </c>
      <c r="C705" s="3" t="e">
        <f>INDEX(PEDIDOS!$A:$D,MATCH(FORNECEDOR!A705,PEDIDOS!$A:$A,0),2)</f>
        <v>#N/A</v>
      </c>
      <c r="D705" s="3" t="e">
        <f>INDEX(PEDIDOS!$A:$D,MATCH(FORNECEDOR!A705,PEDIDOS!$A:$A,0),3)</f>
        <v>#N/A</v>
      </c>
      <c r="E705" s="3" t="e">
        <f>INDEX(PEDIDOS!$A:$D,MATCH(FORNECEDOR!A705,PEDIDOS!$A:$A,0),4)</f>
        <v>#N/A</v>
      </c>
    </row>
    <row r="706" spans="1:5" x14ac:dyDescent="0.25">
      <c r="A706" s="1" t="s">
        <v>705</v>
      </c>
      <c r="B706" s="3">
        <f>COUNTIF(PEDIDOS!$A:$A,FORNECEDOR!A706)</f>
        <v>9</v>
      </c>
      <c r="C706" s="3" t="str">
        <f>INDEX(PEDIDOS!$A:$D,MATCH(FORNECEDOR!A706,PEDIDOS!$A:$A,0),2)</f>
        <v>BARUERI</v>
      </c>
      <c r="D706" s="3" t="str">
        <f>INDEX(PEDIDOS!$A:$D,MATCH(FORNECEDOR!A706,PEDIDOS!$A:$A,0),3)</f>
        <v>BARUERI</v>
      </c>
      <c r="E706" s="3" t="str">
        <f>INDEX(PEDIDOS!$A:$D,MATCH(FORNECEDOR!A706,PEDIDOS!$A:$A,0),4)</f>
        <v>BARUERI</v>
      </c>
    </row>
    <row r="707" spans="1:5" x14ac:dyDescent="0.25">
      <c r="A707" s="1" t="s">
        <v>706</v>
      </c>
      <c r="B707" s="3">
        <f>COUNTIF(PEDIDOS!$A:$A,FORNECEDOR!A707)</f>
        <v>1</v>
      </c>
      <c r="C707" s="3" t="str">
        <f>INDEX(PEDIDOS!$A:$D,MATCH(FORNECEDOR!A707,PEDIDOS!$A:$A,0),2)</f>
        <v>ANPPLA</v>
      </c>
      <c r="D707" s="3" t="str">
        <f>INDEX(PEDIDOS!$A:$D,MATCH(FORNECEDOR!A707,PEDIDOS!$A:$A,0),3)</f>
        <v>ANPPLA</v>
      </c>
      <c r="E707" s="3" t="str">
        <f>INDEX(PEDIDOS!$A:$D,MATCH(FORNECEDOR!A707,PEDIDOS!$A:$A,0),4)</f>
        <v>ANPPLA</v>
      </c>
    </row>
    <row r="708" spans="1:5" hidden="1" x14ac:dyDescent="0.25">
      <c r="A708" s="1" t="s">
        <v>707</v>
      </c>
      <c r="B708" s="3">
        <f>COUNTIF(PEDIDOS!$A:$A,FORNECEDOR!A708)</f>
        <v>0</v>
      </c>
      <c r="C708" s="3" t="e">
        <f>INDEX(PEDIDOS!$A:$D,MATCH(FORNECEDOR!A708,PEDIDOS!$A:$A,0),2)</f>
        <v>#N/A</v>
      </c>
      <c r="D708" s="3" t="e">
        <f>INDEX(PEDIDOS!$A:$D,MATCH(FORNECEDOR!A708,PEDIDOS!$A:$A,0),3)</f>
        <v>#N/A</v>
      </c>
      <c r="E708" s="3" t="e">
        <f>INDEX(PEDIDOS!$A:$D,MATCH(FORNECEDOR!A708,PEDIDOS!$A:$A,0),4)</f>
        <v>#N/A</v>
      </c>
    </row>
    <row r="709" spans="1:5" x14ac:dyDescent="0.25">
      <c r="A709" s="1" t="s">
        <v>708</v>
      </c>
      <c r="B709" s="3">
        <f>COUNTIF(PEDIDOS!$A:$A,FORNECEDOR!A709)</f>
        <v>1</v>
      </c>
      <c r="C709" s="3" t="str">
        <f>INDEX(PEDIDOS!$A:$D,MATCH(FORNECEDOR!A709,PEDIDOS!$A:$A,0),2)</f>
        <v>ANPPLA</v>
      </c>
      <c r="D709" s="3" t="str">
        <f>INDEX(PEDIDOS!$A:$D,MATCH(FORNECEDOR!A709,PEDIDOS!$A:$A,0),3)</f>
        <v>ANPPLA</v>
      </c>
      <c r="E709" s="3" t="str">
        <f>INDEX(PEDIDOS!$A:$D,MATCH(FORNECEDOR!A709,PEDIDOS!$A:$A,0),4)</f>
        <v>ANPPLA</v>
      </c>
    </row>
    <row r="710" spans="1:5" hidden="1" x14ac:dyDescent="0.25">
      <c r="A710" s="1" t="s">
        <v>709</v>
      </c>
      <c r="B710" s="3">
        <f>COUNTIF(PEDIDOS!$A:$A,FORNECEDOR!A710)</f>
        <v>0</v>
      </c>
      <c r="C710" s="3" t="e">
        <f>INDEX(PEDIDOS!$A:$D,MATCH(FORNECEDOR!A710,PEDIDOS!$A:$A,0),2)</f>
        <v>#N/A</v>
      </c>
      <c r="D710" s="3" t="e">
        <f>INDEX(PEDIDOS!$A:$D,MATCH(FORNECEDOR!A710,PEDIDOS!$A:$A,0),3)</f>
        <v>#N/A</v>
      </c>
      <c r="E710" s="3" t="e">
        <f>INDEX(PEDIDOS!$A:$D,MATCH(FORNECEDOR!A710,PEDIDOS!$A:$A,0),4)</f>
        <v>#N/A</v>
      </c>
    </row>
    <row r="711" spans="1:5" hidden="1" x14ac:dyDescent="0.25">
      <c r="A711" s="1" t="s">
        <v>710</v>
      </c>
      <c r="B711" s="3">
        <f>COUNTIF(PEDIDOS!$A:$A,FORNECEDOR!A711)</f>
        <v>0</v>
      </c>
      <c r="C711" s="3" t="e">
        <f>INDEX(PEDIDOS!$A:$D,MATCH(FORNECEDOR!A711,PEDIDOS!$A:$A,0),2)</f>
        <v>#N/A</v>
      </c>
      <c r="D711" s="3" t="e">
        <f>INDEX(PEDIDOS!$A:$D,MATCH(FORNECEDOR!A711,PEDIDOS!$A:$A,0),3)</f>
        <v>#N/A</v>
      </c>
      <c r="E711" s="3" t="e">
        <f>INDEX(PEDIDOS!$A:$D,MATCH(FORNECEDOR!A711,PEDIDOS!$A:$A,0),4)</f>
        <v>#N/A</v>
      </c>
    </row>
    <row r="712" spans="1:5" hidden="1" x14ac:dyDescent="0.25">
      <c r="A712" s="1" t="s">
        <v>711</v>
      </c>
      <c r="B712" s="3">
        <f>COUNTIF(PEDIDOS!$A:$A,FORNECEDOR!A712)</f>
        <v>0</v>
      </c>
      <c r="C712" s="3" t="e">
        <f>INDEX(PEDIDOS!$A:$D,MATCH(FORNECEDOR!A712,PEDIDOS!$A:$A,0),2)</f>
        <v>#N/A</v>
      </c>
      <c r="D712" s="3" t="e">
        <f>INDEX(PEDIDOS!$A:$D,MATCH(FORNECEDOR!A712,PEDIDOS!$A:$A,0),3)</f>
        <v>#N/A</v>
      </c>
      <c r="E712" s="3" t="e">
        <f>INDEX(PEDIDOS!$A:$D,MATCH(FORNECEDOR!A712,PEDIDOS!$A:$A,0),4)</f>
        <v>#N/A</v>
      </c>
    </row>
    <row r="713" spans="1:5" hidden="1" x14ac:dyDescent="0.25">
      <c r="A713" s="1" t="s">
        <v>712</v>
      </c>
      <c r="B713" s="3">
        <f>COUNTIF(PEDIDOS!$A:$A,FORNECEDOR!A713)</f>
        <v>0</v>
      </c>
      <c r="C713" s="3" t="e">
        <f>INDEX(PEDIDOS!$A:$D,MATCH(FORNECEDOR!A713,PEDIDOS!$A:$A,0),2)</f>
        <v>#N/A</v>
      </c>
      <c r="D713" s="3" t="e">
        <f>INDEX(PEDIDOS!$A:$D,MATCH(FORNECEDOR!A713,PEDIDOS!$A:$A,0),3)</f>
        <v>#N/A</v>
      </c>
      <c r="E713" s="3" t="e">
        <f>INDEX(PEDIDOS!$A:$D,MATCH(FORNECEDOR!A713,PEDIDOS!$A:$A,0),4)</f>
        <v>#N/A</v>
      </c>
    </row>
    <row r="714" spans="1:5" hidden="1" x14ac:dyDescent="0.25">
      <c r="A714" s="1" t="s">
        <v>713</v>
      </c>
      <c r="B714" s="3">
        <f>COUNTIF(PEDIDOS!$A:$A,FORNECEDOR!A714)</f>
        <v>0</v>
      </c>
      <c r="C714" s="3" t="e">
        <f>INDEX(PEDIDOS!$A:$D,MATCH(FORNECEDOR!A714,PEDIDOS!$A:$A,0),2)</f>
        <v>#N/A</v>
      </c>
      <c r="D714" s="3" t="e">
        <f>INDEX(PEDIDOS!$A:$D,MATCH(FORNECEDOR!A714,PEDIDOS!$A:$A,0),3)</f>
        <v>#N/A</v>
      </c>
      <c r="E714" s="3" t="e">
        <f>INDEX(PEDIDOS!$A:$D,MATCH(FORNECEDOR!A714,PEDIDOS!$A:$A,0),4)</f>
        <v>#N/A</v>
      </c>
    </row>
    <row r="715" spans="1:5" x14ac:dyDescent="0.25">
      <c r="A715" s="1" t="s">
        <v>714</v>
      </c>
      <c r="B715" s="3">
        <f>COUNTIF(PEDIDOS!$A:$A,FORNECEDOR!A715)</f>
        <v>6</v>
      </c>
      <c r="C715" s="3" t="str">
        <f>INDEX(PEDIDOS!$A:$D,MATCH(FORNECEDOR!A715,PEDIDOS!$A:$A,0),2)</f>
        <v>CARAGUATATUBA</v>
      </c>
      <c r="D715" s="3" t="str">
        <f>INDEX(PEDIDOS!$A:$D,MATCH(FORNECEDOR!A715,PEDIDOS!$A:$A,0),3)</f>
        <v>CARAGUATATUBA</v>
      </c>
      <c r="E715" s="3" t="str">
        <f>INDEX(PEDIDOS!$A:$D,MATCH(FORNECEDOR!A715,PEDIDOS!$A:$A,0),4)</f>
        <v>CARAGUATATUBA</v>
      </c>
    </row>
    <row r="716" spans="1:5" hidden="1" x14ac:dyDescent="0.25">
      <c r="A716" s="1" t="s">
        <v>715</v>
      </c>
      <c r="B716" s="3">
        <f>COUNTIF(PEDIDOS!$A:$A,FORNECEDOR!A716)</f>
        <v>0</v>
      </c>
      <c r="C716" s="3" t="e">
        <f>INDEX(PEDIDOS!$A:$D,MATCH(FORNECEDOR!A716,PEDIDOS!$A:$A,0),2)</f>
        <v>#N/A</v>
      </c>
      <c r="D716" s="3" t="e">
        <f>INDEX(PEDIDOS!$A:$D,MATCH(FORNECEDOR!A716,PEDIDOS!$A:$A,0),3)</f>
        <v>#N/A</v>
      </c>
      <c r="E716" s="3" t="e">
        <f>INDEX(PEDIDOS!$A:$D,MATCH(FORNECEDOR!A716,PEDIDOS!$A:$A,0),4)</f>
        <v>#N/A</v>
      </c>
    </row>
    <row r="717" spans="1:5" x14ac:dyDescent="0.25">
      <c r="A717" s="1" t="s">
        <v>716</v>
      </c>
      <c r="B717" s="3">
        <f>COUNTIF(PEDIDOS!$A:$A,FORNECEDOR!A717)</f>
        <v>4</v>
      </c>
      <c r="C717" s="3" t="str">
        <f>INDEX(PEDIDOS!$A:$D,MATCH(FORNECEDOR!A717,PEDIDOS!$A:$A,0),2)</f>
        <v>BARUERI</v>
      </c>
      <c r="D717" s="3" t="str">
        <f>INDEX(PEDIDOS!$A:$D,MATCH(FORNECEDOR!A717,PEDIDOS!$A:$A,0),3)</f>
        <v>BARUERI</v>
      </c>
      <c r="E717" s="3" t="str">
        <f>INDEX(PEDIDOS!$A:$D,MATCH(FORNECEDOR!A717,PEDIDOS!$A:$A,0),4)</f>
        <v>BARUERI</v>
      </c>
    </row>
    <row r="718" spans="1:5" hidden="1" x14ac:dyDescent="0.25">
      <c r="A718" s="1" t="s">
        <v>717</v>
      </c>
      <c r="B718" s="3">
        <f>COUNTIF(PEDIDOS!$A:$A,FORNECEDOR!A718)</f>
        <v>0</v>
      </c>
      <c r="C718" s="3" t="e">
        <f>INDEX(PEDIDOS!$A:$D,MATCH(FORNECEDOR!A718,PEDIDOS!$A:$A,0),2)</f>
        <v>#N/A</v>
      </c>
      <c r="D718" s="3" t="e">
        <f>INDEX(PEDIDOS!$A:$D,MATCH(FORNECEDOR!A718,PEDIDOS!$A:$A,0),3)</f>
        <v>#N/A</v>
      </c>
      <c r="E718" s="3" t="e">
        <f>INDEX(PEDIDOS!$A:$D,MATCH(FORNECEDOR!A718,PEDIDOS!$A:$A,0),4)</f>
        <v>#N/A</v>
      </c>
    </row>
    <row r="719" spans="1:5" x14ac:dyDescent="0.25">
      <c r="A719" s="1" t="s">
        <v>718</v>
      </c>
      <c r="B719" s="3">
        <f>COUNTIF(PEDIDOS!$A:$A,FORNECEDOR!A719)</f>
        <v>1</v>
      </c>
      <c r="C719" s="3" t="str">
        <f>INDEX(PEDIDOS!$A:$D,MATCH(FORNECEDOR!A719,PEDIDOS!$A:$A,0),2)</f>
        <v>CD REGIS</v>
      </c>
      <c r="D719" s="3" t="str">
        <f>INDEX(PEDIDOS!$A:$D,MATCH(FORNECEDOR!A719,PEDIDOS!$A:$A,0),3)</f>
        <v>TATUAPE</v>
      </c>
      <c r="E719" s="3" t="str">
        <f>INDEX(PEDIDOS!$A:$D,MATCH(FORNECEDOR!A719,PEDIDOS!$A:$A,0),4)</f>
        <v>CD REGIS</v>
      </c>
    </row>
    <row r="720" spans="1:5" hidden="1" x14ac:dyDescent="0.25">
      <c r="A720" s="1" t="s">
        <v>719</v>
      </c>
      <c r="B720" s="3">
        <f>COUNTIF(PEDIDOS!$A:$A,FORNECEDOR!A720)</f>
        <v>0</v>
      </c>
      <c r="C720" s="3" t="e">
        <f>INDEX(PEDIDOS!$A:$D,MATCH(FORNECEDOR!A720,PEDIDOS!$A:$A,0),2)</f>
        <v>#N/A</v>
      </c>
      <c r="D720" s="3" t="e">
        <f>INDEX(PEDIDOS!$A:$D,MATCH(FORNECEDOR!A720,PEDIDOS!$A:$A,0),3)</f>
        <v>#N/A</v>
      </c>
      <c r="E720" s="3" t="e">
        <f>INDEX(PEDIDOS!$A:$D,MATCH(FORNECEDOR!A720,PEDIDOS!$A:$A,0),4)</f>
        <v>#N/A</v>
      </c>
    </row>
    <row r="721" spans="1:5" hidden="1" x14ac:dyDescent="0.25">
      <c r="A721" s="1" t="s">
        <v>720</v>
      </c>
      <c r="B721" s="3">
        <f>COUNTIF(PEDIDOS!$A:$A,FORNECEDOR!A721)</f>
        <v>0</v>
      </c>
      <c r="C721" s="3" t="e">
        <f>INDEX(PEDIDOS!$A:$D,MATCH(FORNECEDOR!A721,PEDIDOS!$A:$A,0),2)</f>
        <v>#N/A</v>
      </c>
      <c r="D721" s="3" t="e">
        <f>INDEX(PEDIDOS!$A:$D,MATCH(FORNECEDOR!A721,PEDIDOS!$A:$A,0),3)</f>
        <v>#N/A</v>
      </c>
      <c r="E721" s="3" t="e">
        <f>INDEX(PEDIDOS!$A:$D,MATCH(FORNECEDOR!A721,PEDIDOS!$A:$A,0),4)</f>
        <v>#N/A</v>
      </c>
    </row>
    <row r="722" spans="1:5" x14ac:dyDescent="0.25">
      <c r="A722" s="1" t="s">
        <v>721</v>
      </c>
      <c r="B722" s="3">
        <f>COUNTIF(PEDIDOS!$A:$A,FORNECEDOR!A722)</f>
        <v>2</v>
      </c>
      <c r="C722" s="3" t="str">
        <f>INDEX(PEDIDOS!$A:$D,MATCH(FORNECEDOR!A722,PEDIDOS!$A:$A,0),2)</f>
        <v>CD REGIS</v>
      </c>
      <c r="D722" s="3" t="str">
        <f>INDEX(PEDIDOS!$A:$D,MATCH(FORNECEDOR!A722,PEDIDOS!$A:$A,0),3)</f>
        <v>MATRIZ</v>
      </c>
      <c r="E722" s="3" t="str">
        <f>INDEX(PEDIDOS!$A:$D,MATCH(FORNECEDOR!A722,PEDIDOS!$A:$A,0),4)</f>
        <v>CD REGIS</v>
      </c>
    </row>
    <row r="723" spans="1:5" x14ac:dyDescent="0.25">
      <c r="A723" s="1" t="s">
        <v>722</v>
      </c>
      <c r="B723" s="3">
        <f>COUNTIF(PEDIDOS!$A:$A,FORNECEDOR!A723)</f>
        <v>1</v>
      </c>
      <c r="C723" s="3" t="str">
        <f>INDEX(PEDIDOS!$A:$D,MATCH(FORNECEDOR!A723,PEDIDOS!$A:$A,0),2)</f>
        <v>CD REGIS</v>
      </c>
      <c r="D723" s="3" t="str">
        <f>INDEX(PEDIDOS!$A:$D,MATCH(FORNECEDOR!A723,PEDIDOS!$A:$A,0),3)</f>
        <v>TATUAPE</v>
      </c>
      <c r="E723" s="3" t="str">
        <f>INDEX(PEDIDOS!$A:$D,MATCH(FORNECEDOR!A723,PEDIDOS!$A:$A,0),4)</f>
        <v>CD REGIS</v>
      </c>
    </row>
    <row r="724" spans="1:5" x14ac:dyDescent="0.25">
      <c r="A724" s="1" t="s">
        <v>723</v>
      </c>
      <c r="B724" s="3">
        <f>COUNTIF(PEDIDOS!$A:$A,FORNECEDOR!A724)</f>
        <v>1</v>
      </c>
      <c r="C724" s="3" t="str">
        <f>INDEX(PEDIDOS!$A:$D,MATCH(FORNECEDOR!A724,PEDIDOS!$A:$A,0),2)</f>
        <v>CD REGIS</v>
      </c>
      <c r="D724" s="3" t="str">
        <f>INDEX(PEDIDOS!$A:$D,MATCH(FORNECEDOR!A724,PEDIDOS!$A:$A,0),3)</f>
        <v>CD REGIS</v>
      </c>
      <c r="E724" s="3" t="str">
        <f>INDEX(PEDIDOS!$A:$D,MATCH(FORNECEDOR!A724,PEDIDOS!$A:$A,0),4)</f>
        <v>CD REGIS</v>
      </c>
    </row>
    <row r="725" spans="1:5" x14ac:dyDescent="0.25">
      <c r="A725" s="1" t="s">
        <v>724</v>
      </c>
      <c r="B725" s="3">
        <f>COUNTIF(PEDIDOS!$A:$A,FORNECEDOR!A725)</f>
        <v>1</v>
      </c>
      <c r="C725" s="3" t="str">
        <f>INDEX(PEDIDOS!$A:$D,MATCH(FORNECEDOR!A725,PEDIDOS!$A:$A,0),2)</f>
        <v>ANPPLA</v>
      </c>
      <c r="D725" s="3" t="str">
        <f>INDEX(PEDIDOS!$A:$D,MATCH(FORNECEDOR!A725,PEDIDOS!$A:$A,0),3)</f>
        <v>ANPPLA</v>
      </c>
      <c r="E725" s="3" t="str">
        <f>INDEX(PEDIDOS!$A:$D,MATCH(FORNECEDOR!A725,PEDIDOS!$A:$A,0),4)</f>
        <v>ANPPLA</v>
      </c>
    </row>
    <row r="726" spans="1:5" x14ac:dyDescent="0.25">
      <c r="A726" s="1" t="s">
        <v>725</v>
      </c>
      <c r="B726" s="3">
        <f>COUNTIF(PEDIDOS!$A:$A,FORNECEDOR!A726)</f>
        <v>4</v>
      </c>
      <c r="C726" s="3" t="str">
        <f>INDEX(PEDIDOS!$A:$D,MATCH(FORNECEDOR!A726,PEDIDOS!$A:$A,0),2)</f>
        <v>ANPPLA</v>
      </c>
      <c r="D726" s="3" t="str">
        <f>INDEX(PEDIDOS!$A:$D,MATCH(FORNECEDOR!A726,PEDIDOS!$A:$A,0),3)</f>
        <v>ANPPLA</v>
      </c>
      <c r="E726" s="3" t="str">
        <f>INDEX(PEDIDOS!$A:$D,MATCH(FORNECEDOR!A726,PEDIDOS!$A:$A,0),4)</f>
        <v>ANPPLA</v>
      </c>
    </row>
    <row r="727" spans="1:5" x14ac:dyDescent="0.25">
      <c r="A727" s="1" t="s">
        <v>726</v>
      </c>
      <c r="B727" s="3">
        <f>COUNTIF(PEDIDOS!$A:$A,FORNECEDOR!A727)</f>
        <v>3</v>
      </c>
      <c r="C727" s="3" t="str">
        <f>INDEX(PEDIDOS!$A:$D,MATCH(FORNECEDOR!A727,PEDIDOS!$A:$A,0),2)</f>
        <v>MAUA</v>
      </c>
      <c r="D727" s="3" t="str">
        <f>INDEX(PEDIDOS!$A:$D,MATCH(FORNECEDOR!A727,PEDIDOS!$A:$A,0),3)</f>
        <v>MAUA</v>
      </c>
      <c r="E727" s="3" t="str">
        <f>INDEX(PEDIDOS!$A:$D,MATCH(FORNECEDOR!A727,PEDIDOS!$A:$A,0),4)</f>
        <v>MAUA</v>
      </c>
    </row>
    <row r="728" spans="1:5" x14ac:dyDescent="0.25">
      <c r="A728" s="1" t="s">
        <v>727</v>
      </c>
      <c r="B728" s="3">
        <f>COUNTIF(PEDIDOS!$A:$A,FORNECEDOR!A728)</f>
        <v>2</v>
      </c>
      <c r="C728" s="3" t="str">
        <f>INDEX(PEDIDOS!$A:$D,MATCH(FORNECEDOR!A728,PEDIDOS!$A:$A,0),2)</f>
        <v>AVANTI- ADM C.CREDITO</v>
      </c>
      <c r="D728" s="3" t="str">
        <f>INDEX(PEDIDOS!$A:$D,MATCH(FORNECEDOR!A728,PEDIDOS!$A:$A,0),3)</f>
        <v>AVANTI- ADM C.CREDITO</v>
      </c>
      <c r="E728" s="3" t="str">
        <f>INDEX(PEDIDOS!$A:$D,MATCH(FORNECEDOR!A728,PEDIDOS!$A:$A,0),4)</f>
        <v>AVANTI- ADM C.CREDITO</v>
      </c>
    </row>
    <row r="729" spans="1:5" x14ac:dyDescent="0.25">
      <c r="A729" s="1" t="s">
        <v>728</v>
      </c>
      <c r="B729" s="3">
        <f>COUNTIF(PEDIDOS!$A:$A,FORNECEDOR!A729)</f>
        <v>1</v>
      </c>
      <c r="C729" s="3" t="str">
        <f>INDEX(PEDIDOS!$A:$D,MATCH(FORNECEDOR!A729,PEDIDOS!$A:$A,0),2)</f>
        <v>CD REGIS</v>
      </c>
      <c r="D729" s="3" t="str">
        <f>INDEX(PEDIDOS!$A:$D,MATCH(FORNECEDOR!A729,PEDIDOS!$A:$A,0),3)</f>
        <v>TATUAPE</v>
      </c>
      <c r="E729" s="3" t="str">
        <f>INDEX(PEDIDOS!$A:$D,MATCH(FORNECEDOR!A729,PEDIDOS!$A:$A,0),4)</f>
        <v>CD REGIS</v>
      </c>
    </row>
    <row r="730" spans="1:5" x14ac:dyDescent="0.25">
      <c r="A730" s="1" t="s">
        <v>729</v>
      </c>
      <c r="B730" s="3">
        <f>COUNTIF(PEDIDOS!$A:$A,FORNECEDOR!A730)</f>
        <v>1</v>
      </c>
      <c r="C730" s="3" t="str">
        <f>INDEX(PEDIDOS!$A:$D,MATCH(FORNECEDOR!A730,PEDIDOS!$A:$A,0),2)</f>
        <v>TAUBATE</v>
      </c>
      <c r="D730" s="3" t="str">
        <f>INDEX(PEDIDOS!$A:$D,MATCH(FORNECEDOR!A730,PEDIDOS!$A:$A,0),3)</f>
        <v>TAUBATE</v>
      </c>
      <c r="E730" s="3" t="str">
        <f>INDEX(PEDIDOS!$A:$D,MATCH(FORNECEDOR!A730,PEDIDOS!$A:$A,0),4)</f>
        <v>TAUBATE</v>
      </c>
    </row>
    <row r="731" spans="1:5" x14ac:dyDescent="0.25">
      <c r="A731" s="1" t="s">
        <v>730</v>
      </c>
      <c r="B731" s="3">
        <f>COUNTIF(PEDIDOS!$A:$A,FORNECEDOR!A731)</f>
        <v>1</v>
      </c>
      <c r="C731" s="3" t="str">
        <f>INDEX(PEDIDOS!$A:$D,MATCH(FORNECEDOR!A731,PEDIDOS!$A:$A,0),2)</f>
        <v>MAUA</v>
      </c>
      <c r="D731" s="3" t="str">
        <f>INDEX(PEDIDOS!$A:$D,MATCH(FORNECEDOR!A731,PEDIDOS!$A:$A,0),3)</f>
        <v>MAUA</v>
      </c>
      <c r="E731" s="3" t="str">
        <f>INDEX(PEDIDOS!$A:$D,MATCH(FORNECEDOR!A731,PEDIDOS!$A:$A,0),4)</f>
        <v>MAUA</v>
      </c>
    </row>
    <row r="732" spans="1:5" x14ac:dyDescent="0.25">
      <c r="A732" s="1" t="s">
        <v>731</v>
      </c>
      <c r="B732" s="3">
        <f>COUNTIF(PEDIDOS!$A:$A,FORNECEDOR!A732)</f>
        <v>4</v>
      </c>
      <c r="C732" s="3" t="str">
        <f>INDEX(PEDIDOS!$A:$D,MATCH(FORNECEDOR!A732,PEDIDOS!$A:$A,0),2)</f>
        <v>DIADEMA</v>
      </c>
      <c r="D732" s="3" t="str">
        <f>INDEX(PEDIDOS!$A:$D,MATCH(FORNECEDOR!A732,PEDIDOS!$A:$A,0),3)</f>
        <v>DIADEMA</v>
      </c>
      <c r="E732" s="3" t="str">
        <f>INDEX(PEDIDOS!$A:$D,MATCH(FORNECEDOR!A732,PEDIDOS!$A:$A,0),4)</f>
        <v>DIADEMA</v>
      </c>
    </row>
    <row r="733" spans="1:5" x14ac:dyDescent="0.25">
      <c r="A733" s="1" t="s">
        <v>732</v>
      </c>
      <c r="B733" s="3">
        <f>COUNTIF(PEDIDOS!$A:$A,FORNECEDOR!A733)</f>
        <v>1</v>
      </c>
      <c r="C733" s="3" t="str">
        <f>INDEX(PEDIDOS!$A:$D,MATCH(FORNECEDOR!A733,PEDIDOS!$A:$A,0),2)</f>
        <v>SP - PARI</v>
      </c>
      <c r="D733" s="3" t="str">
        <f>INDEX(PEDIDOS!$A:$D,MATCH(FORNECEDOR!A733,PEDIDOS!$A:$A,0),3)</f>
        <v>SP - PARI</v>
      </c>
      <c r="E733" s="3" t="str">
        <f>INDEX(PEDIDOS!$A:$D,MATCH(FORNECEDOR!A733,PEDIDOS!$A:$A,0),4)</f>
        <v>SP - PARI</v>
      </c>
    </row>
    <row r="734" spans="1:5" hidden="1" x14ac:dyDescent="0.25">
      <c r="A734" s="1" t="s">
        <v>733</v>
      </c>
      <c r="B734" s="3">
        <f>COUNTIF(PEDIDOS!$A:$A,FORNECEDOR!A734)</f>
        <v>0</v>
      </c>
      <c r="C734" s="3" t="e">
        <f>INDEX(PEDIDOS!$A:$D,MATCH(FORNECEDOR!A734,PEDIDOS!$A:$A,0),2)</f>
        <v>#N/A</v>
      </c>
      <c r="D734" s="3" t="e">
        <f>INDEX(PEDIDOS!$A:$D,MATCH(FORNECEDOR!A734,PEDIDOS!$A:$A,0),3)</f>
        <v>#N/A</v>
      </c>
      <c r="E734" s="3" t="e">
        <f>INDEX(PEDIDOS!$A:$D,MATCH(FORNECEDOR!A734,PEDIDOS!$A:$A,0),4)</f>
        <v>#N/A</v>
      </c>
    </row>
    <row r="735" spans="1:5" hidden="1" x14ac:dyDescent="0.25">
      <c r="A735" s="1" t="s">
        <v>734</v>
      </c>
      <c r="B735" s="3">
        <f>COUNTIF(PEDIDOS!$A:$A,FORNECEDOR!A735)</f>
        <v>0</v>
      </c>
      <c r="C735" s="3" t="e">
        <f>INDEX(PEDIDOS!$A:$D,MATCH(FORNECEDOR!A735,PEDIDOS!$A:$A,0),2)</f>
        <v>#N/A</v>
      </c>
      <c r="D735" s="3" t="e">
        <f>INDEX(PEDIDOS!$A:$D,MATCH(FORNECEDOR!A735,PEDIDOS!$A:$A,0),3)</f>
        <v>#N/A</v>
      </c>
      <c r="E735" s="3" t="e">
        <f>INDEX(PEDIDOS!$A:$D,MATCH(FORNECEDOR!A735,PEDIDOS!$A:$A,0),4)</f>
        <v>#N/A</v>
      </c>
    </row>
    <row r="736" spans="1:5" hidden="1" x14ac:dyDescent="0.25">
      <c r="A736" s="1" t="s">
        <v>735</v>
      </c>
      <c r="B736" s="3">
        <f>COUNTIF(PEDIDOS!$A:$A,FORNECEDOR!A736)</f>
        <v>0</v>
      </c>
      <c r="C736" s="3" t="e">
        <f>INDEX(PEDIDOS!$A:$D,MATCH(FORNECEDOR!A736,PEDIDOS!$A:$A,0),2)</f>
        <v>#N/A</v>
      </c>
      <c r="D736" s="3" t="e">
        <f>INDEX(PEDIDOS!$A:$D,MATCH(FORNECEDOR!A736,PEDIDOS!$A:$A,0),3)</f>
        <v>#N/A</v>
      </c>
      <c r="E736" s="3" t="e">
        <f>INDEX(PEDIDOS!$A:$D,MATCH(FORNECEDOR!A736,PEDIDOS!$A:$A,0),4)</f>
        <v>#N/A</v>
      </c>
    </row>
    <row r="737" spans="1:5" hidden="1" x14ac:dyDescent="0.25">
      <c r="A737" s="1" t="s">
        <v>736</v>
      </c>
      <c r="B737" s="3">
        <f>COUNTIF(PEDIDOS!$A:$A,FORNECEDOR!A737)</f>
        <v>0</v>
      </c>
      <c r="C737" s="3" t="e">
        <f>INDEX(PEDIDOS!$A:$D,MATCH(FORNECEDOR!A737,PEDIDOS!$A:$A,0),2)</f>
        <v>#N/A</v>
      </c>
      <c r="D737" s="3" t="e">
        <f>INDEX(PEDIDOS!$A:$D,MATCH(FORNECEDOR!A737,PEDIDOS!$A:$A,0),3)</f>
        <v>#N/A</v>
      </c>
      <c r="E737" s="3" t="e">
        <f>INDEX(PEDIDOS!$A:$D,MATCH(FORNECEDOR!A737,PEDIDOS!$A:$A,0),4)</f>
        <v>#N/A</v>
      </c>
    </row>
    <row r="738" spans="1:5" hidden="1" x14ac:dyDescent="0.25">
      <c r="A738" s="1" t="s">
        <v>737</v>
      </c>
      <c r="B738" s="3">
        <f>COUNTIF(PEDIDOS!$A:$A,FORNECEDOR!A738)</f>
        <v>0</v>
      </c>
      <c r="C738" s="3" t="e">
        <f>INDEX(PEDIDOS!$A:$D,MATCH(FORNECEDOR!A738,PEDIDOS!$A:$A,0),2)</f>
        <v>#N/A</v>
      </c>
      <c r="D738" s="3" t="e">
        <f>INDEX(PEDIDOS!$A:$D,MATCH(FORNECEDOR!A738,PEDIDOS!$A:$A,0),3)</f>
        <v>#N/A</v>
      </c>
      <c r="E738" s="3" t="e">
        <f>INDEX(PEDIDOS!$A:$D,MATCH(FORNECEDOR!A738,PEDIDOS!$A:$A,0),4)</f>
        <v>#N/A</v>
      </c>
    </row>
    <row r="739" spans="1:5" x14ac:dyDescent="0.25">
      <c r="A739" s="1" t="s">
        <v>738</v>
      </c>
      <c r="B739" s="3">
        <f>COUNTIF(PEDIDOS!$A:$A,FORNECEDOR!A739)</f>
        <v>2</v>
      </c>
      <c r="C739" s="3" t="str">
        <f>INDEX(PEDIDOS!$A:$D,MATCH(FORNECEDOR!A739,PEDIDOS!$A:$A,0),2)</f>
        <v>CD REGIS</v>
      </c>
      <c r="D739" s="3" t="str">
        <f>INDEX(PEDIDOS!$A:$D,MATCH(FORNECEDOR!A739,PEDIDOS!$A:$A,0),3)</f>
        <v>MATRIZ</v>
      </c>
      <c r="E739" s="3" t="str">
        <f>INDEX(PEDIDOS!$A:$D,MATCH(FORNECEDOR!A739,PEDIDOS!$A:$A,0),4)</f>
        <v>CD REGIS</v>
      </c>
    </row>
    <row r="740" spans="1:5" hidden="1" x14ac:dyDescent="0.25">
      <c r="A740" s="1" t="s">
        <v>739</v>
      </c>
      <c r="B740" s="3">
        <f>COUNTIF(PEDIDOS!$A:$A,FORNECEDOR!A740)</f>
        <v>0</v>
      </c>
      <c r="C740" s="3" t="e">
        <f>INDEX(PEDIDOS!$A:$D,MATCH(FORNECEDOR!A740,PEDIDOS!$A:$A,0),2)</f>
        <v>#N/A</v>
      </c>
      <c r="D740" s="3" t="e">
        <f>INDEX(PEDIDOS!$A:$D,MATCH(FORNECEDOR!A740,PEDIDOS!$A:$A,0),3)</f>
        <v>#N/A</v>
      </c>
      <c r="E740" s="3" t="e">
        <f>INDEX(PEDIDOS!$A:$D,MATCH(FORNECEDOR!A740,PEDIDOS!$A:$A,0),4)</f>
        <v>#N/A</v>
      </c>
    </row>
    <row r="741" spans="1:5" hidden="1" x14ac:dyDescent="0.25">
      <c r="A741" s="1" t="s">
        <v>740</v>
      </c>
      <c r="B741" s="3">
        <f>COUNTIF(PEDIDOS!$A:$A,FORNECEDOR!A741)</f>
        <v>0</v>
      </c>
      <c r="C741" s="3" t="e">
        <f>INDEX(PEDIDOS!$A:$D,MATCH(FORNECEDOR!A741,PEDIDOS!$A:$A,0),2)</f>
        <v>#N/A</v>
      </c>
      <c r="D741" s="3" t="e">
        <f>INDEX(PEDIDOS!$A:$D,MATCH(FORNECEDOR!A741,PEDIDOS!$A:$A,0),3)</f>
        <v>#N/A</v>
      </c>
      <c r="E741" s="3" t="e">
        <f>INDEX(PEDIDOS!$A:$D,MATCH(FORNECEDOR!A741,PEDIDOS!$A:$A,0),4)</f>
        <v>#N/A</v>
      </c>
    </row>
    <row r="742" spans="1:5" hidden="1" x14ac:dyDescent="0.25">
      <c r="A742" s="1" t="s">
        <v>741</v>
      </c>
      <c r="B742" s="3">
        <f>COUNTIF(PEDIDOS!$A:$A,FORNECEDOR!A742)</f>
        <v>0</v>
      </c>
      <c r="C742" s="3" t="e">
        <f>INDEX(PEDIDOS!$A:$D,MATCH(FORNECEDOR!A742,PEDIDOS!$A:$A,0),2)</f>
        <v>#N/A</v>
      </c>
      <c r="D742" s="3" t="e">
        <f>INDEX(PEDIDOS!$A:$D,MATCH(FORNECEDOR!A742,PEDIDOS!$A:$A,0),3)</f>
        <v>#N/A</v>
      </c>
      <c r="E742" s="3" t="e">
        <f>INDEX(PEDIDOS!$A:$D,MATCH(FORNECEDOR!A742,PEDIDOS!$A:$A,0),4)</f>
        <v>#N/A</v>
      </c>
    </row>
    <row r="743" spans="1:5" hidden="1" x14ac:dyDescent="0.25">
      <c r="A743" s="1" t="s">
        <v>742</v>
      </c>
      <c r="B743" s="3">
        <f>COUNTIF(PEDIDOS!$A:$A,FORNECEDOR!A743)</f>
        <v>0</v>
      </c>
      <c r="C743" s="3" t="e">
        <f>INDEX(PEDIDOS!$A:$D,MATCH(FORNECEDOR!A743,PEDIDOS!$A:$A,0),2)</f>
        <v>#N/A</v>
      </c>
      <c r="D743" s="3" t="e">
        <f>INDEX(PEDIDOS!$A:$D,MATCH(FORNECEDOR!A743,PEDIDOS!$A:$A,0),3)</f>
        <v>#N/A</v>
      </c>
      <c r="E743" s="3" t="e">
        <f>INDEX(PEDIDOS!$A:$D,MATCH(FORNECEDOR!A743,PEDIDOS!$A:$A,0),4)</f>
        <v>#N/A</v>
      </c>
    </row>
    <row r="744" spans="1:5" hidden="1" x14ac:dyDescent="0.25">
      <c r="A744" s="1" t="s">
        <v>743</v>
      </c>
      <c r="B744" s="3">
        <f>COUNTIF(PEDIDOS!$A:$A,FORNECEDOR!A744)</f>
        <v>0</v>
      </c>
      <c r="C744" s="3" t="e">
        <f>INDEX(PEDIDOS!$A:$D,MATCH(FORNECEDOR!A744,PEDIDOS!$A:$A,0),2)</f>
        <v>#N/A</v>
      </c>
      <c r="D744" s="3" t="e">
        <f>INDEX(PEDIDOS!$A:$D,MATCH(FORNECEDOR!A744,PEDIDOS!$A:$A,0),3)</f>
        <v>#N/A</v>
      </c>
      <c r="E744" s="3" t="e">
        <f>INDEX(PEDIDOS!$A:$D,MATCH(FORNECEDOR!A744,PEDIDOS!$A:$A,0),4)</f>
        <v>#N/A</v>
      </c>
    </row>
    <row r="745" spans="1:5" hidden="1" x14ac:dyDescent="0.25">
      <c r="A745" s="1" t="s">
        <v>744</v>
      </c>
      <c r="B745" s="3">
        <f>COUNTIF(PEDIDOS!$A:$A,FORNECEDOR!A745)</f>
        <v>0</v>
      </c>
      <c r="C745" s="3" t="e">
        <f>INDEX(PEDIDOS!$A:$D,MATCH(FORNECEDOR!A745,PEDIDOS!$A:$A,0),2)</f>
        <v>#N/A</v>
      </c>
      <c r="D745" s="3" t="e">
        <f>INDEX(PEDIDOS!$A:$D,MATCH(FORNECEDOR!A745,PEDIDOS!$A:$A,0),3)</f>
        <v>#N/A</v>
      </c>
      <c r="E745" s="3" t="e">
        <f>INDEX(PEDIDOS!$A:$D,MATCH(FORNECEDOR!A745,PEDIDOS!$A:$A,0),4)</f>
        <v>#N/A</v>
      </c>
    </row>
    <row r="746" spans="1:5" hidden="1" x14ac:dyDescent="0.25">
      <c r="A746" s="1" t="s">
        <v>745</v>
      </c>
      <c r="B746" s="3">
        <f>COUNTIF(PEDIDOS!$A:$A,FORNECEDOR!A746)</f>
        <v>0</v>
      </c>
      <c r="C746" s="3" t="e">
        <f>INDEX(PEDIDOS!$A:$D,MATCH(FORNECEDOR!A746,PEDIDOS!$A:$A,0),2)</f>
        <v>#N/A</v>
      </c>
      <c r="D746" s="3" t="e">
        <f>INDEX(PEDIDOS!$A:$D,MATCH(FORNECEDOR!A746,PEDIDOS!$A:$A,0),3)</f>
        <v>#N/A</v>
      </c>
      <c r="E746" s="3" t="e">
        <f>INDEX(PEDIDOS!$A:$D,MATCH(FORNECEDOR!A746,PEDIDOS!$A:$A,0),4)</f>
        <v>#N/A</v>
      </c>
    </row>
    <row r="747" spans="1:5" hidden="1" x14ac:dyDescent="0.25">
      <c r="A747" s="1" t="s">
        <v>746</v>
      </c>
      <c r="B747" s="3">
        <f>COUNTIF(PEDIDOS!$A:$A,FORNECEDOR!A747)</f>
        <v>0</v>
      </c>
      <c r="C747" s="3" t="e">
        <f>INDEX(PEDIDOS!$A:$D,MATCH(FORNECEDOR!A747,PEDIDOS!$A:$A,0),2)</f>
        <v>#N/A</v>
      </c>
      <c r="D747" s="3" t="e">
        <f>INDEX(PEDIDOS!$A:$D,MATCH(FORNECEDOR!A747,PEDIDOS!$A:$A,0),3)</f>
        <v>#N/A</v>
      </c>
      <c r="E747" s="3" t="e">
        <f>INDEX(PEDIDOS!$A:$D,MATCH(FORNECEDOR!A747,PEDIDOS!$A:$A,0),4)</f>
        <v>#N/A</v>
      </c>
    </row>
    <row r="748" spans="1:5" hidden="1" x14ac:dyDescent="0.25">
      <c r="A748" s="1" t="s">
        <v>747</v>
      </c>
      <c r="B748" s="3">
        <f>COUNTIF(PEDIDOS!$A:$A,FORNECEDOR!A748)</f>
        <v>0</v>
      </c>
      <c r="C748" s="3" t="e">
        <f>INDEX(PEDIDOS!$A:$D,MATCH(FORNECEDOR!A748,PEDIDOS!$A:$A,0),2)</f>
        <v>#N/A</v>
      </c>
      <c r="D748" s="3" t="e">
        <f>INDEX(PEDIDOS!$A:$D,MATCH(FORNECEDOR!A748,PEDIDOS!$A:$A,0),3)</f>
        <v>#N/A</v>
      </c>
      <c r="E748" s="3" t="e">
        <f>INDEX(PEDIDOS!$A:$D,MATCH(FORNECEDOR!A748,PEDIDOS!$A:$A,0),4)</f>
        <v>#N/A</v>
      </c>
    </row>
    <row r="749" spans="1:5" hidden="1" x14ac:dyDescent="0.25">
      <c r="A749" s="1" t="s">
        <v>748</v>
      </c>
      <c r="B749" s="3">
        <f>COUNTIF(PEDIDOS!$A:$A,FORNECEDOR!A749)</f>
        <v>0</v>
      </c>
      <c r="C749" s="3" t="e">
        <f>INDEX(PEDIDOS!$A:$D,MATCH(FORNECEDOR!A749,PEDIDOS!$A:$A,0),2)</f>
        <v>#N/A</v>
      </c>
      <c r="D749" s="3" t="e">
        <f>INDEX(PEDIDOS!$A:$D,MATCH(FORNECEDOR!A749,PEDIDOS!$A:$A,0),3)</f>
        <v>#N/A</v>
      </c>
      <c r="E749" s="3" t="e">
        <f>INDEX(PEDIDOS!$A:$D,MATCH(FORNECEDOR!A749,PEDIDOS!$A:$A,0),4)</f>
        <v>#N/A</v>
      </c>
    </row>
    <row r="750" spans="1:5" hidden="1" x14ac:dyDescent="0.25">
      <c r="A750" s="1" t="s">
        <v>749</v>
      </c>
      <c r="B750" s="3">
        <f>COUNTIF(PEDIDOS!$A:$A,FORNECEDOR!A750)</f>
        <v>0</v>
      </c>
      <c r="C750" s="3" t="e">
        <f>INDEX(PEDIDOS!$A:$D,MATCH(FORNECEDOR!A750,PEDIDOS!$A:$A,0),2)</f>
        <v>#N/A</v>
      </c>
      <c r="D750" s="3" t="e">
        <f>INDEX(PEDIDOS!$A:$D,MATCH(FORNECEDOR!A750,PEDIDOS!$A:$A,0),3)</f>
        <v>#N/A</v>
      </c>
      <c r="E750" s="3" t="e">
        <f>INDEX(PEDIDOS!$A:$D,MATCH(FORNECEDOR!A750,PEDIDOS!$A:$A,0),4)</f>
        <v>#N/A</v>
      </c>
    </row>
    <row r="751" spans="1:5" hidden="1" x14ac:dyDescent="0.25">
      <c r="A751" s="1" t="s">
        <v>750</v>
      </c>
      <c r="B751" s="3">
        <f>COUNTIF(PEDIDOS!$A:$A,FORNECEDOR!A751)</f>
        <v>0</v>
      </c>
      <c r="C751" s="3" t="e">
        <f>INDEX(PEDIDOS!$A:$D,MATCH(FORNECEDOR!A751,PEDIDOS!$A:$A,0),2)</f>
        <v>#N/A</v>
      </c>
      <c r="D751" s="3" t="e">
        <f>INDEX(PEDIDOS!$A:$D,MATCH(FORNECEDOR!A751,PEDIDOS!$A:$A,0),3)</f>
        <v>#N/A</v>
      </c>
      <c r="E751" s="3" t="e">
        <f>INDEX(PEDIDOS!$A:$D,MATCH(FORNECEDOR!A751,PEDIDOS!$A:$A,0),4)</f>
        <v>#N/A</v>
      </c>
    </row>
    <row r="752" spans="1:5" x14ac:dyDescent="0.25">
      <c r="A752" s="1" t="s">
        <v>751</v>
      </c>
      <c r="B752" s="3">
        <f>COUNTIF(PEDIDOS!$A:$A,FORNECEDOR!A752)</f>
        <v>1</v>
      </c>
      <c r="C752" s="3" t="str">
        <f>INDEX(PEDIDOS!$A:$D,MATCH(FORNECEDOR!A752,PEDIDOS!$A:$A,0),2)</f>
        <v>MATRIZ</v>
      </c>
      <c r="D752" s="3" t="str">
        <f>INDEX(PEDIDOS!$A:$D,MATCH(FORNECEDOR!A752,PEDIDOS!$A:$A,0),3)</f>
        <v>MATRIZ</v>
      </c>
      <c r="E752" s="3" t="str">
        <f>INDEX(PEDIDOS!$A:$D,MATCH(FORNECEDOR!A752,PEDIDOS!$A:$A,0),4)</f>
        <v>MATRIZ</v>
      </c>
    </row>
    <row r="753" spans="1:5" x14ac:dyDescent="0.25">
      <c r="A753" s="1" t="s">
        <v>752</v>
      </c>
      <c r="B753" s="3">
        <f>COUNTIF(PEDIDOS!$A:$A,FORNECEDOR!A753)</f>
        <v>1</v>
      </c>
      <c r="C753" s="3" t="str">
        <f>INDEX(PEDIDOS!$A:$D,MATCH(FORNECEDOR!A753,PEDIDOS!$A:$A,0),2)</f>
        <v>SP - PARI</v>
      </c>
      <c r="D753" s="3" t="str">
        <f>INDEX(PEDIDOS!$A:$D,MATCH(FORNECEDOR!A753,PEDIDOS!$A:$A,0),3)</f>
        <v>SP - PARI</v>
      </c>
      <c r="E753" s="3" t="str">
        <f>INDEX(PEDIDOS!$A:$D,MATCH(FORNECEDOR!A753,PEDIDOS!$A:$A,0),4)</f>
        <v>SP - PARI</v>
      </c>
    </row>
    <row r="754" spans="1:5" x14ac:dyDescent="0.25">
      <c r="A754" s="1" t="s">
        <v>753</v>
      </c>
      <c r="B754" s="3">
        <f>COUNTIF(PEDIDOS!$A:$A,FORNECEDOR!A754)</f>
        <v>1</v>
      </c>
      <c r="C754" s="3" t="str">
        <f>INDEX(PEDIDOS!$A:$D,MATCH(FORNECEDOR!A754,PEDIDOS!$A:$A,0),2)</f>
        <v>SP - PARI</v>
      </c>
      <c r="D754" s="3" t="str">
        <f>INDEX(PEDIDOS!$A:$D,MATCH(FORNECEDOR!A754,PEDIDOS!$A:$A,0),3)</f>
        <v>SP - PARI</v>
      </c>
      <c r="E754" s="3" t="str">
        <f>INDEX(PEDIDOS!$A:$D,MATCH(FORNECEDOR!A754,PEDIDOS!$A:$A,0),4)</f>
        <v>SP - PARI</v>
      </c>
    </row>
    <row r="755" spans="1:5" hidden="1" x14ac:dyDescent="0.25">
      <c r="A755" s="1" t="s">
        <v>754</v>
      </c>
      <c r="B755" s="3">
        <f>COUNTIF(PEDIDOS!$A:$A,FORNECEDOR!A755)</f>
        <v>0</v>
      </c>
      <c r="C755" s="3" t="e">
        <f>INDEX(PEDIDOS!$A:$D,MATCH(FORNECEDOR!A755,PEDIDOS!$A:$A,0),2)</f>
        <v>#N/A</v>
      </c>
      <c r="D755" s="3" t="e">
        <f>INDEX(PEDIDOS!$A:$D,MATCH(FORNECEDOR!A755,PEDIDOS!$A:$A,0),3)</f>
        <v>#N/A</v>
      </c>
      <c r="E755" s="3" t="e">
        <f>INDEX(PEDIDOS!$A:$D,MATCH(FORNECEDOR!A755,PEDIDOS!$A:$A,0),4)</f>
        <v>#N/A</v>
      </c>
    </row>
    <row r="756" spans="1:5" hidden="1" x14ac:dyDescent="0.25">
      <c r="A756" s="1" t="s">
        <v>755</v>
      </c>
      <c r="B756" s="3">
        <f>COUNTIF(PEDIDOS!$A:$A,FORNECEDOR!A756)</f>
        <v>0</v>
      </c>
      <c r="C756" s="3" t="e">
        <f>INDEX(PEDIDOS!$A:$D,MATCH(FORNECEDOR!A756,PEDIDOS!$A:$A,0),2)</f>
        <v>#N/A</v>
      </c>
      <c r="D756" s="3" t="e">
        <f>INDEX(PEDIDOS!$A:$D,MATCH(FORNECEDOR!A756,PEDIDOS!$A:$A,0),3)</f>
        <v>#N/A</v>
      </c>
      <c r="E756" s="3" t="e">
        <f>INDEX(PEDIDOS!$A:$D,MATCH(FORNECEDOR!A756,PEDIDOS!$A:$A,0),4)</f>
        <v>#N/A</v>
      </c>
    </row>
    <row r="757" spans="1:5" hidden="1" x14ac:dyDescent="0.25">
      <c r="A757" s="1" t="s">
        <v>756</v>
      </c>
      <c r="B757" s="3">
        <f>COUNTIF(PEDIDOS!$A:$A,FORNECEDOR!A757)</f>
        <v>0</v>
      </c>
      <c r="C757" s="3" t="e">
        <f>INDEX(PEDIDOS!$A:$D,MATCH(FORNECEDOR!A757,PEDIDOS!$A:$A,0),2)</f>
        <v>#N/A</v>
      </c>
      <c r="D757" s="3" t="e">
        <f>INDEX(PEDIDOS!$A:$D,MATCH(FORNECEDOR!A757,PEDIDOS!$A:$A,0),3)</f>
        <v>#N/A</v>
      </c>
      <c r="E757" s="3" t="e">
        <f>INDEX(PEDIDOS!$A:$D,MATCH(FORNECEDOR!A757,PEDIDOS!$A:$A,0),4)</f>
        <v>#N/A</v>
      </c>
    </row>
    <row r="758" spans="1:5" hidden="1" x14ac:dyDescent="0.25">
      <c r="A758" s="1" t="s">
        <v>757</v>
      </c>
      <c r="B758" s="3">
        <f>COUNTIF(PEDIDOS!$A:$A,FORNECEDOR!A758)</f>
        <v>0</v>
      </c>
      <c r="C758" s="3" t="e">
        <f>INDEX(PEDIDOS!$A:$D,MATCH(FORNECEDOR!A758,PEDIDOS!$A:$A,0),2)</f>
        <v>#N/A</v>
      </c>
      <c r="D758" s="3" t="e">
        <f>INDEX(PEDIDOS!$A:$D,MATCH(FORNECEDOR!A758,PEDIDOS!$A:$A,0),3)</f>
        <v>#N/A</v>
      </c>
      <c r="E758" s="3" t="e">
        <f>INDEX(PEDIDOS!$A:$D,MATCH(FORNECEDOR!A758,PEDIDOS!$A:$A,0),4)</f>
        <v>#N/A</v>
      </c>
    </row>
    <row r="759" spans="1:5" hidden="1" x14ac:dyDescent="0.25">
      <c r="A759" s="1" t="s">
        <v>758</v>
      </c>
      <c r="B759" s="3">
        <f>COUNTIF(PEDIDOS!$A:$A,FORNECEDOR!A759)</f>
        <v>0</v>
      </c>
      <c r="C759" s="3" t="e">
        <f>INDEX(PEDIDOS!$A:$D,MATCH(FORNECEDOR!A759,PEDIDOS!$A:$A,0),2)</f>
        <v>#N/A</v>
      </c>
      <c r="D759" s="3" t="e">
        <f>INDEX(PEDIDOS!$A:$D,MATCH(FORNECEDOR!A759,PEDIDOS!$A:$A,0),3)</f>
        <v>#N/A</v>
      </c>
      <c r="E759" s="3" t="e">
        <f>INDEX(PEDIDOS!$A:$D,MATCH(FORNECEDOR!A759,PEDIDOS!$A:$A,0),4)</f>
        <v>#N/A</v>
      </c>
    </row>
    <row r="760" spans="1:5" hidden="1" x14ac:dyDescent="0.25">
      <c r="A760" s="1" t="s">
        <v>759</v>
      </c>
      <c r="B760" s="3">
        <f>COUNTIF(PEDIDOS!$A:$A,FORNECEDOR!A760)</f>
        <v>0</v>
      </c>
      <c r="C760" s="3" t="e">
        <f>INDEX(PEDIDOS!$A:$D,MATCH(FORNECEDOR!A760,PEDIDOS!$A:$A,0),2)</f>
        <v>#N/A</v>
      </c>
      <c r="D760" s="3" t="e">
        <f>INDEX(PEDIDOS!$A:$D,MATCH(FORNECEDOR!A760,PEDIDOS!$A:$A,0),3)</f>
        <v>#N/A</v>
      </c>
      <c r="E760" s="3" t="e">
        <f>INDEX(PEDIDOS!$A:$D,MATCH(FORNECEDOR!A760,PEDIDOS!$A:$A,0),4)</f>
        <v>#N/A</v>
      </c>
    </row>
    <row r="761" spans="1:5" hidden="1" x14ac:dyDescent="0.25">
      <c r="A761" s="1" t="s">
        <v>760</v>
      </c>
      <c r="B761" s="3">
        <f>COUNTIF(PEDIDOS!$A:$A,FORNECEDOR!A761)</f>
        <v>0</v>
      </c>
      <c r="C761" s="3" t="e">
        <f>INDEX(PEDIDOS!$A:$D,MATCH(FORNECEDOR!A761,PEDIDOS!$A:$A,0),2)</f>
        <v>#N/A</v>
      </c>
      <c r="D761" s="3" t="e">
        <f>INDEX(PEDIDOS!$A:$D,MATCH(FORNECEDOR!A761,PEDIDOS!$A:$A,0),3)</f>
        <v>#N/A</v>
      </c>
      <c r="E761" s="3" t="e">
        <f>INDEX(PEDIDOS!$A:$D,MATCH(FORNECEDOR!A761,PEDIDOS!$A:$A,0),4)</f>
        <v>#N/A</v>
      </c>
    </row>
    <row r="762" spans="1:5" x14ac:dyDescent="0.25">
      <c r="A762" s="1" t="s">
        <v>761</v>
      </c>
      <c r="B762" s="3">
        <f>COUNTIF(PEDIDOS!$A:$A,FORNECEDOR!A762)</f>
        <v>3</v>
      </c>
      <c r="C762" s="3" t="str">
        <f>INDEX(PEDIDOS!$A:$D,MATCH(FORNECEDOR!A762,PEDIDOS!$A:$A,0),2)</f>
        <v>CD REGIS</v>
      </c>
      <c r="D762" s="3" t="str">
        <f>INDEX(PEDIDOS!$A:$D,MATCH(FORNECEDOR!A762,PEDIDOS!$A:$A,0),3)</f>
        <v>CD REGIS</v>
      </c>
      <c r="E762" s="3" t="str">
        <f>INDEX(PEDIDOS!$A:$D,MATCH(FORNECEDOR!A762,PEDIDOS!$A:$A,0),4)</f>
        <v>CD REGIS</v>
      </c>
    </row>
    <row r="763" spans="1:5" hidden="1" x14ac:dyDescent="0.25">
      <c r="A763" s="1" t="s">
        <v>762</v>
      </c>
      <c r="B763" s="3">
        <f>COUNTIF(PEDIDOS!$A:$A,FORNECEDOR!A763)</f>
        <v>0</v>
      </c>
      <c r="C763" s="3" t="e">
        <f>INDEX(PEDIDOS!$A:$D,MATCH(FORNECEDOR!A763,PEDIDOS!$A:$A,0),2)</f>
        <v>#N/A</v>
      </c>
      <c r="D763" s="3" t="e">
        <f>INDEX(PEDIDOS!$A:$D,MATCH(FORNECEDOR!A763,PEDIDOS!$A:$A,0),3)</f>
        <v>#N/A</v>
      </c>
      <c r="E763" s="3" t="e">
        <f>INDEX(PEDIDOS!$A:$D,MATCH(FORNECEDOR!A763,PEDIDOS!$A:$A,0),4)</f>
        <v>#N/A</v>
      </c>
    </row>
    <row r="764" spans="1:5" x14ac:dyDescent="0.25">
      <c r="A764" s="1" t="s">
        <v>763</v>
      </c>
      <c r="B764" s="3">
        <f>COUNTIF(PEDIDOS!$A:$A,FORNECEDOR!A764)</f>
        <v>1</v>
      </c>
      <c r="C764" s="3" t="str">
        <f>INDEX(PEDIDOS!$A:$D,MATCH(FORNECEDOR!A764,PEDIDOS!$A:$A,0),2)</f>
        <v>SP - PARI</v>
      </c>
      <c r="D764" s="3" t="str">
        <f>INDEX(PEDIDOS!$A:$D,MATCH(FORNECEDOR!A764,PEDIDOS!$A:$A,0),3)</f>
        <v>SP - PARI</v>
      </c>
      <c r="E764" s="3" t="str">
        <f>INDEX(PEDIDOS!$A:$D,MATCH(FORNECEDOR!A764,PEDIDOS!$A:$A,0),4)</f>
        <v>SP - PARI</v>
      </c>
    </row>
    <row r="765" spans="1:5" hidden="1" x14ac:dyDescent="0.25">
      <c r="A765" s="1" t="s">
        <v>764</v>
      </c>
      <c r="B765" s="3">
        <f>COUNTIF(PEDIDOS!$A:$A,FORNECEDOR!A765)</f>
        <v>0</v>
      </c>
      <c r="C765" s="3" t="e">
        <f>INDEX(PEDIDOS!$A:$D,MATCH(FORNECEDOR!A765,PEDIDOS!$A:$A,0),2)</f>
        <v>#N/A</v>
      </c>
      <c r="D765" s="3" t="e">
        <f>INDEX(PEDIDOS!$A:$D,MATCH(FORNECEDOR!A765,PEDIDOS!$A:$A,0),3)</f>
        <v>#N/A</v>
      </c>
      <c r="E765" s="3" t="e">
        <f>INDEX(PEDIDOS!$A:$D,MATCH(FORNECEDOR!A765,PEDIDOS!$A:$A,0),4)</f>
        <v>#N/A</v>
      </c>
    </row>
    <row r="766" spans="1:5" x14ac:dyDescent="0.25">
      <c r="A766" s="1" t="s">
        <v>765</v>
      </c>
      <c r="B766" s="3">
        <f>COUNTIF(PEDIDOS!$A:$A,FORNECEDOR!A766)</f>
        <v>1</v>
      </c>
      <c r="C766" s="3" t="str">
        <f>INDEX(PEDIDOS!$A:$D,MATCH(FORNECEDOR!A766,PEDIDOS!$A:$A,0),2)</f>
        <v>ANPPLA</v>
      </c>
      <c r="D766" s="3" t="str">
        <f>INDEX(PEDIDOS!$A:$D,MATCH(FORNECEDOR!A766,PEDIDOS!$A:$A,0),3)</f>
        <v>ANPPLA</v>
      </c>
      <c r="E766" s="3" t="str">
        <f>INDEX(PEDIDOS!$A:$D,MATCH(FORNECEDOR!A766,PEDIDOS!$A:$A,0),4)</f>
        <v>ANPPLA</v>
      </c>
    </row>
    <row r="767" spans="1:5" hidden="1" x14ac:dyDescent="0.25">
      <c r="A767" s="1" t="s">
        <v>766</v>
      </c>
      <c r="B767" s="3">
        <f>COUNTIF(PEDIDOS!$A:$A,FORNECEDOR!A767)</f>
        <v>0</v>
      </c>
      <c r="C767" s="3" t="e">
        <f>INDEX(PEDIDOS!$A:$D,MATCH(FORNECEDOR!A767,PEDIDOS!$A:$A,0),2)</f>
        <v>#N/A</v>
      </c>
      <c r="D767" s="3" t="e">
        <f>INDEX(PEDIDOS!$A:$D,MATCH(FORNECEDOR!A767,PEDIDOS!$A:$A,0),3)</f>
        <v>#N/A</v>
      </c>
      <c r="E767" s="3" t="e">
        <f>INDEX(PEDIDOS!$A:$D,MATCH(FORNECEDOR!A767,PEDIDOS!$A:$A,0),4)</f>
        <v>#N/A</v>
      </c>
    </row>
    <row r="768" spans="1:5" hidden="1" x14ac:dyDescent="0.25">
      <c r="A768" s="1" t="s">
        <v>767</v>
      </c>
      <c r="B768" s="3">
        <f>COUNTIF(PEDIDOS!$A:$A,FORNECEDOR!A768)</f>
        <v>0</v>
      </c>
      <c r="C768" s="3" t="e">
        <f>INDEX(PEDIDOS!$A:$D,MATCH(FORNECEDOR!A768,PEDIDOS!$A:$A,0),2)</f>
        <v>#N/A</v>
      </c>
      <c r="D768" s="3" t="e">
        <f>INDEX(PEDIDOS!$A:$D,MATCH(FORNECEDOR!A768,PEDIDOS!$A:$A,0),3)</f>
        <v>#N/A</v>
      </c>
      <c r="E768" s="3" t="e">
        <f>INDEX(PEDIDOS!$A:$D,MATCH(FORNECEDOR!A768,PEDIDOS!$A:$A,0),4)</f>
        <v>#N/A</v>
      </c>
    </row>
    <row r="769" spans="1:5" hidden="1" x14ac:dyDescent="0.25">
      <c r="A769" s="1" t="s">
        <v>768</v>
      </c>
      <c r="B769" s="3">
        <f>COUNTIF(PEDIDOS!$A:$A,FORNECEDOR!A769)</f>
        <v>0</v>
      </c>
      <c r="C769" s="3" t="e">
        <f>INDEX(PEDIDOS!$A:$D,MATCH(FORNECEDOR!A769,PEDIDOS!$A:$A,0),2)</f>
        <v>#N/A</v>
      </c>
      <c r="D769" s="3" t="e">
        <f>INDEX(PEDIDOS!$A:$D,MATCH(FORNECEDOR!A769,PEDIDOS!$A:$A,0),3)</f>
        <v>#N/A</v>
      </c>
      <c r="E769" s="3" t="e">
        <f>INDEX(PEDIDOS!$A:$D,MATCH(FORNECEDOR!A769,PEDIDOS!$A:$A,0),4)</f>
        <v>#N/A</v>
      </c>
    </row>
    <row r="770" spans="1:5" x14ac:dyDescent="0.25">
      <c r="A770" s="1" t="s">
        <v>769</v>
      </c>
      <c r="B770" s="3">
        <f>COUNTIF(PEDIDOS!$A:$A,FORNECEDOR!A770)</f>
        <v>1</v>
      </c>
      <c r="C770" s="3" t="str">
        <f>INDEX(PEDIDOS!$A:$D,MATCH(FORNECEDOR!A770,PEDIDOS!$A:$A,0),2)</f>
        <v>CD REGIS</v>
      </c>
      <c r="D770" s="3" t="str">
        <f>INDEX(PEDIDOS!$A:$D,MATCH(FORNECEDOR!A770,PEDIDOS!$A:$A,0),3)</f>
        <v>CD REGIS</v>
      </c>
      <c r="E770" s="3" t="str">
        <f>INDEX(PEDIDOS!$A:$D,MATCH(FORNECEDOR!A770,PEDIDOS!$A:$A,0),4)</f>
        <v>CD REGIS</v>
      </c>
    </row>
    <row r="771" spans="1:5" hidden="1" x14ac:dyDescent="0.25">
      <c r="A771" s="1" t="s">
        <v>770</v>
      </c>
      <c r="B771" s="3">
        <f>COUNTIF(PEDIDOS!$A:$A,FORNECEDOR!A771)</f>
        <v>0</v>
      </c>
      <c r="C771" s="3" t="e">
        <f>INDEX(PEDIDOS!$A:$D,MATCH(FORNECEDOR!A771,PEDIDOS!$A:$A,0),2)</f>
        <v>#N/A</v>
      </c>
      <c r="D771" s="3" t="e">
        <f>INDEX(PEDIDOS!$A:$D,MATCH(FORNECEDOR!A771,PEDIDOS!$A:$A,0),3)</f>
        <v>#N/A</v>
      </c>
      <c r="E771" s="3" t="e">
        <f>INDEX(PEDIDOS!$A:$D,MATCH(FORNECEDOR!A771,PEDIDOS!$A:$A,0),4)</f>
        <v>#N/A</v>
      </c>
    </row>
    <row r="772" spans="1:5" hidden="1" x14ac:dyDescent="0.25">
      <c r="A772" s="1" t="s">
        <v>771</v>
      </c>
      <c r="B772" s="3">
        <f>COUNTIF(PEDIDOS!$A:$A,FORNECEDOR!A772)</f>
        <v>0</v>
      </c>
      <c r="C772" s="3" t="e">
        <f>INDEX(PEDIDOS!$A:$D,MATCH(FORNECEDOR!A772,PEDIDOS!$A:$A,0),2)</f>
        <v>#N/A</v>
      </c>
      <c r="D772" s="3" t="e">
        <f>INDEX(PEDIDOS!$A:$D,MATCH(FORNECEDOR!A772,PEDIDOS!$A:$A,0),3)</f>
        <v>#N/A</v>
      </c>
      <c r="E772" s="3" t="e">
        <f>INDEX(PEDIDOS!$A:$D,MATCH(FORNECEDOR!A772,PEDIDOS!$A:$A,0),4)</f>
        <v>#N/A</v>
      </c>
    </row>
    <row r="773" spans="1:5" hidden="1" x14ac:dyDescent="0.25">
      <c r="A773" s="1" t="s">
        <v>772</v>
      </c>
      <c r="B773" s="3">
        <f>COUNTIF(PEDIDOS!$A:$A,FORNECEDOR!A773)</f>
        <v>0</v>
      </c>
      <c r="C773" s="3" t="e">
        <f>INDEX(PEDIDOS!$A:$D,MATCH(FORNECEDOR!A773,PEDIDOS!$A:$A,0),2)</f>
        <v>#N/A</v>
      </c>
      <c r="D773" s="3" t="e">
        <f>INDEX(PEDIDOS!$A:$D,MATCH(FORNECEDOR!A773,PEDIDOS!$A:$A,0),3)</f>
        <v>#N/A</v>
      </c>
      <c r="E773" s="3" t="e">
        <f>INDEX(PEDIDOS!$A:$D,MATCH(FORNECEDOR!A773,PEDIDOS!$A:$A,0),4)</f>
        <v>#N/A</v>
      </c>
    </row>
    <row r="774" spans="1:5" hidden="1" x14ac:dyDescent="0.25">
      <c r="A774" s="1" t="s">
        <v>773</v>
      </c>
      <c r="B774" s="3">
        <f>COUNTIF(PEDIDOS!$A:$A,FORNECEDOR!A774)</f>
        <v>0</v>
      </c>
      <c r="C774" s="3" t="e">
        <f>INDEX(PEDIDOS!$A:$D,MATCH(FORNECEDOR!A774,PEDIDOS!$A:$A,0),2)</f>
        <v>#N/A</v>
      </c>
      <c r="D774" s="3" t="e">
        <f>INDEX(PEDIDOS!$A:$D,MATCH(FORNECEDOR!A774,PEDIDOS!$A:$A,0),3)</f>
        <v>#N/A</v>
      </c>
      <c r="E774" s="3" t="e">
        <f>INDEX(PEDIDOS!$A:$D,MATCH(FORNECEDOR!A774,PEDIDOS!$A:$A,0),4)</f>
        <v>#N/A</v>
      </c>
    </row>
    <row r="775" spans="1:5" hidden="1" x14ac:dyDescent="0.25">
      <c r="A775" s="1" t="s">
        <v>774</v>
      </c>
      <c r="B775" s="3">
        <f>COUNTIF(PEDIDOS!$A:$A,FORNECEDOR!A775)</f>
        <v>0</v>
      </c>
      <c r="C775" s="3" t="e">
        <f>INDEX(PEDIDOS!$A:$D,MATCH(FORNECEDOR!A775,PEDIDOS!$A:$A,0),2)</f>
        <v>#N/A</v>
      </c>
      <c r="D775" s="3" t="e">
        <f>INDEX(PEDIDOS!$A:$D,MATCH(FORNECEDOR!A775,PEDIDOS!$A:$A,0),3)</f>
        <v>#N/A</v>
      </c>
      <c r="E775" s="3" t="e">
        <f>INDEX(PEDIDOS!$A:$D,MATCH(FORNECEDOR!A775,PEDIDOS!$A:$A,0),4)</f>
        <v>#N/A</v>
      </c>
    </row>
    <row r="776" spans="1:5" hidden="1" x14ac:dyDescent="0.25">
      <c r="A776" s="1" t="s">
        <v>775</v>
      </c>
      <c r="B776" s="3">
        <f>COUNTIF(PEDIDOS!$A:$A,FORNECEDOR!A776)</f>
        <v>0</v>
      </c>
      <c r="C776" s="3" t="e">
        <f>INDEX(PEDIDOS!$A:$D,MATCH(FORNECEDOR!A776,PEDIDOS!$A:$A,0),2)</f>
        <v>#N/A</v>
      </c>
      <c r="D776" s="3" t="e">
        <f>INDEX(PEDIDOS!$A:$D,MATCH(FORNECEDOR!A776,PEDIDOS!$A:$A,0),3)</f>
        <v>#N/A</v>
      </c>
      <c r="E776" s="3" t="e">
        <f>INDEX(PEDIDOS!$A:$D,MATCH(FORNECEDOR!A776,PEDIDOS!$A:$A,0),4)</f>
        <v>#N/A</v>
      </c>
    </row>
    <row r="777" spans="1:5" x14ac:dyDescent="0.25">
      <c r="A777" s="1" t="s">
        <v>776</v>
      </c>
      <c r="B777" s="3">
        <f>COUNTIF(PEDIDOS!$A:$A,FORNECEDOR!A777)</f>
        <v>2</v>
      </c>
      <c r="C777" s="3" t="str">
        <f>INDEX(PEDIDOS!$A:$D,MATCH(FORNECEDOR!A777,PEDIDOS!$A:$A,0),2)</f>
        <v>MATRIZ</v>
      </c>
      <c r="D777" s="3" t="str">
        <f>INDEX(PEDIDOS!$A:$D,MATCH(FORNECEDOR!A777,PEDIDOS!$A:$A,0),3)</f>
        <v>MATRIZ</v>
      </c>
      <c r="E777" s="3" t="str">
        <f>INDEX(PEDIDOS!$A:$D,MATCH(FORNECEDOR!A777,PEDIDOS!$A:$A,0),4)</f>
        <v>MATRIZ</v>
      </c>
    </row>
    <row r="778" spans="1:5" x14ac:dyDescent="0.25">
      <c r="A778" s="1" t="s">
        <v>777</v>
      </c>
      <c r="B778" s="3">
        <f>COUNTIF(PEDIDOS!$A:$A,FORNECEDOR!A778)</f>
        <v>1</v>
      </c>
      <c r="C778" s="3" t="str">
        <f>INDEX(PEDIDOS!$A:$D,MATCH(FORNECEDOR!A778,PEDIDOS!$A:$A,0),2)</f>
        <v>CD NAVEGANTES</v>
      </c>
      <c r="D778" s="3" t="str">
        <f>INDEX(PEDIDOS!$A:$D,MATCH(FORNECEDOR!A778,PEDIDOS!$A:$A,0),3)</f>
        <v>MATRIZ</v>
      </c>
      <c r="E778" s="3" t="str">
        <f>INDEX(PEDIDOS!$A:$D,MATCH(FORNECEDOR!A778,PEDIDOS!$A:$A,0),4)</f>
        <v>CD NAVEGANTES</v>
      </c>
    </row>
    <row r="779" spans="1:5" hidden="1" x14ac:dyDescent="0.25">
      <c r="A779" s="1" t="s">
        <v>778</v>
      </c>
      <c r="B779" s="3">
        <f>COUNTIF(PEDIDOS!$A:$A,FORNECEDOR!A779)</f>
        <v>0</v>
      </c>
      <c r="C779" s="3" t="e">
        <f>INDEX(PEDIDOS!$A:$D,MATCH(FORNECEDOR!A779,PEDIDOS!$A:$A,0),2)</f>
        <v>#N/A</v>
      </c>
      <c r="D779" s="3" t="e">
        <f>INDEX(PEDIDOS!$A:$D,MATCH(FORNECEDOR!A779,PEDIDOS!$A:$A,0),3)</f>
        <v>#N/A</v>
      </c>
      <c r="E779" s="3" t="e">
        <f>INDEX(PEDIDOS!$A:$D,MATCH(FORNECEDOR!A779,PEDIDOS!$A:$A,0),4)</f>
        <v>#N/A</v>
      </c>
    </row>
    <row r="780" spans="1:5" hidden="1" x14ac:dyDescent="0.25">
      <c r="A780" s="1" t="s">
        <v>779</v>
      </c>
      <c r="B780" s="3">
        <f>COUNTIF(PEDIDOS!$A:$A,FORNECEDOR!A780)</f>
        <v>0</v>
      </c>
      <c r="C780" s="3" t="e">
        <f>INDEX(PEDIDOS!$A:$D,MATCH(FORNECEDOR!A780,PEDIDOS!$A:$A,0),2)</f>
        <v>#N/A</v>
      </c>
      <c r="D780" s="3" t="e">
        <f>INDEX(PEDIDOS!$A:$D,MATCH(FORNECEDOR!A780,PEDIDOS!$A:$A,0),3)</f>
        <v>#N/A</v>
      </c>
      <c r="E780" s="3" t="e">
        <f>INDEX(PEDIDOS!$A:$D,MATCH(FORNECEDOR!A780,PEDIDOS!$A:$A,0),4)</f>
        <v>#N/A</v>
      </c>
    </row>
    <row r="781" spans="1:5" hidden="1" x14ac:dyDescent="0.25">
      <c r="A781" s="1" t="s">
        <v>780</v>
      </c>
      <c r="B781" s="3">
        <f>COUNTIF(PEDIDOS!$A:$A,FORNECEDOR!A781)</f>
        <v>0</v>
      </c>
      <c r="C781" s="3" t="e">
        <f>INDEX(PEDIDOS!$A:$D,MATCH(FORNECEDOR!A781,PEDIDOS!$A:$A,0),2)</f>
        <v>#N/A</v>
      </c>
      <c r="D781" s="3" t="e">
        <f>INDEX(PEDIDOS!$A:$D,MATCH(FORNECEDOR!A781,PEDIDOS!$A:$A,0),3)</f>
        <v>#N/A</v>
      </c>
      <c r="E781" s="3" t="e">
        <f>INDEX(PEDIDOS!$A:$D,MATCH(FORNECEDOR!A781,PEDIDOS!$A:$A,0),4)</f>
        <v>#N/A</v>
      </c>
    </row>
    <row r="782" spans="1:5" hidden="1" x14ac:dyDescent="0.25">
      <c r="A782" s="1" t="s">
        <v>781</v>
      </c>
      <c r="B782" s="3">
        <f>COUNTIF(PEDIDOS!$A:$A,FORNECEDOR!A782)</f>
        <v>0</v>
      </c>
      <c r="C782" s="3" t="e">
        <f>INDEX(PEDIDOS!$A:$D,MATCH(FORNECEDOR!A782,PEDIDOS!$A:$A,0),2)</f>
        <v>#N/A</v>
      </c>
      <c r="D782" s="3" t="e">
        <f>INDEX(PEDIDOS!$A:$D,MATCH(FORNECEDOR!A782,PEDIDOS!$A:$A,0),3)</f>
        <v>#N/A</v>
      </c>
      <c r="E782" s="3" t="e">
        <f>INDEX(PEDIDOS!$A:$D,MATCH(FORNECEDOR!A782,PEDIDOS!$A:$A,0),4)</f>
        <v>#N/A</v>
      </c>
    </row>
    <row r="783" spans="1:5" hidden="1" x14ac:dyDescent="0.25">
      <c r="A783" s="1" t="s">
        <v>782</v>
      </c>
      <c r="B783" s="3">
        <f>COUNTIF(PEDIDOS!$A:$A,FORNECEDOR!A783)</f>
        <v>0</v>
      </c>
      <c r="C783" s="3" t="e">
        <f>INDEX(PEDIDOS!$A:$D,MATCH(FORNECEDOR!A783,PEDIDOS!$A:$A,0),2)</f>
        <v>#N/A</v>
      </c>
      <c r="D783" s="3" t="e">
        <f>INDEX(PEDIDOS!$A:$D,MATCH(FORNECEDOR!A783,PEDIDOS!$A:$A,0),3)</f>
        <v>#N/A</v>
      </c>
      <c r="E783" s="3" t="e">
        <f>INDEX(PEDIDOS!$A:$D,MATCH(FORNECEDOR!A783,PEDIDOS!$A:$A,0),4)</f>
        <v>#N/A</v>
      </c>
    </row>
    <row r="784" spans="1:5" x14ac:dyDescent="0.25">
      <c r="A784" s="1" t="s">
        <v>783</v>
      </c>
      <c r="B784" s="3">
        <f>COUNTIF(PEDIDOS!$A:$A,FORNECEDOR!A784)</f>
        <v>2</v>
      </c>
      <c r="C784" s="3" t="str">
        <f>INDEX(PEDIDOS!$A:$D,MATCH(FORNECEDOR!A784,PEDIDOS!$A:$A,0),2)</f>
        <v>CD REGIS</v>
      </c>
      <c r="D784" s="3" t="str">
        <f>INDEX(PEDIDOS!$A:$D,MATCH(FORNECEDOR!A784,PEDIDOS!$A:$A,0),3)</f>
        <v>CD REGIS</v>
      </c>
      <c r="E784" s="3" t="str">
        <f>INDEX(PEDIDOS!$A:$D,MATCH(FORNECEDOR!A784,PEDIDOS!$A:$A,0),4)</f>
        <v>CD REGIS</v>
      </c>
    </row>
    <row r="785" spans="1:5" x14ac:dyDescent="0.25">
      <c r="A785" s="1" t="s">
        <v>784</v>
      </c>
      <c r="B785" s="3">
        <f>COUNTIF(PEDIDOS!$A:$A,FORNECEDOR!A785)</f>
        <v>1</v>
      </c>
      <c r="C785" s="3" t="str">
        <f>INDEX(PEDIDOS!$A:$D,MATCH(FORNECEDOR!A785,PEDIDOS!$A:$A,0),2)</f>
        <v>SP - PARI</v>
      </c>
      <c r="D785" s="3" t="str">
        <f>INDEX(PEDIDOS!$A:$D,MATCH(FORNECEDOR!A785,PEDIDOS!$A:$A,0),3)</f>
        <v>SP - PARI</v>
      </c>
      <c r="E785" s="3" t="str">
        <f>INDEX(PEDIDOS!$A:$D,MATCH(FORNECEDOR!A785,PEDIDOS!$A:$A,0),4)</f>
        <v>SP - PARI</v>
      </c>
    </row>
    <row r="786" spans="1:5" x14ac:dyDescent="0.25">
      <c r="A786" s="1" t="s">
        <v>785</v>
      </c>
      <c r="B786" s="3">
        <f>COUNTIF(PEDIDOS!$A:$A,FORNECEDOR!A786)</f>
        <v>1</v>
      </c>
      <c r="C786" s="3" t="str">
        <f>INDEX(PEDIDOS!$A:$D,MATCH(FORNECEDOR!A786,PEDIDOS!$A:$A,0),2)</f>
        <v>CD REGIS</v>
      </c>
      <c r="D786" s="3" t="str">
        <f>INDEX(PEDIDOS!$A:$D,MATCH(FORNECEDOR!A786,PEDIDOS!$A:$A,0),3)</f>
        <v>CD REGIS</v>
      </c>
      <c r="E786" s="3" t="str">
        <f>INDEX(PEDIDOS!$A:$D,MATCH(FORNECEDOR!A786,PEDIDOS!$A:$A,0),4)</f>
        <v>CD REGIS</v>
      </c>
    </row>
    <row r="787" spans="1:5" x14ac:dyDescent="0.25">
      <c r="A787" s="1" t="s">
        <v>786</v>
      </c>
      <c r="B787" s="3">
        <f>COUNTIF(PEDIDOS!$A:$A,FORNECEDOR!A787)</f>
        <v>1</v>
      </c>
      <c r="C787" s="3" t="str">
        <f>INDEX(PEDIDOS!$A:$D,MATCH(FORNECEDOR!A787,PEDIDOS!$A:$A,0),2)</f>
        <v>MATRIZ</v>
      </c>
      <c r="D787" s="3" t="str">
        <f>INDEX(PEDIDOS!$A:$D,MATCH(FORNECEDOR!A787,PEDIDOS!$A:$A,0),3)</f>
        <v>MATRIZ</v>
      </c>
      <c r="E787" s="3" t="str">
        <f>INDEX(PEDIDOS!$A:$D,MATCH(FORNECEDOR!A787,PEDIDOS!$A:$A,0),4)</f>
        <v>MATRIZ</v>
      </c>
    </row>
    <row r="788" spans="1:5" hidden="1" x14ac:dyDescent="0.25">
      <c r="A788" s="1" t="s">
        <v>787</v>
      </c>
      <c r="B788" s="3">
        <f>COUNTIF(PEDIDOS!$A:$A,FORNECEDOR!A788)</f>
        <v>0</v>
      </c>
      <c r="C788" s="3" t="e">
        <f>INDEX(PEDIDOS!$A:$D,MATCH(FORNECEDOR!A788,PEDIDOS!$A:$A,0),2)</f>
        <v>#N/A</v>
      </c>
      <c r="D788" s="3" t="e">
        <f>INDEX(PEDIDOS!$A:$D,MATCH(FORNECEDOR!A788,PEDIDOS!$A:$A,0),3)</f>
        <v>#N/A</v>
      </c>
      <c r="E788" s="3" t="e">
        <f>INDEX(PEDIDOS!$A:$D,MATCH(FORNECEDOR!A788,PEDIDOS!$A:$A,0),4)</f>
        <v>#N/A</v>
      </c>
    </row>
    <row r="789" spans="1:5" hidden="1" x14ac:dyDescent="0.25">
      <c r="A789" s="1" t="s">
        <v>788</v>
      </c>
      <c r="B789" s="3">
        <f>COUNTIF(PEDIDOS!$A:$A,FORNECEDOR!A789)</f>
        <v>0</v>
      </c>
      <c r="C789" s="3" t="e">
        <f>INDEX(PEDIDOS!$A:$D,MATCH(FORNECEDOR!A789,PEDIDOS!$A:$A,0),2)</f>
        <v>#N/A</v>
      </c>
      <c r="D789" s="3" t="e">
        <f>INDEX(PEDIDOS!$A:$D,MATCH(FORNECEDOR!A789,PEDIDOS!$A:$A,0),3)</f>
        <v>#N/A</v>
      </c>
      <c r="E789" s="3" t="e">
        <f>INDEX(PEDIDOS!$A:$D,MATCH(FORNECEDOR!A789,PEDIDOS!$A:$A,0),4)</f>
        <v>#N/A</v>
      </c>
    </row>
    <row r="790" spans="1:5" x14ac:dyDescent="0.25">
      <c r="A790" s="1" t="s">
        <v>789</v>
      </c>
      <c r="B790" s="3">
        <f>COUNTIF(PEDIDOS!$A:$A,FORNECEDOR!A790)</f>
        <v>1</v>
      </c>
      <c r="C790" s="3" t="str">
        <f>INDEX(PEDIDOS!$A:$D,MATCH(FORNECEDOR!A790,PEDIDOS!$A:$A,0),2)</f>
        <v>MATRIZ</v>
      </c>
      <c r="D790" s="3" t="str">
        <f>INDEX(PEDIDOS!$A:$D,MATCH(FORNECEDOR!A790,PEDIDOS!$A:$A,0),3)</f>
        <v>MATRIZ</v>
      </c>
      <c r="E790" s="3" t="str">
        <f>INDEX(PEDIDOS!$A:$D,MATCH(FORNECEDOR!A790,PEDIDOS!$A:$A,0),4)</f>
        <v>MATRIZ</v>
      </c>
    </row>
    <row r="791" spans="1:5" hidden="1" x14ac:dyDescent="0.25">
      <c r="A791" s="1" t="s">
        <v>790</v>
      </c>
      <c r="B791" s="3">
        <f>COUNTIF(PEDIDOS!$A:$A,FORNECEDOR!A791)</f>
        <v>0</v>
      </c>
      <c r="C791" s="3" t="e">
        <f>INDEX(PEDIDOS!$A:$D,MATCH(FORNECEDOR!A791,PEDIDOS!$A:$A,0),2)</f>
        <v>#N/A</v>
      </c>
      <c r="D791" s="3" t="e">
        <f>INDEX(PEDIDOS!$A:$D,MATCH(FORNECEDOR!A791,PEDIDOS!$A:$A,0),3)</f>
        <v>#N/A</v>
      </c>
      <c r="E791" s="3" t="e">
        <f>INDEX(PEDIDOS!$A:$D,MATCH(FORNECEDOR!A791,PEDIDOS!$A:$A,0),4)</f>
        <v>#N/A</v>
      </c>
    </row>
    <row r="792" spans="1:5" hidden="1" x14ac:dyDescent="0.25">
      <c r="A792" s="1" t="s">
        <v>791</v>
      </c>
      <c r="B792" s="3">
        <f>COUNTIF(PEDIDOS!$A:$A,FORNECEDOR!A792)</f>
        <v>0</v>
      </c>
      <c r="C792" s="3" t="e">
        <f>INDEX(PEDIDOS!$A:$D,MATCH(FORNECEDOR!A792,PEDIDOS!$A:$A,0),2)</f>
        <v>#N/A</v>
      </c>
      <c r="D792" s="3" t="e">
        <f>INDEX(PEDIDOS!$A:$D,MATCH(FORNECEDOR!A792,PEDIDOS!$A:$A,0),3)</f>
        <v>#N/A</v>
      </c>
      <c r="E792" s="3" t="e">
        <f>INDEX(PEDIDOS!$A:$D,MATCH(FORNECEDOR!A792,PEDIDOS!$A:$A,0),4)</f>
        <v>#N/A</v>
      </c>
    </row>
    <row r="793" spans="1:5" x14ac:dyDescent="0.25">
      <c r="A793" s="1" t="s">
        <v>792</v>
      </c>
      <c r="B793" s="3">
        <f>COUNTIF(PEDIDOS!$A:$A,FORNECEDOR!A793)</f>
        <v>2</v>
      </c>
      <c r="C793" s="3" t="str">
        <f>INDEX(PEDIDOS!$A:$D,MATCH(FORNECEDOR!A793,PEDIDOS!$A:$A,0),2)</f>
        <v>CD ARAQUARI</v>
      </c>
      <c r="D793" s="3" t="str">
        <f>INDEX(PEDIDOS!$A:$D,MATCH(FORNECEDOR!A793,PEDIDOS!$A:$A,0),3)</f>
        <v>MATRIZ</v>
      </c>
      <c r="E793" s="3" t="str">
        <f>INDEX(PEDIDOS!$A:$D,MATCH(FORNECEDOR!A793,PEDIDOS!$A:$A,0),4)</f>
        <v>CD ARAQUARI</v>
      </c>
    </row>
    <row r="794" spans="1:5" hidden="1" x14ac:dyDescent="0.25">
      <c r="A794" s="1" t="s">
        <v>793</v>
      </c>
      <c r="B794" s="3">
        <f>COUNTIF(PEDIDOS!$A:$A,FORNECEDOR!A794)</f>
        <v>0</v>
      </c>
      <c r="C794" s="3" t="e">
        <f>INDEX(PEDIDOS!$A:$D,MATCH(FORNECEDOR!A794,PEDIDOS!$A:$A,0),2)</f>
        <v>#N/A</v>
      </c>
      <c r="D794" s="3" t="e">
        <f>INDEX(PEDIDOS!$A:$D,MATCH(FORNECEDOR!A794,PEDIDOS!$A:$A,0),3)</f>
        <v>#N/A</v>
      </c>
      <c r="E794" s="3" t="e">
        <f>INDEX(PEDIDOS!$A:$D,MATCH(FORNECEDOR!A794,PEDIDOS!$A:$A,0),4)</f>
        <v>#N/A</v>
      </c>
    </row>
    <row r="795" spans="1:5" hidden="1" x14ac:dyDescent="0.25">
      <c r="A795" s="1" t="s">
        <v>794</v>
      </c>
      <c r="B795" s="3">
        <f>COUNTIF(PEDIDOS!$A:$A,FORNECEDOR!A795)</f>
        <v>0</v>
      </c>
      <c r="C795" s="3" t="e">
        <f>INDEX(PEDIDOS!$A:$D,MATCH(FORNECEDOR!A795,PEDIDOS!$A:$A,0),2)</f>
        <v>#N/A</v>
      </c>
      <c r="D795" s="3" t="e">
        <f>INDEX(PEDIDOS!$A:$D,MATCH(FORNECEDOR!A795,PEDIDOS!$A:$A,0),3)</f>
        <v>#N/A</v>
      </c>
      <c r="E795" s="3" t="e">
        <f>INDEX(PEDIDOS!$A:$D,MATCH(FORNECEDOR!A795,PEDIDOS!$A:$A,0),4)</f>
        <v>#N/A</v>
      </c>
    </row>
    <row r="796" spans="1:5" hidden="1" x14ac:dyDescent="0.25">
      <c r="A796" s="1" t="s">
        <v>795</v>
      </c>
      <c r="B796" s="3">
        <f>COUNTIF(PEDIDOS!$A:$A,FORNECEDOR!A796)</f>
        <v>0</v>
      </c>
      <c r="C796" s="3" t="e">
        <f>INDEX(PEDIDOS!$A:$D,MATCH(FORNECEDOR!A796,PEDIDOS!$A:$A,0),2)</f>
        <v>#N/A</v>
      </c>
      <c r="D796" s="3" t="e">
        <f>INDEX(PEDIDOS!$A:$D,MATCH(FORNECEDOR!A796,PEDIDOS!$A:$A,0),3)</f>
        <v>#N/A</v>
      </c>
      <c r="E796" s="3" t="e">
        <f>INDEX(PEDIDOS!$A:$D,MATCH(FORNECEDOR!A796,PEDIDOS!$A:$A,0),4)</f>
        <v>#N/A</v>
      </c>
    </row>
    <row r="797" spans="1:5" x14ac:dyDescent="0.25">
      <c r="A797" s="1" t="s">
        <v>796</v>
      </c>
      <c r="B797" s="3">
        <f>COUNTIF(PEDIDOS!$A:$A,FORNECEDOR!A797)</f>
        <v>4</v>
      </c>
      <c r="C797" s="3" t="str">
        <f>INDEX(PEDIDOS!$A:$D,MATCH(FORNECEDOR!A797,PEDIDOS!$A:$A,0),2)</f>
        <v>CD ARAQUARI</v>
      </c>
      <c r="D797" s="3" t="str">
        <f>INDEX(PEDIDOS!$A:$D,MATCH(FORNECEDOR!A797,PEDIDOS!$A:$A,0),3)</f>
        <v>MATRIZ</v>
      </c>
      <c r="E797" s="3" t="str">
        <f>INDEX(PEDIDOS!$A:$D,MATCH(FORNECEDOR!A797,PEDIDOS!$A:$A,0),4)</f>
        <v>CD ARAQUARI</v>
      </c>
    </row>
    <row r="798" spans="1:5" hidden="1" x14ac:dyDescent="0.25">
      <c r="A798" s="1" t="s">
        <v>797</v>
      </c>
      <c r="B798" s="3">
        <f>COUNTIF(PEDIDOS!$A:$A,FORNECEDOR!A798)</f>
        <v>0</v>
      </c>
      <c r="C798" s="3" t="e">
        <f>INDEX(PEDIDOS!$A:$D,MATCH(FORNECEDOR!A798,PEDIDOS!$A:$A,0),2)</f>
        <v>#N/A</v>
      </c>
      <c r="D798" s="3" t="e">
        <f>INDEX(PEDIDOS!$A:$D,MATCH(FORNECEDOR!A798,PEDIDOS!$A:$A,0),3)</f>
        <v>#N/A</v>
      </c>
      <c r="E798" s="3" t="e">
        <f>INDEX(PEDIDOS!$A:$D,MATCH(FORNECEDOR!A798,PEDIDOS!$A:$A,0),4)</f>
        <v>#N/A</v>
      </c>
    </row>
    <row r="799" spans="1:5" hidden="1" x14ac:dyDescent="0.25">
      <c r="A799" s="1" t="s">
        <v>798</v>
      </c>
      <c r="B799" s="3">
        <f>COUNTIF(PEDIDOS!$A:$A,FORNECEDOR!A799)</f>
        <v>0</v>
      </c>
      <c r="C799" s="3" t="e">
        <f>INDEX(PEDIDOS!$A:$D,MATCH(FORNECEDOR!A799,PEDIDOS!$A:$A,0),2)</f>
        <v>#N/A</v>
      </c>
      <c r="D799" s="3" t="e">
        <f>INDEX(PEDIDOS!$A:$D,MATCH(FORNECEDOR!A799,PEDIDOS!$A:$A,0),3)</f>
        <v>#N/A</v>
      </c>
      <c r="E799" s="3" t="e">
        <f>INDEX(PEDIDOS!$A:$D,MATCH(FORNECEDOR!A799,PEDIDOS!$A:$A,0),4)</f>
        <v>#N/A</v>
      </c>
    </row>
    <row r="800" spans="1:5" hidden="1" x14ac:dyDescent="0.25">
      <c r="A800" s="1" t="s">
        <v>799</v>
      </c>
      <c r="B800" s="3">
        <f>COUNTIF(PEDIDOS!$A:$A,FORNECEDOR!A800)</f>
        <v>0</v>
      </c>
      <c r="C800" s="3" t="e">
        <f>INDEX(PEDIDOS!$A:$D,MATCH(FORNECEDOR!A800,PEDIDOS!$A:$A,0),2)</f>
        <v>#N/A</v>
      </c>
      <c r="D800" s="3" t="e">
        <f>INDEX(PEDIDOS!$A:$D,MATCH(FORNECEDOR!A800,PEDIDOS!$A:$A,0),3)</f>
        <v>#N/A</v>
      </c>
      <c r="E800" s="3" t="e">
        <f>INDEX(PEDIDOS!$A:$D,MATCH(FORNECEDOR!A800,PEDIDOS!$A:$A,0),4)</f>
        <v>#N/A</v>
      </c>
    </row>
    <row r="801" spans="1:5" x14ac:dyDescent="0.25">
      <c r="A801" s="1" t="s">
        <v>800</v>
      </c>
      <c r="B801" s="3">
        <f>COUNTIF(PEDIDOS!$A:$A,FORNECEDOR!A801)</f>
        <v>2</v>
      </c>
      <c r="C801" s="3" t="str">
        <f>INDEX(PEDIDOS!$A:$D,MATCH(FORNECEDOR!A801,PEDIDOS!$A:$A,0),2)</f>
        <v>CD REGIS</v>
      </c>
      <c r="D801" s="3" t="str">
        <f>INDEX(PEDIDOS!$A:$D,MATCH(FORNECEDOR!A801,PEDIDOS!$A:$A,0),3)</f>
        <v>MATRIZ</v>
      </c>
      <c r="E801" s="3" t="str">
        <f>INDEX(PEDIDOS!$A:$D,MATCH(FORNECEDOR!A801,PEDIDOS!$A:$A,0),4)</f>
        <v>CD REGIS</v>
      </c>
    </row>
    <row r="802" spans="1:5" hidden="1" x14ac:dyDescent="0.25">
      <c r="A802" s="1" t="s">
        <v>801</v>
      </c>
      <c r="B802" s="3">
        <f>COUNTIF(PEDIDOS!$A:$A,FORNECEDOR!A802)</f>
        <v>0</v>
      </c>
      <c r="C802" s="3" t="e">
        <f>INDEX(PEDIDOS!$A:$D,MATCH(FORNECEDOR!A802,PEDIDOS!$A:$A,0),2)</f>
        <v>#N/A</v>
      </c>
      <c r="D802" s="3" t="e">
        <f>INDEX(PEDIDOS!$A:$D,MATCH(FORNECEDOR!A802,PEDIDOS!$A:$A,0),3)</f>
        <v>#N/A</v>
      </c>
      <c r="E802" s="3" t="e">
        <f>INDEX(PEDIDOS!$A:$D,MATCH(FORNECEDOR!A802,PEDIDOS!$A:$A,0),4)</f>
        <v>#N/A</v>
      </c>
    </row>
    <row r="803" spans="1:5" x14ac:dyDescent="0.25">
      <c r="A803" s="1" t="s">
        <v>802</v>
      </c>
      <c r="B803" s="3">
        <f>COUNTIF(PEDIDOS!$A:$A,FORNECEDOR!A803)</f>
        <v>2</v>
      </c>
      <c r="C803" s="3" t="str">
        <f>INDEX(PEDIDOS!$A:$D,MATCH(FORNECEDOR!A803,PEDIDOS!$A:$A,0),2)</f>
        <v>CD REGIS</v>
      </c>
      <c r="D803" s="3" t="str">
        <f>INDEX(PEDIDOS!$A:$D,MATCH(FORNECEDOR!A803,PEDIDOS!$A:$A,0),3)</f>
        <v>MATRIZ</v>
      </c>
      <c r="E803" s="3" t="str">
        <f>INDEX(PEDIDOS!$A:$D,MATCH(FORNECEDOR!A803,PEDIDOS!$A:$A,0),4)</f>
        <v>CD REGIS</v>
      </c>
    </row>
    <row r="804" spans="1:5" hidden="1" x14ac:dyDescent="0.25">
      <c r="A804" s="1" t="s">
        <v>803</v>
      </c>
      <c r="B804" s="3">
        <f>COUNTIF(PEDIDOS!$A:$A,FORNECEDOR!A804)</f>
        <v>0</v>
      </c>
      <c r="C804" s="3" t="e">
        <f>INDEX(PEDIDOS!$A:$D,MATCH(FORNECEDOR!A804,PEDIDOS!$A:$A,0),2)</f>
        <v>#N/A</v>
      </c>
      <c r="D804" s="3" t="e">
        <f>INDEX(PEDIDOS!$A:$D,MATCH(FORNECEDOR!A804,PEDIDOS!$A:$A,0),3)</f>
        <v>#N/A</v>
      </c>
      <c r="E804" s="3" t="e">
        <f>INDEX(PEDIDOS!$A:$D,MATCH(FORNECEDOR!A804,PEDIDOS!$A:$A,0),4)</f>
        <v>#N/A</v>
      </c>
    </row>
    <row r="805" spans="1:5" hidden="1" x14ac:dyDescent="0.25">
      <c r="A805" s="1" t="s">
        <v>804</v>
      </c>
      <c r="B805" s="3">
        <f>COUNTIF(PEDIDOS!$A:$A,FORNECEDOR!A805)</f>
        <v>0</v>
      </c>
      <c r="C805" s="3" t="e">
        <f>INDEX(PEDIDOS!$A:$D,MATCH(FORNECEDOR!A805,PEDIDOS!$A:$A,0),2)</f>
        <v>#N/A</v>
      </c>
      <c r="D805" s="3" t="e">
        <f>INDEX(PEDIDOS!$A:$D,MATCH(FORNECEDOR!A805,PEDIDOS!$A:$A,0),3)</f>
        <v>#N/A</v>
      </c>
      <c r="E805" s="3" t="e">
        <f>INDEX(PEDIDOS!$A:$D,MATCH(FORNECEDOR!A805,PEDIDOS!$A:$A,0),4)</f>
        <v>#N/A</v>
      </c>
    </row>
    <row r="806" spans="1:5" hidden="1" x14ac:dyDescent="0.25">
      <c r="A806" s="1" t="s">
        <v>805</v>
      </c>
      <c r="B806" s="3">
        <f>COUNTIF(PEDIDOS!$A:$A,FORNECEDOR!A806)</f>
        <v>0</v>
      </c>
      <c r="C806" s="3" t="e">
        <f>INDEX(PEDIDOS!$A:$D,MATCH(FORNECEDOR!A806,PEDIDOS!$A:$A,0),2)</f>
        <v>#N/A</v>
      </c>
      <c r="D806" s="3" t="e">
        <f>INDEX(PEDIDOS!$A:$D,MATCH(FORNECEDOR!A806,PEDIDOS!$A:$A,0),3)</f>
        <v>#N/A</v>
      </c>
      <c r="E806" s="3" t="e">
        <f>INDEX(PEDIDOS!$A:$D,MATCH(FORNECEDOR!A806,PEDIDOS!$A:$A,0),4)</f>
        <v>#N/A</v>
      </c>
    </row>
    <row r="807" spans="1:5" hidden="1" x14ac:dyDescent="0.25">
      <c r="A807" s="1" t="s">
        <v>806</v>
      </c>
      <c r="B807" s="3">
        <f>COUNTIF(PEDIDOS!$A:$A,FORNECEDOR!A807)</f>
        <v>0</v>
      </c>
      <c r="C807" s="3" t="e">
        <f>INDEX(PEDIDOS!$A:$D,MATCH(FORNECEDOR!A807,PEDIDOS!$A:$A,0),2)</f>
        <v>#N/A</v>
      </c>
      <c r="D807" s="3" t="e">
        <f>INDEX(PEDIDOS!$A:$D,MATCH(FORNECEDOR!A807,PEDIDOS!$A:$A,0),3)</f>
        <v>#N/A</v>
      </c>
      <c r="E807" s="3" t="e">
        <f>INDEX(PEDIDOS!$A:$D,MATCH(FORNECEDOR!A807,PEDIDOS!$A:$A,0),4)</f>
        <v>#N/A</v>
      </c>
    </row>
    <row r="808" spans="1:5" x14ac:dyDescent="0.25">
      <c r="A808" s="1" t="s">
        <v>807</v>
      </c>
      <c r="B808" s="3">
        <f>COUNTIF(PEDIDOS!$A:$A,FORNECEDOR!A808)</f>
        <v>1</v>
      </c>
      <c r="C808" s="3" t="str">
        <f>INDEX(PEDIDOS!$A:$D,MATCH(FORNECEDOR!A808,PEDIDOS!$A:$A,0),2)</f>
        <v>MATRIZ</v>
      </c>
      <c r="D808" s="3" t="str">
        <f>INDEX(PEDIDOS!$A:$D,MATCH(FORNECEDOR!A808,PEDIDOS!$A:$A,0),3)</f>
        <v>MATRIZ</v>
      </c>
      <c r="E808" s="3" t="str">
        <f>INDEX(PEDIDOS!$A:$D,MATCH(FORNECEDOR!A808,PEDIDOS!$A:$A,0),4)</f>
        <v>MATRIZ</v>
      </c>
    </row>
    <row r="809" spans="1:5" hidden="1" x14ac:dyDescent="0.25">
      <c r="A809" s="1" t="s">
        <v>808</v>
      </c>
      <c r="B809" s="3">
        <f>COUNTIF(PEDIDOS!$A:$A,FORNECEDOR!A809)</f>
        <v>0</v>
      </c>
      <c r="C809" s="3" t="e">
        <f>INDEX(PEDIDOS!$A:$D,MATCH(FORNECEDOR!A809,PEDIDOS!$A:$A,0),2)</f>
        <v>#N/A</v>
      </c>
      <c r="D809" s="3" t="e">
        <f>INDEX(PEDIDOS!$A:$D,MATCH(FORNECEDOR!A809,PEDIDOS!$A:$A,0),3)</f>
        <v>#N/A</v>
      </c>
      <c r="E809" s="3" t="e">
        <f>INDEX(PEDIDOS!$A:$D,MATCH(FORNECEDOR!A809,PEDIDOS!$A:$A,0),4)</f>
        <v>#N/A</v>
      </c>
    </row>
    <row r="810" spans="1:5" x14ac:dyDescent="0.25">
      <c r="A810" s="1" t="s">
        <v>809</v>
      </c>
      <c r="B810" s="3">
        <f>COUNTIF(PEDIDOS!$A:$A,FORNECEDOR!A810)</f>
        <v>1</v>
      </c>
      <c r="C810" s="3" t="str">
        <f>INDEX(PEDIDOS!$A:$D,MATCH(FORNECEDOR!A810,PEDIDOS!$A:$A,0),2)</f>
        <v>CD REGIS</v>
      </c>
      <c r="D810" s="3" t="str">
        <f>INDEX(PEDIDOS!$A:$D,MATCH(FORNECEDOR!A810,PEDIDOS!$A:$A,0),3)</f>
        <v>TATUAPE</v>
      </c>
      <c r="E810" s="3" t="str">
        <f>INDEX(PEDIDOS!$A:$D,MATCH(FORNECEDOR!A810,PEDIDOS!$A:$A,0),4)</f>
        <v>CD REGIS</v>
      </c>
    </row>
    <row r="811" spans="1:5" hidden="1" x14ac:dyDescent="0.25">
      <c r="A811" s="1" t="s">
        <v>810</v>
      </c>
      <c r="B811" s="3">
        <f>COUNTIF(PEDIDOS!$A:$A,FORNECEDOR!A811)</f>
        <v>0</v>
      </c>
      <c r="C811" s="3" t="e">
        <f>INDEX(PEDIDOS!$A:$D,MATCH(FORNECEDOR!A811,PEDIDOS!$A:$A,0),2)</f>
        <v>#N/A</v>
      </c>
      <c r="D811" s="3" t="e">
        <f>INDEX(PEDIDOS!$A:$D,MATCH(FORNECEDOR!A811,PEDIDOS!$A:$A,0),3)</f>
        <v>#N/A</v>
      </c>
      <c r="E811" s="3" t="e">
        <f>INDEX(PEDIDOS!$A:$D,MATCH(FORNECEDOR!A811,PEDIDOS!$A:$A,0),4)</f>
        <v>#N/A</v>
      </c>
    </row>
    <row r="812" spans="1:5" x14ac:dyDescent="0.25">
      <c r="A812" s="1" t="s">
        <v>811</v>
      </c>
      <c r="B812" s="3">
        <f>COUNTIF(PEDIDOS!$A:$A,FORNECEDOR!A812)</f>
        <v>3</v>
      </c>
      <c r="C812" s="3" t="str">
        <f>INDEX(PEDIDOS!$A:$D,MATCH(FORNECEDOR!A812,PEDIDOS!$A:$A,0),2)</f>
        <v>CD REGIS</v>
      </c>
      <c r="D812" s="3" t="str">
        <f>INDEX(PEDIDOS!$A:$D,MATCH(FORNECEDOR!A812,PEDIDOS!$A:$A,0),3)</f>
        <v>CD REGIS</v>
      </c>
      <c r="E812" s="3" t="str">
        <f>INDEX(PEDIDOS!$A:$D,MATCH(FORNECEDOR!A812,PEDIDOS!$A:$A,0),4)</f>
        <v>CD REGIS</v>
      </c>
    </row>
    <row r="813" spans="1:5" hidden="1" x14ac:dyDescent="0.25">
      <c r="A813" s="1" t="s">
        <v>812</v>
      </c>
      <c r="B813" s="3">
        <f>COUNTIF(PEDIDOS!$A:$A,FORNECEDOR!A813)</f>
        <v>0</v>
      </c>
      <c r="C813" s="3" t="e">
        <f>INDEX(PEDIDOS!$A:$D,MATCH(FORNECEDOR!A813,PEDIDOS!$A:$A,0),2)</f>
        <v>#N/A</v>
      </c>
      <c r="D813" s="3" t="e">
        <f>INDEX(PEDIDOS!$A:$D,MATCH(FORNECEDOR!A813,PEDIDOS!$A:$A,0),3)</f>
        <v>#N/A</v>
      </c>
      <c r="E813" s="3" t="e">
        <f>INDEX(PEDIDOS!$A:$D,MATCH(FORNECEDOR!A813,PEDIDOS!$A:$A,0),4)</f>
        <v>#N/A</v>
      </c>
    </row>
    <row r="814" spans="1:5" hidden="1" x14ac:dyDescent="0.25">
      <c r="A814" s="1" t="s">
        <v>813</v>
      </c>
      <c r="B814" s="3">
        <f>COUNTIF(PEDIDOS!$A:$A,FORNECEDOR!A814)</f>
        <v>0</v>
      </c>
      <c r="C814" s="3" t="e">
        <f>INDEX(PEDIDOS!$A:$D,MATCH(FORNECEDOR!A814,PEDIDOS!$A:$A,0),2)</f>
        <v>#N/A</v>
      </c>
      <c r="D814" s="3" t="e">
        <f>INDEX(PEDIDOS!$A:$D,MATCH(FORNECEDOR!A814,PEDIDOS!$A:$A,0),3)</f>
        <v>#N/A</v>
      </c>
      <c r="E814" s="3" t="e">
        <f>INDEX(PEDIDOS!$A:$D,MATCH(FORNECEDOR!A814,PEDIDOS!$A:$A,0),4)</f>
        <v>#N/A</v>
      </c>
    </row>
    <row r="815" spans="1:5" hidden="1" x14ac:dyDescent="0.25">
      <c r="A815" s="1" t="s">
        <v>814</v>
      </c>
      <c r="B815" s="3">
        <f>COUNTIF(PEDIDOS!$A:$A,FORNECEDOR!A815)</f>
        <v>0</v>
      </c>
      <c r="C815" s="3" t="e">
        <f>INDEX(PEDIDOS!$A:$D,MATCH(FORNECEDOR!A815,PEDIDOS!$A:$A,0),2)</f>
        <v>#N/A</v>
      </c>
      <c r="D815" s="3" t="e">
        <f>INDEX(PEDIDOS!$A:$D,MATCH(FORNECEDOR!A815,PEDIDOS!$A:$A,0),3)</f>
        <v>#N/A</v>
      </c>
      <c r="E815" s="3" t="e">
        <f>INDEX(PEDIDOS!$A:$D,MATCH(FORNECEDOR!A815,PEDIDOS!$A:$A,0),4)</f>
        <v>#N/A</v>
      </c>
    </row>
    <row r="816" spans="1:5" hidden="1" x14ac:dyDescent="0.25">
      <c r="A816" s="1" t="s">
        <v>815</v>
      </c>
      <c r="B816" s="3">
        <f>COUNTIF(PEDIDOS!$A:$A,FORNECEDOR!A816)</f>
        <v>0</v>
      </c>
      <c r="C816" s="3" t="e">
        <f>INDEX(PEDIDOS!$A:$D,MATCH(FORNECEDOR!A816,PEDIDOS!$A:$A,0),2)</f>
        <v>#N/A</v>
      </c>
      <c r="D816" s="3" t="e">
        <f>INDEX(PEDIDOS!$A:$D,MATCH(FORNECEDOR!A816,PEDIDOS!$A:$A,0),3)</f>
        <v>#N/A</v>
      </c>
      <c r="E816" s="3" t="e">
        <f>INDEX(PEDIDOS!$A:$D,MATCH(FORNECEDOR!A816,PEDIDOS!$A:$A,0),4)</f>
        <v>#N/A</v>
      </c>
    </row>
    <row r="817" spans="1:5" x14ac:dyDescent="0.25">
      <c r="A817" s="1" t="s">
        <v>816</v>
      </c>
      <c r="B817" s="3">
        <f>COUNTIF(PEDIDOS!$A:$A,FORNECEDOR!A817)</f>
        <v>4</v>
      </c>
      <c r="C817" s="3" t="str">
        <f>INDEX(PEDIDOS!$A:$D,MATCH(FORNECEDOR!A817,PEDIDOS!$A:$A,0),2)</f>
        <v>CD ARAQUARI</v>
      </c>
      <c r="D817" s="3" t="str">
        <f>INDEX(PEDIDOS!$A:$D,MATCH(FORNECEDOR!A817,PEDIDOS!$A:$A,0),3)</f>
        <v>MATRIZ</v>
      </c>
      <c r="E817" s="3" t="str">
        <f>INDEX(PEDIDOS!$A:$D,MATCH(FORNECEDOR!A817,PEDIDOS!$A:$A,0),4)</f>
        <v>CD ARAQUARI</v>
      </c>
    </row>
    <row r="818" spans="1:5" hidden="1" x14ac:dyDescent="0.25">
      <c r="A818" s="1" t="s">
        <v>817</v>
      </c>
      <c r="B818" s="3">
        <f>COUNTIF(PEDIDOS!$A:$A,FORNECEDOR!A818)</f>
        <v>0</v>
      </c>
      <c r="C818" s="3" t="e">
        <f>INDEX(PEDIDOS!$A:$D,MATCH(FORNECEDOR!A818,PEDIDOS!$A:$A,0),2)</f>
        <v>#N/A</v>
      </c>
      <c r="D818" s="3" t="e">
        <f>INDEX(PEDIDOS!$A:$D,MATCH(FORNECEDOR!A818,PEDIDOS!$A:$A,0),3)</f>
        <v>#N/A</v>
      </c>
      <c r="E818" s="3" t="e">
        <f>INDEX(PEDIDOS!$A:$D,MATCH(FORNECEDOR!A818,PEDIDOS!$A:$A,0),4)</f>
        <v>#N/A</v>
      </c>
    </row>
    <row r="819" spans="1:5" x14ac:dyDescent="0.25">
      <c r="A819" s="1" t="s">
        <v>818</v>
      </c>
      <c r="B819" s="3">
        <f>COUNTIF(PEDIDOS!$A:$A,FORNECEDOR!A819)</f>
        <v>1</v>
      </c>
      <c r="C819" s="3" t="str">
        <f>INDEX(PEDIDOS!$A:$D,MATCH(FORNECEDOR!A819,PEDIDOS!$A:$A,0),2)</f>
        <v>CD REGIS</v>
      </c>
      <c r="D819" s="3" t="str">
        <f>INDEX(PEDIDOS!$A:$D,MATCH(FORNECEDOR!A819,PEDIDOS!$A:$A,0),3)</f>
        <v>MATRIZ</v>
      </c>
      <c r="E819" s="3" t="str">
        <f>INDEX(PEDIDOS!$A:$D,MATCH(FORNECEDOR!A819,PEDIDOS!$A:$A,0),4)</f>
        <v>CD REGIS</v>
      </c>
    </row>
    <row r="820" spans="1:5" x14ac:dyDescent="0.25">
      <c r="A820" s="1" t="s">
        <v>819</v>
      </c>
      <c r="B820" s="3">
        <f>COUNTIF(PEDIDOS!$A:$A,FORNECEDOR!A820)</f>
        <v>2</v>
      </c>
      <c r="C820" s="3" t="str">
        <f>INDEX(PEDIDOS!$A:$D,MATCH(FORNECEDOR!A820,PEDIDOS!$A:$A,0),2)</f>
        <v>CD REGIS</v>
      </c>
      <c r="D820" s="3" t="str">
        <f>INDEX(PEDIDOS!$A:$D,MATCH(FORNECEDOR!A820,PEDIDOS!$A:$A,0),3)</f>
        <v>MATRIZ</v>
      </c>
      <c r="E820" s="3" t="str">
        <f>INDEX(PEDIDOS!$A:$D,MATCH(FORNECEDOR!A820,PEDIDOS!$A:$A,0),4)</f>
        <v>CD REGIS</v>
      </c>
    </row>
    <row r="821" spans="1:5" x14ac:dyDescent="0.25">
      <c r="A821" s="1" t="s">
        <v>820</v>
      </c>
      <c r="B821" s="3">
        <f>COUNTIF(PEDIDOS!$A:$A,FORNECEDOR!A821)</f>
        <v>1</v>
      </c>
      <c r="C821" s="3" t="str">
        <f>INDEX(PEDIDOS!$A:$D,MATCH(FORNECEDOR!A821,PEDIDOS!$A:$A,0),2)</f>
        <v>CD REGIS</v>
      </c>
      <c r="D821" s="3" t="str">
        <f>INDEX(PEDIDOS!$A:$D,MATCH(FORNECEDOR!A821,PEDIDOS!$A:$A,0),3)</f>
        <v>TATUAPE</v>
      </c>
      <c r="E821" s="3" t="str">
        <f>INDEX(PEDIDOS!$A:$D,MATCH(FORNECEDOR!A821,PEDIDOS!$A:$A,0),4)</f>
        <v>CD REGIS</v>
      </c>
    </row>
    <row r="822" spans="1:5" x14ac:dyDescent="0.25">
      <c r="A822" s="1" t="s">
        <v>821</v>
      </c>
      <c r="B822" s="3">
        <f>COUNTIF(PEDIDOS!$A:$A,FORNECEDOR!A822)</f>
        <v>1</v>
      </c>
      <c r="C822" s="3" t="str">
        <f>INDEX(PEDIDOS!$A:$D,MATCH(FORNECEDOR!A822,PEDIDOS!$A:$A,0),2)</f>
        <v>SP - PARI</v>
      </c>
      <c r="D822" s="3" t="str">
        <f>INDEX(PEDIDOS!$A:$D,MATCH(FORNECEDOR!A822,PEDIDOS!$A:$A,0),3)</f>
        <v>SP - PARI</v>
      </c>
      <c r="E822" s="3" t="str">
        <f>INDEX(PEDIDOS!$A:$D,MATCH(FORNECEDOR!A822,PEDIDOS!$A:$A,0),4)</f>
        <v>SP - PARI</v>
      </c>
    </row>
    <row r="823" spans="1:5" x14ac:dyDescent="0.25">
      <c r="A823" s="1" t="s">
        <v>822</v>
      </c>
      <c r="B823" s="3">
        <f>COUNTIF(PEDIDOS!$A:$A,FORNECEDOR!A823)</f>
        <v>2</v>
      </c>
      <c r="C823" s="3" t="str">
        <f>INDEX(PEDIDOS!$A:$D,MATCH(FORNECEDOR!A823,PEDIDOS!$A:$A,0),2)</f>
        <v>CD REGIS</v>
      </c>
      <c r="D823" s="3" t="str">
        <f>INDEX(PEDIDOS!$A:$D,MATCH(FORNECEDOR!A823,PEDIDOS!$A:$A,0),3)</f>
        <v>CD REGIS</v>
      </c>
      <c r="E823" s="3" t="str">
        <f>INDEX(PEDIDOS!$A:$D,MATCH(FORNECEDOR!A823,PEDIDOS!$A:$A,0),4)</f>
        <v>CD REGIS</v>
      </c>
    </row>
    <row r="824" spans="1:5" hidden="1" x14ac:dyDescent="0.25">
      <c r="A824" s="1" t="s">
        <v>823</v>
      </c>
      <c r="B824" s="3">
        <f>COUNTIF(PEDIDOS!$A:$A,FORNECEDOR!A824)</f>
        <v>0</v>
      </c>
      <c r="C824" s="3" t="e">
        <f>INDEX(PEDIDOS!$A:$D,MATCH(FORNECEDOR!A824,PEDIDOS!$A:$A,0),2)</f>
        <v>#N/A</v>
      </c>
      <c r="D824" s="3" t="e">
        <f>INDEX(PEDIDOS!$A:$D,MATCH(FORNECEDOR!A824,PEDIDOS!$A:$A,0),3)</f>
        <v>#N/A</v>
      </c>
      <c r="E824" s="3" t="e">
        <f>INDEX(PEDIDOS!$A:$D,MATCH(FORNECEDOR!A824,PEDIDOS!$A:$A,0),4)</f>
        <v>#N/A</v>
      </c>
    </row>
    <row r="825" spans="1:5" hidden="1" x14ac:dyDescent="0.25">
      <c r="A825" s="1" t="s">
        <v>824</v>
      </c>
      <c r="B825" s="3">
        <f>COUNTIF(PEDIDOS!$A:$A,FORNECEDOR!A825)</f>
        <v>0</v>
      </c>
      <c r="C825" s="3" t="e">
        <f>INDEX(PEDIDOS!$A:$D,MATCH(FORNECEDOR!A825,PEDIDOS!$A:$A,0),2)</f>
        <v>#N/A</v>
      </c>
      <c r="D825" s="3" t="e">
        <f>INDEX(PEDIDOS!$A:$D,MATCH(FORNECEDOR!A825,PEDIDOS!$A:$A,0),3)</f>
        <v>#N/A</v>
      </c>
      <c r="E825" s="3" t="e">
        <f>INDEX(PEDIDOS!$A:$D,MATCH(FORNECEDOR!A825,PEDIDOS!$A:$A,0),4)</f>
        <v>#N/A</v>
      </c>
    </row>
    <row r="826" spans="1:5" x14ac:dyDescent="0.25">
      <c r="A826" s="1" t="s">
        <v>825</v>
      </c>
      <c r="B826" s="3">
        <f>COUNTIF(PEDIDOS!$A:$A,FORNECEDOR!A826)</f>
        <v>2</v>
      </c>
      <c r="C826" s="3" t="str">
        <f>INDEX(PEDIDOS!$A:$D,MATCH(FORNECEDOR!A826,PEDIDOS!$A:$A,0),2)</f>
        <v>ANPPLA</v>
      </c>
      <c r="D826" s="3" t="str">
        <f>INDEX(PEDIDOS!$A:$D,MATCH(FORNECEDOR!A826,PEDIDOS!$A:$A,0),3)</f>
        <v>ANPPLA</v>
      </c>
      <c r="E826" s="3" t="str">
        <f>INDEX(PEDIDOS!$A:$D,MATCH(FORNECEDOR!A826,PEDIDOS!$A:$A,0),4)</f>
        <v>ANPPLA</v>
      </c>
    </row>
    <row r="827" spans="1:5" hidden="1" x14ac:dyDescent="0.25">
      <c r="A827" s="1" t="s">
        <v>826</v>
      </c>
      <c r="B827" s="3">
        <f>COUNTIF(PEDIDOS!$A:$A,FORNECEDOR!A827)</f>
        <v>0</v>
      </c>
      <c r="C827" s="3" t="e">
        <f>INDEX(PEDIDOS!$A:$D,MATCH(FORNECEDOR!A827,PEDIDOS!$A:$A,0),2)</f>
        <v>#N/A</v>
      </c>
      <c r="D827" s="3" t="e">
        <f>INDEX(PEDIDOS!$A:$D,MATCH(FORNECEDOR!A827,PEDIDOS!$A:$A,0),3)</f>
        <v>#N/A</v>
      </c>
      <c r="E827" s="3" t="e">
        <f>INDEX(PEDIDOS!$A:$D,MATCH(FORNECEDOR!A827,PEDIDOS!$A:$A,0),4)</f>
        <v>#N/A</v>
      </c>
    </row>
    <row r="828" spans="1:5" hidden="1" x14ac:dyDescent="0.25">
      <c r="A828" s="1" t="s">
        <v>827</v>
      </c>
      <c r="B828" s="3">
        <f>COUNTIF(PEDIDOS!$A:$A,FORNECEDOR!A828)</f>
        <v>0</v>
      </c>
      <c r="C828" s="3" t="e">
        <f>INDEX(PEDIDOS!$A:$D,MATCH(FORNECEDOR!A828,PEDIDOS!$A:$A,0),2)</f>
        <v>#N/A</v>
      </c>
      <c r="D828" s="3" t="e">
        <f>INDEX(PEDIDOS!$A:$D,MATCH(FORNECEDOR!A828,PEDIDOS!$A:$A,0),3)</f>
        <v>#N/A</v>
      </c>
      <c r="E828" s="3" t="e">
        <f>INDEX(PEDIDOS!$A:$D,MATCH(FORNECEDOR!A828,PEDIDOS!$A:$A,0),4)</f>
        <v>#N/A</v>
      </c>
    </row>
    <row r="829" spans="1:5" hidden="1" x14ac:dyDescent="0.25">
      <c r="A829" s="1" t="s">
        <v>828</v>
      </c>
      <c r="B829" s="3">
        <f>COUNTIF(PEDIDOS!$A:$A,FORNECEDOR!A829)</f>
        <v>0</v>
      </c>
      <c r="C829" s="3" t="e">
        <f>INDEX(PEDIDOS!$A:$D,MATCH(FORNECEDOR!A829,PEDIDOS!$A:$A,0),2)</f>
        <v>#N/A</v>
      </c>
      <c r="D829" s="3" t="e">
        <f>INDEX(PEDIDOS!$A:$D,MATCH(FORNECEDOR!A829,PEDIDOS!$A:$A,0),3)</f>
        <v>#N/A</v>
      </c>
      <c r="E829" s="3" t="e">
        <f>INDEX(PEDIDOS!$A:$D,MATCH(FORNECEDOR!A829,PEDIDOS!$A:$A,0),4)</f>
        <v>#N/A</v>
      </c>
    </row>
    <row r="830" spans="1:5" hidden="1" x14ac:dyDescent="0.25">
      <c r="A830" s="1" t="s">
        <v>829</v>
      </c>
      <c r="B830" s="3">
        <f>COUNTIF(PEDIDOS!$A:$A,FORNECEDOR!A830)</f>
        <v>0</v>
      </c>
      <c r="C830" s="3" t="e">
        <f>INDEX(PEDIDOS!$A:$D,MATCH(FORNECEDOR!A830,PEDIDOS!$A:$A,0),2)</f>
        <v>#N/A</v>
      </c>
      <c r="D830" s="3" t="e">
        <f>INDEX(PEDIDOS!$A:$D,MATCH(FORNECEDOR!A830,PEDIDOS!$A:$A,0),3)</f>
        <v>#N/A</v>
      </c>
      <c r="E830" s="3" t="e">
        <f>INDEX(PEDIDOS!$A:$D,MATCH(FORNECEDOR!A830,PEDIDOS!$A:$A,0),4)</f>
        <v>#N/A</v>
      </c>
    </row>
    <row r="831" spans="1:5" x14ac:dyDescent="0.25">
      <c r="A831" s="1" t="s">
        <v>830</v>
      </c>
      <c r="B831" s="3">
        <f>COUNTIF(PEDIDOS!$A:$A,FORNECEDOR!A831)</f>
        <v>2</v>
      </c>
      <c r="C831" s="3" t="str">
        <f>INDEX(PEDIDOS!$A:$D,MATCH(FORNECEDOR!A831,PEDIDOS!$A:$A,0),2)</f>
        <v>MATRIZ</v>
      </c>
      <c r="D831" s="3" t="str">
        <f>INDEX(PEDIDOS!$A:$D,MATCH(FORNECEDOR!A831,PEDIDOS!$A:$A,0),3)</f>
        <v>MATRIZ</v>
      </c>
      <c r="E831" s="3" t="str">
        <f>INDEX(PEDIDOS!$A:$D,MATCH(FORNECEDOR!A831,PEDIDOS!$A:$A,0),4)</f>
        <v>MATRIZ</v>
      </c>
    </row>
    <row r="832" spans="1:5" x14ac:dyDescent="0.25">
      <c r="A832" s="1" t="s">
        <v>831</v>
      </c>
      <c r="B832" s="3">
        <f>COUNTIF(PEDIDOS!$A:$A,FORNECEDOR!A832)</f>
        <v>2</v>
      </c>
      <c r="C832" s="3" t="str">
        <f>INDEX(PEDIDOS!$A:$D,MATCH(FORNECEDOR!A832,PEDIDOS!$A:$A,0),2)</f>
        <v>CD REGIS</v>
      </c>
      <c r="D832" s="3" t="str">
        <f>INDEX(PEDIDOS!$A:$D,MATCH(FORNECEDOR!A832,PEDIDOS!$A:$A,0),3)</f>
        <v>MATRIZ</v>
      </c>
      <c r="E832" s="3" t="str">
        <f>INDEX(PEDIDOS!$A:$D,MATCH(FORNECEDOR!A832,PEDIDOS!$A:$A,0),4)</f>
        <v>CD REGIS</v>
      </c>
    </row>
    <row r="833" spans="1:5" hidden="1" x14ac:dyDescent="0.25">
      <c r="A833" s="1" t="s">
        <v>832</v>
      </c>
      <c r="B833" s="3">
        <f>COUNTIF(PEDIDOS!$A:$A,FORNECEDOR!A833)</f>
        <v>0</v>
      </c>
      <c r="C833" s="3" t="e">
        <f>INDEX(PEDIDOS!$A:$D,MATCH(FORNECEDOR!A833,PEDIDOS!$A:$A,0),2)</f>
        <v>#N/A</v>
      </c>
      <c r="D833" s="3" t="e">
        <f>INDEX(PEDIDOS!$A:$D,MATCH(FORNECEDOR!A833,PEDIDOS!$A:$A,0),3)</f>
        <v>#N/A</v>
      </c>
      <c r="E833" s="3" t="e">
        <f>INDEX(PEDIDOS!$A:$D,MATCH(FORNECEDOR!A833,PEDIDOS!$A:$A,0),4)</f>
        <v>#N/A</v>
      </c>
    </row>
    <row r="834" spans="1:5" hidden="1" x14ac:dyDescent="0.25">
      <c r="A834" s="1" t="s">
        <v>833</v>
      </c>
      <c r="B834" s="3">
        <f>COUNTIF(PEDIDOS!$A:$A,FORNECEDOR!A834)</f>
        <v>0</v>
      </c>
      <c r="C834" s="3" t="e">
        <f>INDEX(PEDIDOS!$A:$D,MATCH(FORNECEDOR!A834,PEDIDOS!$A:$A,0),2)</f>
        <v>#N/A</v>
      </c>
      <c r="D834" s="3" t="e">
        <f>INDEX(PEDIDOS!$A:$D,MATCH(FORNECEDOR!A834,PEDIDOS!$A:$A,0),3)</f>
        <v>#N/A</v>
      </c>
      <c r="E834" s="3" t="e">
        <f>INDEX(PEDIDOS!$A:$D,MATCH(FORNECEDOR!A834,PEDIDOS!$A:$A,0),4)</f>
        <v>#N/A</v>
      </c>
    </row>
    <row r="835" spans="1:5" hidden="1" x14ac:dyDescent="0.25">
      <c r="A835" s="1" t="s">
        <v>834</v>
      </c>
      <c r="B835" s="3">
        <f>COUNTIF(PEDIDOS!$A:$A,FORNECEDOR!A835)</f>
        <v>0</v>
      </c>
      <c r="C835" s="3" t="e">
        <f>INDEX(PEDIDOS!$A:$D,MATCH(FORNECEDOR!A835,PEDIDOS!$A:$A,0),2)</f>
        <v>#N/A</v>
      </c>
      <c r="D835" s="3" t="e">
        <f>INDEX(PEDIDOS!$A:$D,MATCH(FORNECEDOR!A835,PEDIDOS!$A:$A,0),3)</f>
        <v>#N/A</v>
      </c>
      <c r="E835" s="3" t="e">
        <f>INDEX(PEDIDOS!$A:$D,MATCH(FORNECEDOR!A835,PEDIDOS!$A:$A,0),4)</f>
        <v>#N/A</v>
      </c>
    </row>
    <row r="836" spans="1:5" hidden="1" x14ac:dyDescent="0.25">
      <c r="A836" s="1" t="s">
        <v>835</v>
      </c>
      <c r="B836" s="3">
        <f>COUNTIF(PEDIDOS!$A:$A,FORNECEDOR!A836)</f>
        <v>0</v>
      </c>
      <c r="C836" s="3" t="e">
        <f>INDEX(PEDIDOS!$A:$D,MATCH(FORNECEDOR!A836,PEDIDOS!$A:$A,0),2)</f>
        <v>#N/A</v>
      </c>
      <c r="D836" s="3" t="e">
        <f>INDEX(PEDIDOS!$A:$D,MATCH(FORNECEDOR!A836,PEDIDOS!$A:$A,0),3)</f>
        <v>#N/A</v>
      </c>
      <c r="E836" s="3" t="e">
        <f>INDEX(PEDIDOS!$A:$D,MATCH(FORNECEDOR!A836,PEDIDOS!$A:$A,0),4)</f>
        <v>#N/A</v>
      </c>
    </row>
    <row r="837" spans="1:5" hidden="1" x14ac:dyDescent="0.25">
      <c r="A837" s="1" t="s">
        <v>836</v>
      </c>
      <c r="B837" s="3">
        <f>COUNTIF(PEDIDOS!$A:$A,FORNECEDOR!A837)</f>
        <v>0</v>
      </c>
      <c r="C837" s="3" t="e">
        <f>INDEX(PEDIDOS!$A:$D,MATCH(FORNECEDOR!A837,PEDIDOS!$A:$A,0),2)</f>
        <v>#N/A</v>
      </c>
      <c r="D837" s="3" t="e">
        <f>INDEX(PEDIDOS!$A:$D,MATCH(FORNECEDOR!A837,PEDIDOS!$A:$A,0),3)</f>
        <v>#N/A</v>
      </c>
      <c r="E837" s="3" t="e">
        <f>INDEX(PEDIDOS!$A:$D,MATCH(FORNECEDOR!A837,PEDIDOS!$A:$A,0),4)</f>
        <v>#N/A</v>
      </c>
    </row>
    <row r="838" spans="1:5" x14ac:dyDescent="0.25">
      <c r="A838" s="1" t="s">
        <v>837</v>
      </c>
      <c r="B838" s="3">
        <f>COUNTIF(PEDIDOS!$A:$A,FORNECEDOR!A838)</f>
        <v>1</v>
      </c>
      <c r="C838" s="3" t="str">
        <f>INDEX(PEDIDOS!$A:$D,MATCH(FORNECEDOR!A838,PEDIDOS!$A:$A,0),2)</f>
        <v>CD NAVEGANTES</v>
      </c>
      <c r="D838" s="3" t="str">
        <f>INDEX(PEDIDOS!$A:$D,MATCH(FORNECEDOR!A838,PEDIDOS!$A:$A,0),3)</f>
        <v>MATRIZ</v>
      </c>
      <c r="E838" s="3" t="str">
        <f>INDEX(PEDIDOS!$A:$D,MATCH(FORNECEDOR!A838,PEDIDOS!$A:$A,0),4)</f>
        <v>CD NAVEGANTES</v>
      </c>
    </row>
    <row r="839" spans="1:5" x14ac:dyDescent="0.25">
      <c r="A839" s="1" t="s">
        <v>838</v>
      </c>
      <c r="B839" s="3">
        <f>COUNTIF(PEDIDOS!$A:$A,FORNECEDOR!A839)</f>
        <v>2</v>
      </c>
      <c r="C839" s="3" t="str">
        <f>INDEX(PEDIDOS!$A:$D,MATCH(FORNECEDOR!A839,PEDIDOS!$A:$A,0),2)</f>
        <v>CD REGIS</v>
      </c>
      <c r="D839" s="3" t="str">
        <f>INDEX(PEDIDOS!$A:$D,MATCH(FORNECEDOR!A839,PEDIDOS!$A:$A,0),3)</f>
        <v>MATRIZ</v>
      </c>
      <c r="E839" s="3" t="str">
        <f>INDEX(PEDIDOS!$A:$D,MATCH(FORNECEDOR!A839,PEDIDOS!$A:$A,0),4)</f>
        <v>CD REGIS</v>
      </c>
    </row>
    <row r="840" spans="1:5" hidden="1" x14ac:dyDescent="0.25">
      <c r="A840" s="1" t="s">
        <v>839</v>
      </c>
      <c r="B840" s="3">
        <f>COUNTIF(PEDIDOS!$A:$A,FORNECEDOR!A840)</f>
        <v>0</v>
      </c>
      <c r="C840" s="3" t="e">
        <f>INDEX(PEDIDOS!$A:$D,MATCH(FORNECEDOR!A840,PEDIDOS!$A:$A,0),2)</f>
        <v>#N/A</v>
      </c>
      <c r="D840" s="3" t="e">
        <f>INDEX(PEDIDOS!$A:$D,MATCH(FORNECEDOR!A840,PEDIDOS!$A:$A,0),3)</f>
        <v>#N/A</v>
      </c>
      <c r="E840" s="3" t="e">
        <f>INDEX(PEDIDOS!$A:$D,MATCH(FORNECEDOR!A840,PEDIDOS!$A:$A,0),4)</f>
        <v>#N/A</v>
      </c>
    </row>
    <row r="841" spans="1:5" hidden="1" x14ac:dyDescent="0.25">
      <c r="A841" s="1" t="s">
        <v>840</v>
      </c>
      <c r="B841" s="3">
        <f>COUNTIF(PEDIDOS!$A:$A,FORNECEDOR!A841)</f>
        <v>0</v>
      </c>
      <c r="C841" s="3" t="e">
        <f>INDEX(PEDIDOS!$A:$D,MATCH(FORNECEDOR!A841,PEDIDOS!$A:$A,0),2)</f>
        <v>#N/A</v>
      </c>
      <c r="D841" s="3" t="e">
        <f>INDEX(PEDIDOS!$A:$D,MATCH(FORNECEDOR!A841,PEDIDOS!$A:$A,0),3)</f>
        <v>#N/A</v>
      </c>
      <c r="E841" s="3" t="e">
        <f>INDEX(PEDIDOS!$A:$D,MATCH(FORNECEDOR!A841,PEDIDOS!$A:$A,0),4)</f>
        <v>#N/A</v>
      </c>
    </row>
    <row r="842" spans="1:5" hidden="1" x14ac:dyDescent="0.25">
      <c r="A842" s="1" t="s">
        <v>841</v>
      </c>
      <c r="B842" s="3">
        <f>COUNTIF(PEDIDOS!$A:$A,FORNECEDOR!A842)</f>
        <v>0</v>
      </c>
      <c r="C842" s="3" t="e">
        <f>INDEX(PEDIDOS!$A:$D,MATCH(FORNECEDOR!A842,PEDIDOS!$A:$A,0),2)</f>
        <v>#N/A</v>
      </c>
      <c r="D842" s="3" t="e">
        <f>INDEX(PEDIDOS!$A:$D,MATCH(FORNECEDOR!A842,PEDIDOS!$A:$A,0),3)</f>
        <v>#N/A</v>
      </c>
      <c r="E842" s="3" t="e">
        <f>INDEX(PEDIDOS!$A:$D,MATCH(FORNECEDOR!A842,PEDIDOS!$A:$A,0),4)</f>
        <v>#N/A</v>
      </c>
    </row>
    <row r="843" spans="1:5" hidden="1" x14ac:dyDescent="0.25">
      <c r="A843" s="1" t="s">
        <v>842</v>
      </c>
      <c r="B843" s="3">
        <f>COUNTIF(PEDIDOS!$A:$A,FORNECEDOR!A843)</f>
        <v>0</v>
      </c>
      <c r="C843" s="3" t="e">
        <f>INDEX(PEDIDOS!$A:$D,MATCH(FORNECEDOR!A843,PEDIDOS!$A:$A,0),2)</f>
        <v>#N/A</v>
      </c>
      <c r="D843" s="3" t="e">
        <f>INDEX(PEDIDOS!$A:$D,MATCH(FORNECEDOR!A843,PEDIDOS!$A:$A,0),3)</f>
        <v>#N/A</v>
      </c>
      <c r="E843" s="3" t="e">
        <f>INDEX(PEDIDOS!$A:$D,MATCH(FORNECEDOR!A843,PEDIDOS!$A:$A,0),4)</f>
        <v>#N/A</v>
      </c>
    </row>
    <row r="844" spans="1:5" x14ac:dyDescent="0.25">
      <c r="A844" s="1" t="s">
        <v>843</v>
      </c>
      <c r="B844" s="3">
        <f>COUNTIF(PEDIDOS!$A:$A,FORNECEDOR!A844)</f>
        <v>1</v>
      </c>
      <c r="C844" s="3" t="str">
        <f>INDEX(PEDIDOS!$A:$D,MATCH(FORNECEDOR!A844,PEDIDOS!$A:$A,0),2)</f>
        <v>CD REGIS</v>
      </c>
      <c r="D844" s="3" t="str">
        <f>INDEX(PEDIDOS!$A:$D,MATCH(FORNECEDOR!A844,PEDIDOS!$A:$A,0),3)</f>
        <v>TATUAPE</v>
      </c>
      <c r="E844" s="3" t="str">
        <f>INDEX(PEDIDOS!$A:$D,MATCH(FORNECEDOR!A844,PEDIDOS!$A:$A,0),4)</f>
        <v>CD REGIS</v>
      </c>
    </row>
    <row r="845" spans="1:5" hidden="1" x14ac:dyDescent="0.25">
      <c r="A845" s="1" t="s">
        <v>844</v>
      </c>
      <c r="B845" s="3">
        <f>COUNTIF(PEDIDOS!$A:$A,FORNECEDOR!A845)</f>
        <v>0</v>
      </c>
      <c r="C845" s="3" t="e">
        <f>INDEX(PEDIDOS!$A:$D,MATCH(FORNECEDOR!A845,PEDIDOS!$A:$A,0),2)</f>
        <v>#N/A</v>
      </c>
      <c r="D845" s="3" t="e">
        <f>INDEX(PEDIDOS!$A:$D,MATCH(FORNECEDOR!A845,PEDIDOS!$A:$A,0),3)</f>
        <v>#N/A</v>
      </c>
      <c r="E845" s="3" t="e">
        <f>INDEX(PEDIDOS!$A:$D,MATCH(FORNECEDOR!A845,PEDIDOS!$A:$A,0),4)</f>
        <v>#N/A</v>
      </c>
    </row>
    <row r="846" spans="1:5" hidden="1" x14ac:dyDescent="0.25">
      <c r="A846" s="1" t="s">
        <v>845</v>
      </c>
      <c r="B846" s="3">
        <f>COUNTIF(PEDIDOS!$A:$A,FORNECEDOR!A846)</f>
        <v>0</v>
      </c>
      <c r="C846" s="3" t="e">
        <f>INDEX(PEDIDOS!$A:$D,MATCH(FORNECEDOR!A846,PEDIDOS!$A:$A,0),2)</f>
        <v>#N/A</v>
      </c>
      <c r="D846" s="3" t="e">
        <f>INDEX(PEDIDOS!$A:$D,MATCH(FORNECEDOR!A846,PEDIDOS!$A:$A,0),3)</f>
        <v>#N/A</v>
      </c>
      <c r="E846" s="3" t="e">
        <f>INDEX(PEDIDOS!$A:$D,MATCH(FORNECEDOR!A846,PEDIDOS!$A:$A,0),4)</f>
        <v>#N/A</v>
      </c>
    </row>
    <row r="847" spans="1:5" hidden="1" x14ac:dyDescent="0.25">
      <c r="A847" s="1" t="s">
        <v>846</v>
      </c>
      <c r="B847" s="3">
        <f>COUNTIF(PEDIDOS!$A:$A,FORNECEDOR!A847)</f>
        <v>0</v>
      </c>
      <c r="C847" s="3" t="e">
        <f>INDEX(PEDIDOS!$A:$D,MATCH(FORNECEDOR!A847,PEDIDOS!$A:$A,0),2)</f>
        <v>#N/A</v>
      </c>
      <c r="D847" s="3" t="e">
        <f>INDEX(PEDIDOS!$A:$D,MATCH(FORNECEDOR!A847,PEDIDOS!$A:$A,0),3)</f>
        <v>#N/A</v>
      </c>
      <c r="E847" s="3" t="e">
        <f>INDEX(PEDIDOS!$A:$D,MATCH(FORNECEDOR!A847,PEDIDOS!$A:$A,0),4)</f>
        <v>#N/A</v>
      </c>
    </row>
    <row r="848" spans="1:5" hidden="1" x14ac:dyDescent="0.25">
      <c r="A848" s="1" t="s">
        <v>847</v>
      </c>
      <c r="B848" s="3">
        <f>COUNTIF(PEDIDOS!$A:$A,FORNECEDOR!A848)</f>
        <v>0</v>
      </c>
      <c r="C848" s="3" t="e">
        <f>INDEX(PEDIDOS!$A:$D,MATCH(FORNECEDOR!A848,PEDIDOS!$A:$A,0),2)</f>
        <v>#N/A</v>
      </c>
      <c r="D848" s="3" t="e">
        <f>INDEX(PEDIDOS!$A:$D,MATCH(FORNECEDOR!A848,PEDIDOS!$A:$A,0),3)</f>
        <v>#N/A</v>
      </c>
      <c r="E848" s="3" t="e">
        <f>INDEX(PEDIDOS!$A:$D,MATCH(FORNECEDOR!A848,PEDIDOS!$A:$A,0),4)</f>
        <v>#N/A</v>
      </c>
    </row>
    <row r="849" spans="1:5" x14ac:dyDescent="0.25">
      <c r="A849" s="1" t="s">
        <v>848</v>
      </c>
      <c r="B849" s="3">
        <f>COUNTIF(PEDIDOS!$A:$A,FORNECEDOR!A849)</f>
        <v>1</v>
      </c>
      <c r="C849" s="3" t="str">
        <f>INDEX(PEDIDOS!$A:$D,MATCH(FORNECEDOR!A849,PEDIDOS!$A:$A,0),2)</f>
        <v>CD REGIS</v>
      </c>
      <c r="D849" s="3" t="str">
        <f>INDEX(PEDIDOS!$A:$D,MATCH(FORNECEDOR!A849,PEDIDOS!$A:$A,0),3)</f>
        <v>MATRIZ</v>
      </c>
      <c r="E849" s="3" t="str">
        <f>INDEX(PEDIDOS!$A:$D,MATCH(FORNECEDOR!A849,PEDIDOS!$A:$A,0),4)</f>
        <v>CD REGIS</v>
      </c>
    </row>
    <row r="850" spans="1:5" hidden="1" x14ac:dyDescent="0.25">
      <c r="A850" s="1" t="s">
        <v>849</v>
      </c>
      <c r="B850" s="3">
        <f>COUNTIF(PEDIDOS!$A:$A,FORNECEDOR!A850)</f>
        <v>0</v>
      </c>
      <c r="C850" s="3" t="e">
        <f>INDEX(PEDIDOS!$A:$D,MATCH(FORNECEDOR!A850,PEDIDOS!$A:$A,0),2)</f>
        <v>#N/A</v>
      </c>
      <c r="D850" s="3" t="e">
        <f>INDEX(PEDIDOS!$A:$D,MATCH(FORNECEDOR!A850,PEDIDOS!$A:$A,0),3)</f>
        <v>#N/A</v>
      </c>
      <c r="E850" s="3" t="e">
        <f>INDEX(PEDIDOS!$A:$D,MATCH(FORNECEDOR!A850,PEDIDOS!$A:$A,0),4)</f>
        <v>#N/A</v>
      </c>
    </row>
    <row r="851" spans="1:5" hidden="1" x14ac:dyDescent="0.25">
      <c r="A851" s="1" t="s">
        <v>850</v>
      </c>
      <c r="B851" s="3">
        <f>COUNTIF(PEDIDOS!$A:$A,FORNECEDOR!A851)</f>
        <v>0</v>
      </c>
      <c r="C851" s="3" t="e">
        <f>INDEX(PEDIDOS!$A:$D,MATCH(FORNECEDOR!A851,PEDIDOS!$A:$A,0),2)</f>
        <v>#N/A</v>
      </c>
      <c r="D851" s="3" t="e">
        <f>INDEX(PEDIDOS!$A:$D,MATCH(FORNECEDOR!A851,PEDIDOS!$A:$A,0),3)</f>
        <v>#N/A</v>
      </c>
      <c r="E851" s="3" t="e">
        <f>INDEX(PEDIDOS!$A:$D,MATCH(FORNECEDOR!A851,PEDIDOS!$A:$A,0),4)</f>
        <v>#N/A</v>
      </c>
    </row>
    <row r="852" spans="1:5" hidden="1" x14ac:dyDescent="0.25">
      <c r="A852" s="1" t="s">
        <v>851</v>
      </c>
      <c r="B852" s="3">
        <f>COUNTIF(PEDIDOS!$A:$A,FORNECEDOR!A852)</f>
        <v>0</v>
      </c>
      <c r="C852" s="3" t="e">
        <f>INDEX(PEDIDOS!$A:$D,MATCH(FORNECEDOR!A852,PEDIDOS!$A:$A,0),2)</f>
        <v>#N/A</v>
      </c>
      <c r="D852" s="3" t="e">
        <f>INDEX(PEDIDOS!$A:$D,MATCH(FORNECEDOR!A852,PEDIDOS!$A:$A,0),3)</f>
        <v>#N/A</v>
      </c>
      <c r="E852" s="3" t="e">
        <f>INDEX(PEDIDOS!$A:$D,MATCH(FORNECEDOR!A852,PEDIDOS!$A:$A,0),4)</f>
        <v>#N/A</v>
      </c>
    </row>
    <row r="853" spans="1:5" hidden="1" x14ac:dyDescent="0.25">
      <c r="A853" s="1" t="s">
        <v>852</v>
      </c>
      <c r="B853" s="3">
        <f>COUNTIF(PEDIDOS!$A:$A,FORNECEDOR!A853)</f>
        <v>0</v>
      </c>
      <c r="C853" s="3" t="e">
        <f>INDEX(PEDIDOS!$A:$D,MATCH(FORNECEDOR!A853,PEDIDOS!$A:$A,0),2)</f>
        <v>#N/A</v>
      </c>
      <c r="D853" s="3" t="e">
        <f>INDEX(PEDIDOS!$A:$D,MATCH(FORNECEDOR!A853,PEDIDOS!$A:$A,0),3)</f>
        <v>#N/A</v>
      </c>
      <c r="E853" s="3" t="e">
        <f>INDEX(PEDIDOS!$A:$D,MATCH(FORNECEDOR!A853,PEDIDOS!$A:$A,0),4)</f>
        <v>#N/A</v>
      </c>
    </row>
    <row r="854" spans="1:5" hidden="1" x14ac:dyDescent="0.25">
      <c r="A854" s="1" t="s">
        <v>853</v>
      </c>
      <c r="B854" s="3">
        <f>COUNTIF(PEDIDOS!$A:$A,FORNECEDOR!A854)</f>
        <v>0</v>
      </c>
      <c r="C854" s="3" t="e">
        <f>INDEX(PEDIDOS!$A:$D,MATCH(FORNECEDOR!A854,PEDIDOS!$A:$A,0),2)</f>
        <v>#N/A</v>
      </c>
      <c r="D854" s="3" t="e">
        <f>INDEX(PEDIDOS!$A:$D,MATCH(FORNECEDOR!A854,PEDIDOS!$A:$A,0),3)</f>
        <v>#N/A</v>
      </c>
      <c r="E854" s="3" t="e">
        <f>INDEX(PEDIDOS!$A:$D,MATCH(FORNECEDOR!A854,PEDIDOS!$A:$A,0),4)</f>
        <v>#N/A</v>
      </c>
    </row>
    <row r="855" spans="1:5" x14ac:dyDescent="0.25">
      <c r="A855" s="1" t="s">
        <v>854</v>
      </c>
      <c r="B855" s="3">
        <f>COUNTIF(PEDIDOS!$A:$A,FORNECEDOR!A855)</f>
        <v>1</v>
      </c>
      <c r="C855" s="3" t="str">
        <f>INDEX(PEDIDOS!$A:$D,MATCH(FORNECEDOR!A855,PEDIDOS!$A:$A,0),2)</f>
        <v>CD REGIS</v>
      </c>
      <c r="D855" s="3" t="str">
        <f>INDEX(PEDIDOS!$A:$D,MATCH(FORNECEDOR!A855,PEDIDOS!$A:$A,0),3)</f>
        <v>MATRIZ</v>
      </c>
      <c r="E855" s="3" t="str">
        <f>INDEX(PEDIDOS!$A:$D,MATCH(FORNECEDOR!A855,PEDIDOS!$A:$A,0),4)</f>
        <v>CD REGIS</v>
      </c>
    </row>
    <row r="856" spans="1:5" hidden="1" x14ac:dyDescent="0.25">
      <c r="A856" s="1" t="s">
        <v>855</v>
      </c>
      <c r="B856" s="3">
        <f>COUNTIF(PEDIDOS!$A:$A,FORNECEDOR!A856)</f>
        <v>0</v>
      </c>
      <c r="C856" s="3" t="e">
        <f>INDEX(PEDIDOS!$A:$D,MATCH(FORNECEDOR!A856,PEDIDOS!$A:$A,0),2)</f>
        <v>#N/A</v>
      </c>
      <c r="D856" s="3" t="e">
        <f>INDEX(PEDIDOS!$A:$D,MATCH(FORNECEDOR!A856,PEDIDOS!$A:$A,0),3)</f>
        <v>#N/A</v>
      </c>
      <c r="E856" s="3" t="e">
        <f>INDEX(PEDIDOS!$A:$D,MATCH(FORNECEDOR!A856,PEDIDOS!$A:$A,0),4)</f>
        <v>#N/A</v>
      </c>
    </row>
    <row r="857" spans="1:5" hidden="1" x14ac:dyDescent="0.25">
      <c r="A857" s="1" t="s">
        <v>856</v>
      </c>
      <c r="B857" s="3">
        <f>COUNTIF(PEDIDOS!$A:$A,FORNECEDOR!A857)</f>
        <v>0</v>
      </c>
      <c r="C857" s="3" t="e">
        <f>INDEX(PEDIDOS!$A:$D,MATCH(FORNECEDOR!A857,PEDIDOS!$A:$A,0),2)</f>
        <v>#N/A</v>
      </c>
      <c r="D857" s="3" t="e">
        <f>INDEX(PEDIDOS!$A:$D,MATCH(FORNECEDOR!A857,PEDIDOS!$A:$A,0),3)</f>
        <v>#N/A</v>
      </c>
      <c r="E857" s="3" t="e">
        <f>INDEX(PEDIDOS!$A:$D,MATCH(FORNECEDOR!A857,PEDIDOS!$A:$A,0),4)</f>
        <v>#N/A</v>
      </c>
    </row>
    <row r="858" spans="1:5" hidden="1" x14ac:dyDescent="0.25">
      <c r="A858" s="1" t="s">
        <v>857</v>
      </c>
      <c r="B858" s="3">
        <f>COUNTIF(PEDIDOS!$A:$A,FORNECEDOR!A858)</f>
        <v>0</v>
      </c>
      <c r="C858" s="3" t="e">
        <f>INDEX(PEDIDOS!$A:$D,MATCH(FORNECEDOR!A858,PEDIDOS!$A:$A,0),2)</f>
        <v>#N/A</v>
      </c>
      <c r="D858" s="3" t="e">
        <f>INDEX(PEDIDOS!$A:$D,MATCH(FORNECEDOR!A858,PEDIDOS!$A:$A,0),3)</f>
        <v>#N/A</v>
      </c>
      <c r="E858" s="3" t="e">
        <f>INDEX(PEDIDOS!$A:$D,MATCH(FORNECEDOR!A858,PEDIDOS!$A:$A,0),4)</f>
        <v>#N/A</v>
      </c>
    </row>
    <row r="859" spans="1:5" hidden="1" x14ac:dyDescent="0.25">
      <c r="A859" s="1" t="s">
        <v>858</v>
      </c>
      <c r="B859" s="3">
        <f>COUNTIF(PEDIDOS!$A:$A,FORNECEDOR!A859)</f>
        <v>0</v>
      </c>
      <c r="C859" s="3" t="e">
        <f>INDEX(PEDIDOS!$A:$D,MATCH(FORNECEDOR!A859,PEDIDOS!$A:$A,0),2)</f>
        <v>#N/A</v>
      </c>
      <c r="D859" s="3" t="e">
        <f>INDEX(PEDIDOS!$A:$D,MATCH(FORNECEDOR!A859,PEDIDOS!$A:$A,0),3)</f>
        <v>#N/A</v>
      </c>
      <c r="E859" s="3" t="e">
        <f>INDEX(PEDIDOS!$A:$D,MATCH(FORNECEDOR!A859,PEDIDOS!$A:$A,0),4)</f>
        <v>#N/A</v>
      </c>
    </row>
    <row r="860" spans="1:5" hidden="1" x14ac:dyDescent="0.25">
      <c r="A860" s="1" t="s">
        <v>859</v>
      </c>
      <c r="B860" s="3">
        <f>COUNTIF(PEDIDOS!$A:$A,FORNECEDOR!A860)</f>
        <v>0</v>
      </c>
      <c r="C860" s="3" t="e">
        <f>INDEX(PEDIDOS!$A:$D,MATCH(FORNECEDOR!A860,PEDIDOS!$A:$A,0),2)</f>
        <v>#N/A</v>
      </c>
      <c r="D860" s="3" t="e">
        <f>INDEX(PEDIDOS!$A:$D,MATCH(FORNECEDOR!A860,PEDIDOS!$A:$A,0),3)</f>
        <v>#N/A</v>
      </c>
      <c r="E860" s="3" t="e">
        <f>INDEX(PEDIDOS!$A:$D,MATCH(FORNECEDOR!A860,PEDIDOS!$A:$A,0),4)</f>
        <v>#N/A</v>
      </c>
    </row>
    <row r="861" spans="1:5" hidden="1" x14ac:dyDescent="0.25">
      <c r="A861" s="1" t="s">
        <v>860</v>
      </c>
      <c r="B861" s="3">
        <f>COUNTIF(PEDIDOS!$A:$A,FORNECEDOR!A861)</f>
        <v>0</v>
      </c>
      <c r="C861" s="3" t="e">
        <f>INDEX(PEDIDOS!$A:$D,MATCH(FORNECEDOR!A861,PEDIDOS!$A:$A,0),2)</f>
        <v>#N/A</v>
      </c>
      <c r="D861" s="3" t="e">
        <f>INDEX(PEDIDOS!$A:$D,MATCH(FORNECEDOR!A861,PEDIDOS!$A:$A,0),3)</f>
        <v>#N/A</v>
      </c>
      <c r="E861" s="3" t="e">
        <f>INDEX(PEDIDOS!$A:$D,MATCH(FORNECEDOR!A861,PEDIDOS!$A:$A,0),4)</f>
        <v>#N/A</v>
      </c>
    </row>
    <row r="862" spans="1:5" hidden="1" x14ac:dyDescent="0.25">
      <c r="A862" s="1" t="s">
        <v>861</v>
      </c>
      <c r="B862" s="3">
        <f>COUNTIF(PEDIDOS!$A:$A,FORNECEDOR!A862)</f>
        <v>0</v>
      </c>
      <c r="C862" s="3" t="e">
        <f>INDEX(PEDIDOS!$A:$D,MATCH(FORNECEDOR!A862,PEDIDOS!$A:$A,0),2)</f>
        <v>#N/A</v>
      </c>
      <c r="D862" s="3" t="e">
        <f>INDEX(PEDIDOS!$A:$D,MATCH(FORNECEDOR!A862,PEDIDOS!$A:$A,0),3)</f>
        <v>#N/A</v>
      </c>
      <c r="E862" s="3" t="e">
        <f>INDEX(PEDIDOS!$A:$D,MATCH(FORNECEDOR!A862,PEDIDOS!$A:$A,0),4)</f>
        <v>#N/A</v>
      </c>
    </row>
    <row r="863" spans="1:5" hidden="1" x14ac:dyDescent="0.25">
      <c r="A863" s="1" t="s">
        <v>862</v>
      </c>
      <c r="B863" s="3">
        <f>COUNTIF(PEDIDOS!$A:$A,FORNECEDOR!A863)</f>
        <v>0</v>
      </c>
      <c r="C863" s="3" t="e">
        <f>INDEX(PEDIDOS!$A:$D,MATCH(FORNECEDOR!A863,PEDIDOS!$A:$A,0),2)</f>
        <v>#N/A</v>
      </c>
      <c r="D863" s="3" t="e">
        <f>INDEX(PEDIDOS!$A:$D,MATCH(FORNECEDOR!A863,PEDIDOS!$A:$A,0),3)</f>
        <v>#N/A</v>
      </c>
      <c r="E863" s="3" t="e">
        <f>INDEX(PEDIDOS!$A:$D,MATCH(FORNECEDOR!A863,PEDIDOS!$A:$A,0),4)</f>
        <v>#N/A</v>
      </c>
    </row>
    <row r="864" spans="1:5" hidden="1" x14ac:dyDescent="0.25">
      <c r="A864" s="1" t="s">
        <v>863</v>
      </c>
      <c r="B864" s="3">
        <f>COUNTIF(PEDIDOS!$A:$A,FORNECEDOR!A864)</f>
        <v>0</v>
      </c>
      <c r="C864" s="3" t="e">
        <f>INDEX(PEDIDOS!$A:$D,MATCH(FORNECEDOR!A864,PEDIDOS!$A:$A,0),2)</f>
        <v>#N/A</v>
      </c>
      <c r="D864" s="3" t="e">
        <f>INDEX(PEDIDOS!$A:$D,MATCH(FORNECEDOR!A864,PEDIDOS!$A:$A,0),3)</f>
        <v>#N/A</v>
      </c>
      <c r="E864" s="3" t="e">
        <f>INDEX(PEDIDOS!$A:$D,MATCH(FORNECEDOR!A864,PEDIDOS!$A:$A,0),4)</f>
        <v>#N/A</v>
      </c>
    </row>
    <row r="865" spans="1:5" x14ac:dyDescent="0.25">
      <c r="A865" s="1" t="s">
        <v>864</v>
      </c>
      <c r="B865" s="3">
        <f>COUNTIF(PEDIDOS!$A:$A,FORNECEDOR!A865)</f>
        <v>1</v>
      </c>
      <c r="C865" s="3" t="str">
        <f>INDEX(PEDIDOS!$A:$D,MATCH(FORNECEDOR!A865,PEDIDOS!$A:$A,0),2)</f>
        <v>CD REGIS</v>
      </c>
      <c r="D865" s="3" t="str">
        <f>INDEX(PEDIDOS!$A:$D,MATCH(FORNECEDOR!A865,PEDIDOS!$A:$A,0),3)</f>
        <v>CD REGIS</v>
      </c>
      <c r="E865" s="3" t="str">
        <f>INDEX(PEDIDOS!$A:$D,MATCH(FORNECEDOR!A865,PEDIDOS!$A:$A,0),4)</f>
        <v>CD REGIS</v>
      </c>
    </row>
    <row r="866" spans="1:5" hidden="1" x14ac:dyDescent="0.25">
      <c r="A866" s="1" t="s">
        <v>865</v>
      </c>
      <c r="B866" s="3">
        <f>COUNTIF(PEDIDOS!$A:$A,FORNECEDOR!A866)</f>
        <v>0</v>
      </c>
      <c r="C866" s="3" t="e">
        <f>INDEX(PEDIDOS!$A:$D,MATCH(FORNECEDOR!A866,PEDIDOS!$A:$A,0),2)</f>
        <v>#N/A</v>
      </c>
      <c r="D866" s="3" t="e">
        <f>INDEX(PEDIDOS!$A:$D,MATCH(FORNECEDOR!A866,PEDIDOS!$A:$A,0),3)</f>
        <v>#N/A</v>
      </c>
      <c r="E866" s="3" t="e">
        <f>INDEX(PEDIDOS!$A:$D,MATCH(FORNECEDOR!A866,PEDIDOS!$A:$A,0),4)</f>
        <v>#N/A</v>
      </c>
    </row>
    <row r="867" spans="1:5" hidden="1" x14ac:dyDescent="0.25">
      <c r="A867" s="1" t="s">
        <v>866</v>
      </c>
      <c r="B867" s="3">
        <f>COUNTIF(PEDIDOS!$A:$A,FORNECEDOR!A867)</f>
        <v>0</v>
      </c>
      <c r="C867" s="3" t="e">
        <f>INDEX(PEDIDOS!$A:$D,MATCH(FORNECEDOR!A867,PEDIDOS!$A:$A,0),2)</f>
        <v>#N/A</v>
      </c>
      <c r="D867" s="3" t="e">
        <f>INDEX(PEDIDOS!$A:$D,MATCH(FORNECEDOR!A867,PEDIDOS!$A:$A,0),3)</f>
        <v>#N/A</v>
      </c>
      <c r="E867" s="3" t="e">
        <f>INDEX(PEDIDOS!$A:$D,MATCH(FORNECEDOR!A867,PEDIDOS!$A:$A,0),4)</f>
        <v>#N/A</v>
      </c>
    </row>
    <row r="868" spans="1:5" x14ac:dyDescent="0.25">
      <c r="A868" s="1" t="s">
        <v>867</v>
      </c>
      <c r="B868" s="3">
        <f>COUNTIF(PEDIDOS!$A:$A,FORNECEDOR!A868)</f>
        <v>3</v>
      </c>
      <c r="C868" s="3" t="str">
        <f>INDEX(PEDIDOS!$A:$D,MATCH(FORNECEDOR!A868,PEDIDOS!$A:$A,0),2)</f>
        <v>CD NAVEGANTES</v>
      </c>
      <c r="D868" s="3" t="str">
        <f>INDEX(PEDIDOS!$A:$D,MATCH(FORNECEDOR!A868,PEDIDOS!$A:$A,0),3)</f>
        <v>LAJEADO</v>
      </c>
      <c r="E868" s="3" t="str">
        <f>INDEX(PEDIDOS!$A:$D,MATCH(FORNECEDOR!A868,PEDIDOS!$A:$A,0),4)</f>
        <v>CD NAVEGANTES</v>
      </c>
    </row>
    <row r="869" spans="1:5" x14ac:dyDescent="0.25">
      <c r="A869" s="1" t="s">
        <v>868</v>
      </c>
      <c r="B869" s="3">
        <f>COUNTIF(PEDIDOS!$A:$A,FORNECEDOR!A869)</f>
        <v>1</v>
      </c>
      <c r="C869" s="3" t="str">
        <f>INDEX(PEDIDOS!$A:$D,MATCH(FORNECEDOR!A869,PEDIDOS!$A:$A,0),2)</f>
        <v>MATRIZ</v>
      </c>
      <c r="D869" s="3" t="str">
        <f>INDEX(PEDIDOS!$A:$D,MATCH(FORNECEDOR!A869,PEDIDOS!$A:$A,0),3)</f>
        <v>MATRIZ</v>
      </c>
      <c r="E869" s="3" t="str">
        <f>INDEX(PEDIDOS!$A:$D,MATCH(FORNECEDOR!A869,PEDIDOS!$A:$A,0),4)</f>
        <v>MATRIZ</v>
      </c>
    </row>
    <row r="870" spans="1:5" hidden="1" x14ac:dyDescent="0.25">
      <c r="A870" s="1" t="s">
        <v>869</v>
      </c>
      <c r="B870" s="3">
        <f>COUNTIF(PEDIDOS!$A:$A,FORNECEDOR!A870)</f>
        <v>0</v>
      </c>
      <c r="C870" s="3" t="e">
        <f>INDEX(PEDIDOS!$A:$D,MATCH(FORNECEDOR!A870,PEDIDOS!$A:$A,0),2)</f>
        <v>#N/A</v>
      </c>
      <c r="D870" s="3" t="e">
        <f>INDEX(PEDIDOS!$A:$D,MATCH(FORNECEDOR!A870,PEDIDOS!$A:$A,0),3)</f>
        <v>#N/A</v>
      </c>
      <c r="E870" s="3" t="e">
        <f>INDEX(PEDIDOS!$A:$D,MATCH(FORNECEDOR!A870,PEDIDOS!$A:$A,0),4)</f>
        <v>#N/A</v>
      </c>
    </row>
    <row r="871" spans="1:5" hidden="1" x14ac:dyDescent="0.25">
      <c r="A871" s="1" t="s">
        <v>870</v>
      </c>
      <c r="B871" s="3">
        <f>COUNTIF(PEDIDOS!$A:$A,FORNECEDOR!A871)</f>
        <v>0</v>
      </c>
      <c r="C871" s="3" t="e">
        <f>INDEX(PEDIDOS!$A:$D,MATCH(FORNECEDOR!A871,PEDIDOS!$A:$A,0),2)</f>
        <v>#N/A</v>
      </c>
      <c r="D871" s="3" t="e">
        <f>INDEX(PEDIDOS!$A:$D,MATCH(FORNECEDOR!A871,PEDIDOS!$A:$A,0),3)</f>
        <v>#N/A</v>
      </c>
      <c r="E871" s="3" t="e">
        <f>INDEX(PEDIDOS!$A:$D,MATCH(FORNECEDOR!A871,PEDIDOS!$A:$A,0),4)</f>
        <v>#N/A</v>
      </c>
    </row>
    <row r="872" spans="1:5" hidden="1" x14ac:dyDescent="0.25">
      <c r="A872" s="1" t="s">
        <v>871</v>
      </c>
      <c r="B872" s="3">
        <f>COUNTIF(PEDIDOS!$A:$A,FORNECEDOR!A872)</f>
        <v>0</v>
      </c>
      <c r="C872" s="3" t="e">
        <f>INDEX(PEDIDOS!$A:$D,MATCH(FORNECEDOR!A872,PEDIDOS!$A:$A,0),2)</f>
        <v>#N/A</v>
      </c>
      <c r="D872" s="3" t="e">
        <f>INDEX(PEDIDOS!$A:$D,MATCH(FORNECEDOR!A872,PEDIDOS!$A:$A,0),3)</f>
        <v>#N/A</v>
      </c>
      <c r="E872" s="3" t="e">
        <f>INDEX(PEDIDOS!$A:$D,MATCH(FORNECEDOR!A872,PEDIDOS!$A:$A,0),4)</f>
        <v>#N/A</v>
      </c>
    </row>
    <row r="873" spans="1:5" hidden="1" x14ac:dyDescent="0.25">
      <c r="A873" s="1" t="s">
        <v>872</v>
      </c>
      <c r="B873" s="3">
        <f>COUNTIF(PEDIDOS!$A:$A,FORNECEDOR!A873)</f>
        <v>0</v>
      </c>
      <c r="C873" s="3" t="e">
        <f>INDEX(PEDIDOS!$A:$D,MATCH(FORNECEDOR!A873,PEDIDOS!$A:$A,0),2)</f>
        <v>#N/A</v>
      </c>
      <c r="D873" s="3" t="e">
        <f>INDEX(PEDIDOS!$A:$D,MATCH(FORNECEDOR!A873,PEDIDOS!$A:$A,0),3)</f>
        <v>#N/A</v>
      </c>
      <c r="E873" s="3" t="e">
        <f>INDEX(PEDIDOS!$A:$D,MATCH(FORNECEDOR!A873,PEDIDOS!$A:$A,0),4)</f>
        <v>#N/A</v>
      </c>
    </row>
    <row r="874" spans="1:5" hidden="1" x14ac:dyDescent="0.25">
      <c r="A874" s="1" t="s">
        <v>873</v>
      </c>
      <c r="B874" s="3">
        <f>COUNTIF(PEDIDOS!$A:$A,FORNECEDOR!A874)</f>
        <v>0</v>
      </c>
      <c r="C874" s="3" t="e">
        <f>INDEX(PEDIDOS!$A:$D,MATCH(FORNECEDOR!A874,PEDIDOS!$A:$A,0),2)</f>
        <v>#N/A</v>
      </c>
      <c r="D874" s="3" t="e">
        <f>INDEX(PEDIDOS!$A:$D,MATCH(FORNECEDOR!A874,PEDIDOS!$A:$A,0),3)</f>
        <v>#N/A</v>
      </c>
      <c r="E874" s="3" t="e">
        <f>INDEX(PEDIDOS!$A:$D,MATCH(FORNECEDOR!A874,PEDIDOS!$A:$A,0),4)</f>
        <v>#N/A</v>
      </c>
    </row>
    <row r="875" spans="1:5" x14ac:dyDescent="0.25">
      <c r="A875" s="1" t="s">
        <v>874</v>
      </c>
      <c r="B875" s="3">
        <f>COUNTIF(PEDIDOS!$A:$A,FORNECEDOR!A875)</f>
        <v>1</v>
      </c>
      <c r="C875" s="3" t="str">
        <f>INDEX(PEDIDOS!$A:$D,MATCH(FORNECEDOR!A875,PEDIDOS!$A:$A,0),2)</f>
        <v>CD REGIS</v>
      </c>
      <c r="D875" s="3" t="str">
        <f>INDEX(PEDIDOS!$A:$D,MATCH(FORNECEDOR!A875,PEDIDOS!$A:$A,0),3)</f>
        <v>CD REGIS</v>
      </c>
      <c r="E875" s="3" t="str">
        <f>INDEX(PEDIDOS!$A:$D,MATCH(FORNECEDOR!A875,PEDIDOS!$A:$A,0),4)</f>
        <v>CD REGIS</v>
      </c>
    </row>
    <row r="876" spans="1:5" hidden="1" x14ac:dyDescent="0.25">
      <c r="A876" s="1" t="s">
        <v>875</v>
      </c>
      <c r="B876" s="3">
        <f>COUNTIF(PEDIDOS!$A:$A,FORNECEDOR!A876)</f>
        <v>0</v>
      </c>
      <c r="C876" s="3" t="e">
        <f>INDEX(PEDIDOS!$A:$D,MATCH(FORNECEDOR!A876,PEDIDOS!$A:$A,0),2)</f>
        <v>#N/A</v>
      </c>
      <c r="D876" s="3" t="e">
        <f>INDEX(PEDIDOS!$A:$D,MATCH(FORNECEDOR!A876,PEDIDOS!$A:$A,0),3)</f>
        <v>#N/A</v>
      </c>
      <c r="E876" s="3" t="e">
        <f>INDEX(PEDIDOS!$A:$D,MATCH(FORNECEDOR!A876,PEDIDOS!$A:$A,0),4)</f>
        <v>#N/A</v>
      </c>
    </row>
    <row r="877" spans="1:5" hidden="1" x14ac:dyDescent="0.25">
      <c r="A877" s="1" t="s">
        <v>876</v>
      </c>
      <c r="B877" s="3">
        <f>COUNTIF(PEDIDOS!$A:$A,FORNECEDOR!A877)</f>
        <v>0</v>
      </c>
      <c r="C877" s="3" t="e">
        <f>INDEX(PEDIDOS!$A:$D,MATCH(FORNECEDOR!A877,PEDIDOS!$A:$A,0),2)</f>
        <v>#N/A</v>
      </c>
      <c r="D877" s="3" t="e">
        <f>INDEX(PEDIDOS!$A:$D,MATCH(FORNECEDOR!A877,PEDIDOS!$A:$A,0),3)</f>
        <v>#N/A</v>
      </c>
      <c r="E877" s="3" t="e">
        <f>INDEX(PEDIDOS!$A:$D,MATCH(FORNECEDOR!A877,PEDIDOS!$A:$A,0),4)</f>
        <v>#N/A</v>
      </c>
    </row>
    <row r="878" spans="1:5" hidden="1" x14ac:dyDescent="0.25">
      <c r="A878" s="1" t="s">
        <v>877</v>
      </c>
      <c r="B878" s="3">
        <f>COUNTIF(PEDIDOS!$A:$A,FORNECEDOR!A878)</f>
        <v>0</v>
      </c>
      <c r="C878" s="3" t="e">
        <f>INDEX(PEDIDOS!$A:$D,MATCH(FORNECEDOR!A878,PEDIDOS!$A:$A,0),2)</f>
        <v>#N/A</v>
      </c>
      <c r="D878" s="3" t="e">
        <f>INDEX(PEDIDOS!$A:$D,MATCH(FORNECEDOR!A878,PEDIDOS!$A:$A,0),3)</f>
        <v>#N/A</v>
      </c>
      <c r="E878" s="3" t="e">
        <f>INDEX(PEDIDOS!$A:$D,MATCH(FORNECEDOR!A878,PEDIDOS!$A:$A,0),4)</f>
        <v>#N/A</v>
      </c>
    </row>
    <row r="879" spans="1:5" hidden="1" x14ac:dyDescent="0.25">
      <c r="A879" s="1" t="s">
        <v>878</v>
      </c>
      <c r="B879" s="3">
        <f>COUNTIF(PEDIDOS!$A:$A,FORNECEDOR!A879)</f>
        <v>0</v>
      </c>
      <c r="C879" s="3" t="e">
        <f>INDEX(PEDIDOS!$A:$D,MATCH(FORNECEDOR!A879,PEDIDOS!$A:$A,0),2)</f>
        <v>#N/A</v>
      </c>
      <c r="D879" s="3" t="e">
        <f>INDEX(PEDIDOS!$A:$D,MATCH(FORNECEDOR!A879,PEDIDOS!$A:$A,0),3)</f>
        <v>#N/A</v>
      </c>
      <c r="E879" s="3" t="e">
        <f>INDEX(PEDIDOS!$A:$D,MATCH(FORNECEDOR!A879,PEDIDOS!$A:$A,0),4)</f>
        <v>#N/A</v>
      </c>
    </row>
    <row r="880" spans="1:5" hidden="1" x14ac:dyDescent="0.25">
      <c r="A880" s="1" t="s">
        <v>879</v>
      </c>
      <c r="B880" s="3">
        <f>COUNTIF(PEDIDOS!$A:$A,FORNECEDOR!A880)</f>
        <v>0</v>
      </c>
      <c r="C880" s="3" t="e">
        <f>INDEX(PEDIDOS!$A:$D,MATCH(FORNECEDOR!A880,PEDIDOS!$A:$A,0),2)</f>
        <v>#N/A</v>
      </c>
      <c r="D880" s="3" t="e">
        <f>INDEX(PEDIDOS!$A:$D,MATCH(FORNECEDOR!A880,PEDIDOS!$A:$A,0),3)</f>
        <v>#N/A</v>
      </c>
      <c r="E880" s="3" t="e">
        <f>INDEX(PEDIDOS!$A:$D,MATCH(FORNECEDOR!A880,PEDIDOS!$A:$A,0),4)</f>
        <v>#N/A</v>
      </c>
    </row>
    <row r="881" spans="1:5" hidden="1" x14ac:dyDescent="0.25">
      <c r="A881" s="1" t="s">
        <v>880</v>
      </c>
      <c r="B881" s="3">
        <f>COUNTIF(PEDIDOS!$A:$A,FORNECEDOR!A881)</f>
        <v>0</v>
      </c>
      <c r="C881" s="3" t="e">
        <f>INDEX(PEDIDOS!$A:$D,MATCH(FORNECEDOR!A881,PEDIDOS!$A:$A,0),2)</f>
        <v>#N/A</v>
      </c>
      <c r="D881" s="3" t="e">
        <f>INDEX(PEDIDOS!$A:$D,MATCH(FORNECEDOR!A881,PEDIDOS!$A:$A,0),3)</f>
        <v>#N/A</v>
      </c>
      <c r="E881" s="3" t="e">
        <f>INDEX(PEDIDOS!$A:$D,MATCH(FORNECEDOR!A881,PEDIDOS!$A:$A,0),4)</f>
        <v>#N/A</v>
      </c>
    </row>
    <row r="882" spans="1:5" hidden="1" x14ac:dyDescent="0.25">
      <c r="A882" s="1" t="s">
        <v>881</v>
      </c>
      <c r="B882" s="3">
        <f>COUNTIF(PEDIDOS!$A:$A,FORNECEDOR!A882)</f>
        <v>0</v>
      </c>
      <c r="C882" s="3" t="e">
        <f>INDEX(PEDIDOS!$A:$D,MATCH(FORNECEDOR!A882,PEDIDOS!$A:$A,0),2)</f>
        <v>#N/A</v>
      </c>
      <c r="D882" s="3" t="e">
        <f>INDEX(PEDIDOS!$A:$D,MATCH(FORNECEDOR!A882,PEDIDOS!$A:$A,0),3)</f>
        <v>#N/A</v>
      </c>
      <c r="E882" s="3" t="e">
        <f>INDEX(PEDIDOS!$A:$D,MATCH(FORNECEDOR!A882,PEDIDOS!$A:$A,0),4)</f>
        <v>#N/A</v>
      </c>
    </row>
    <row r="883" spans="1:5" hidden="1" x14ac:dyDescent="0.25">
      <c r="A883" s="1" t="s">
        <v>882</v>
      </c>
      <c r="B883" s="3">
        <f>COUNTIF(PEDIDOS!$A:$A,FORNECEDOR!A883)</f>
        <v>0</v>
      </c>
      <c r="C883" s="3" t="e">
        <f>INDEX(PEDIDOS!$A:$D,MATCH(FORNECEDOR!A883,PEDIDOS!$A:$A,0),2)</f>
        <v>#N/A</v>
      </c>
      <c r="D883" s="3" t="e">
        <f>INDEX(PEDIDOS!$A:$D,MATCH(FORNECEDOR!A883,PEDIDOS!$A:$A,0),3)</f>
        <v>#N/A</v>
      </c>
      <c r="E883" s="3" t="e">
        <f>INDEX(PEDIDOS!$A:$D,MATCH(FORNECEDOR!A883,PEDIDOS!$A:$A,0),4)</f>
        <v>#N/A</v>
      </c>
    </row>
    <row r="884" spans="1:5" hidden="1" x14ac:dyDescent="0.25">
      <c r="A884" s="1" t="s">
        <v>883</v>
      </c>
      <c r="B884" s="3">
        <f>COUNTIF(PEDIDOS!$A:$A,FORNECEDOR!A884)</f>
        <v>0</v>
      </c>
      <c r="C884" s="3" t="e">
        <f>INDEX(PEDIDOS!$A:$D,MATCH(FORNECEDOR!A884,PEDIDOS!$A:$A,0),2)</f>
        <v>#N/A</v>
      </c>
      <c r="D884" s="3" t="e">
        <f>INDEX(PEDIDOS!$A:$D,MATCH(FORNECEDOR!A884,PEDIDOS!$A:$A,0),3)</f>
        <v>#N/A</v>
      </c>
      <c r="E884" s="3" t="e">
        <f>INDEX(PEDIDOS!$A:$D,MATCH(FORNECEDOR!A884,PEDIDOS!$A:$A,0),4)</f>
        <v>#N/A</v>
      </c>
    </row>
    <row r="885" spans="1:5" hidden="1" x14ac:dyDescent="0.25">
      <c r="A885" s="1" t="s">
        <v>884</v>
      </c>
      <c r="B885" s="3">
        <f>COUNTIF(PEDIDOS!$A:$A,FORNECEDOR!A885)</f>
        <v>0</v>
      </c>
      <c r="C885" s="3" t="e">
        <f>INDEX(PEDIDOS!$A:$D,MATCH(FORNECEDOR!A885,PEDIDOS!$A:$A,0),2)</f>
        <v>#N/A</v>
      </c>
      <c r="D885" s="3" t="e">
        <f>INDEX(PEDIDOS!$A:$D,MATCH(FORNECEDOR!A885,PEDIDOS!$A:$A,0),3)</f>
        <v>#N/A</v>
      </c>
      <c r="E885" s="3" t="e">
        <f>INDEX(PEDIDOS!$A:$D,MATCH(FORNECEDOR!A885,PEDIDOS!$A:$A,0),4)</f>
        <v>#N/A</v>
      </c>
    </row>
    <row r="886" spans="1:5" hidden="1" x14ac:dyDescent="0.25">
      <c r="A886" s="1" t="s">
        <v>885</v>
      </c>
      <c r="B886" s="3">
        <f>COUNTIF(PEDIDOS!$A:$A,FORNECEDOR!A886)</f>
        <v>0</v>
      </c>
      <c r="C886" s="3" t="e">
        <f>INDEX(PEDIDOS!$A:$D,MATCH(FORNECEDOR!A886,PEDIDOS!$A:$A,0),2)</f>
        <v>#N/A</v>
      </c>
      <c r="D886" s="3" t="e">
        <f>INDEX(PEDIDOS!$A:$D,MATCH(FORNECEDOR!A886,PEDIDOS!$A:$A,0),3)</f>
        <v>#N/A</v>
      </c>
      <c r="E886" s="3" t="e">
        <f>INDEX(PEDIDOS!$A:$D,MATCH(FORNECEDOR!A886,PEDIDOS!$A:$A,0),4)</f>
        <v>#N/A</v>
      </c>
    </row>
    <row r="887" spans="1:5" hidden="1" x14ac:dyDescent="0.25">
      <c r="A887" s="1" t="s">
        <v>886</v>
      </c>
      <c r="B887" s="3">
        <f>COUNTIF(PEDIDOS!$A:$A,FORNECEDOR!A887)</f>
        <v>0</v>
      </c>
      <c r="C887" s="3" t="e">
        <f>INDEX(PEDIDOS!$A:$D,MATCH(FORNECEDOR!A887,PEDIDOS!$A:$A,0),2)</f>
        <v>#N/A</v>
      </c>
      <c r="D887" s="3" t="e">
        <f>INDEX(PEDIDOS!$A:$D,MATCH(FORNECEDOR!A887,PEDIDOS!$A:$A,0),3)</f>
        <v>#N/A</v>
      </c>
      <c r="E887" s="3" t="e">
        <f>INDEX(PEDIDOS!$A:$D,MATCH(FORNECEDOR!A887,PEDIDOS!$A:$A,0),4)</f>
        <v>#N/A</v>
      </c>
    </row>
    <row r="888" spans="1:5" x14ac:dyDescent="0.25">
      <c r="A888" s="1" t="s">
        <v>887</v>
      </c>
      <c r="B888" s="3">
        <f>COUNTIF(PEDIDOS!$A:$A,FORNECEDOR!A888)</f>
        <v>2</v>
      </c>
      <c r="C888" s="3" t="str">
        <f>INDEX(PEDIDOS!$A:$D,MATCH(FORNECEDOR!A888,PEDIDOS!$A:$A,0),2)</f>
        <v>CD REGIS</v>
      </c>
      <c r="D888" s="3" t="str">
        <f>INDEX(PEDIDOS!$A:$D,MATCH(FORNECEDOR!A888,PEDIDOS!$A:$A,0),3)</f>
        <v>CD REGIS</v>
      </c>
      <c r="E888" s="3" t="str">
        <f>INDEX(PEDIDOS!$A:$D,MATCH(FORNECEDOR!A888,PEDIDOS!$A:$A,0),4)</f>
        <v>CD REGIS</v>
      </c>
    </row>
    <row r="889" spans="1:5" hidden="1" x14ac:dyDescent="0.25">
      <c r="A889" s="1" t="s">
        <v>888</v>
      </c>
      <c r="B889" s="3">
        <f>COUNTIF(PEDIDOS!$A:$A,FORNECEDOR!A889)</f>
        <v>0</v>
      </c>
      <c r="C889" s="3" t="e">
        <f>INDEX(PEDIDOS!$A:$D,MATCH(FORNECEDOR!A889,PEDIDOS!$A:$A,0),2)</f>
        <v>#N/A</v>
      </c>
      <c r="D889" s="3" t="e">
        <f>INDEX(PEDIDOS!$A:$D,MATCH(FORNECEDOR!A889,PEDIDOS!$A:$A,0),3)</f>
        <v>#N/A</v>
      </c>
      <c r="E889" s="3" t="e">
        <f>INDEX(PEDIDOS!$A:$D,MATCH(FORNECEDOR!A889,PEDIDOS!$A:$A,0),4)</f>
        <v>#N/A</v>
      </c>
    </row>
    <row r="890" spans="1:5" hidden="1" x14ac:dyDescent="0.25">
      <c r="A890" s="1" t="s">
        <v>889</v>
      </c>
      <c r="B890" s="3">
        <f>COUNTIF(PEDIDOS!$A:$A,FORNECEDOR!A890)</f>
        <v>0</v>
      </c>
      <c r="C890" s="3" t="e">
        <f>INDEX(PEDIDOS!$A:$D,MATCH(FORNECEDOR!A890,PEDIDOS!$A:$A,0),2)</f>
        <v>#N/A</v>
      </c>
      <c r="D890" s="3" t="e">
        <f>INDEX(PEDIDOS!$A:$D,MATCH(FORNECEDOR!A890,PEDIDOS!$A:$A,0),3)</f>
        <v>#N/A</v>
      </c>
      <c r="E890" s="3" t="e">
        <f>INDEX(PEDIDOS!$A:$D,MATCH(FORNECEDOR!A890,PEDIDOS!$A:$A,0),4)</f>
        <v>#N/A</v>
      </c>
    </row>
    <row r="891" spans="1:5" x14ac:dyDescent="0.25">
      <c r="A891" s="1" t="s">
        <v>890</v>
      </c>
      <c r="B891" s="3">
        <f>COUNTIF(PEDIDOS!$A:$A,FORNECEDOR!A891)</f>
        <v>1</v>
      </c>
      <c r="C891" s="3" t="str">
        <f>INDEX(PEDIDOS!$A:$D,MATCH(FORNECEDOR!A891,PEDIDOS!$A:$A,0),2)</f>
        <v>MATRIZ</v>
      </c>
      <c r="D891" s="3" t="str">
        <f>INDEX(PEDIDOS!$A:$D,MATCH(FORNECEDOR!A891,PEDIDOS!$A:$A,0),3)</f>
        <v>MATRIZ</v>
      </c>
      <c r="E891" s="3" t="str">
        <f>INDEX(PEDIDOS!$A:$D,MATCH(FORNECEDOR!A891,PEDIDOS!$A:$A,0),4)</f>
        <v>MATRIZ</v>
      </c>
    </row>
    <row r="892" spans="1:5" hidden="1" x14ac:dyDescent="0.25">
      <c r="A892" s="1" t="s">
        <v>891</v>
      </c>
      <c r="B892" s="3">
        <f>COUNTIF(PEDIDOS!$A:$A,FORNECEDOR!A892)</f>
        <v>0</v>
      </c>
      <c r="C892" s="3" t="e">
        <f>INDEX(PEDIDOS!$A:$D,MATCH(FORNECEDOR!A892,PEDIDOS!$A:$A,0),2)</f>
        <v>#N/A</v>
      </c>
      <c r="D892" s="3" t="e">
        <f>INDEX(PEDIDOS!$A:$D,MATCH(FORNECEDOR!A892,PEDIDOS!$A:$A,0),3)</f>
        <v>#N/A</v>
      </c>
      <c r="E892" s="3" t="e">
        <f>INDEX(PEDIDOS!$A:$D,MATCH(FORNECEDOR!A892,PEDIDOS!$A:$A,0),4)</f>
        <v>#N/A</v>
      </c>
    </row>
    <row r="893" spans="1:5" hidden="1" x14ac:dyDescent="0.25">
      <c r="A893" s="1" t="s">
        <v>892</v>
      </c>
      <c r="B893" s="3">
        <f>COUNTIF(PEDIDOS!$A:$A,FORNECEDOR!A893)</f>
        <v>0</v>
      </c>
      <c r="C893" s="3" t="e">
        <f>INDEX(PEDIDOS!$A:$D,MATCH(FORNECEDOR!A893,PEDIDOS!$A:$A,0),2)</f>
        <v>#N/A</v>
      </c>
      <c r="D893" s="3" t="e">
        <f>INDEX(PEDIDOS!$A:$D,MATCH(FORNECEDOR!A893,PEDIDOS!$A:$A,0),3)</f>
        <v>#N/A</v>
      </c>
      <c r="E893" s="3" t="e">
        <f>INDEX(PEDIDOS!$A:$D,MATCH(FORNECEDOR!A893,PEDIDOS!$A:$A,0),4)</f>
        <v>#N/A</v>
      </c>
    </row>
    <row r="894" spans="1:5" hidden="1" x14ac:dyDescent="0.25">
      <c r="A894" s="1" t="s">
        <v>893</v>
      </c>
      <c r="B894" s="3">
        <f>COUNTIF(PEDIDOS!$A:$A,FORNECEDOR!A894)</f>
        <v>0</v>
      </c>
      <c r="C894" s="3" t="e">
        <f>INDEX(PEDIDOS!$A:$D,MATCH(FORNECEDOR!A894,PEDIDOS!$A:$A,0),2)</f>
        <v>#N/A</v>
      </c>
      <c r="D894" s="3" t="e">
        <f>INDEX(PEDIDOS!$A:$D,MATCH(FORNECEDOR!A894,PEDIDOS!$A:$A,0),3)</f>
        <v>#N/A</v>
      </c>
      <c r="E894" s="3" t="e">
        <f>INDEX(PEDIDOS!$A:$D,MATCH(FORNECEDOR!A894,PEDIDOS!$A:$A,0),4)</f>
        <v>#N/A</v>
      </c>
    </row>
    <row r="895" spans="1:5" hidden="1" x14ac:dyDescent="0.25">
      <c r="A895" s="1" t="s">
        <v>894</v>
      </c>
      <c r="B895" s="3">
        <f>COUNTIF(PEDIDOS!$A:$A,FORNECEDOR!A895)</f>
        <v>0</v>
      </c>
      <c r="C895" s="3" t="e">
        <f>INDEX(PEDIDOS!$A:$D,MATCH(FORNECEDOR!A895,PEDIDOS!$A:$A,0),2)</f>
        <v>#N/A</v>
      </c>
      <c r="D895" s="3" t="e">
        <f>INDEX(PEDIDOS!$A:$D,MATCH(FORNECEDOR!A895,PEDIDOS!$A:$A,0),3)</f>
        <v>#N/A</v>
      </c>
      <c r="E895" s="3" t="e">
        <f>INDEX(PEDIDOS!$A:$D,MATCH(FORNECEDOR!A895,PEDIDOS!$A:$A,0),4)</f>
        <v>#N/A</v>
      </c>
    </row>
    <row r="896" spans="1:5" hidden="1" x14ac:dyDescent="0.25">
      <c r="A896" s="1" t="s">
        <v>895</v>
      </c>
      <c r="B896" s="3">
        <f>COUNTIF(PEDIDOS!$A:$A,FORNECEDOR!A896)</f>
        <v>0</v>
      </c>
      <c r="C896" s="3" t="e">
        <f>INDEX(PEDIDOS!$A:$D,MATCH(FORNECEDOR!A896,PEDIDOS!$A:$A,0),2)</f>
        <v>#N/A</v>
      </c>
      <c r="D896" s="3" t="e">
        <f>INDEX(PEDIDOS!$A:$D,MATCH(FORNECEDOR!A896,PEDIDOS!$A:$A,0),3)</f>
        <v>#N/A</v>
      </c>
      <c r="E896" s="3" t="e">
        <f>INDEX(PEDIDOS!$A:$D,MATCH(FORNECEDOR!A896,PEDIDOS!$A:$A,0),4)</f>
        <v>#N/A</v>
      </c>
    </row>
    <row r="897" spans="1:5" hidden="1" x14ac:dyDescent="0.25">
      <c r="A897" s="1" t="s">
        <v>896</v>
      </c>
      <c r="B897" s="3">
        <f>COUNTIF(PEDIDOS!$A:$A,FORNECEDOR!A897)</f>
        <v>0</v>
      </c>
      <c r="C897" s="3" t="e">
        <f>INDEX(PEDIDOS!$A:$D,MATCH(FORNECEDOR!A897,PEDIDOS!$A:$A,0),2)</f>
        <v>#N/A</v>
      </c>
      <c r="D897" s="3" t="e">
        <f>INDEX(PEDIDOS!$A:$D,MATCH(FORNECEDOR!A897,PEDIDOS!$A:$A,0),3)</f>
        <v>#N/A</v>
      </c>
      <c r="E897" s="3" t="e">
        <f>INDEX(PEDIDOS!$A:$D,MATCH(FORNECEDOR!A897,PEDIDOS!$A:$A,0),4)</f>
        <v>#N/A</v>
      </c>
    </row>
    <row r="898" spans="1:5" x14ac:dyDescent="0.25">
      <c r="A898" s="1" t="s">
        <v>897</v>
      </c>
      <c r="B898" s="3">
        <f>COUNTIF(PEDIDOS!$A:$A,FORNECEDOR!A898)</f>
        <v>1</v>
      </c>
      <c r="C898" s="3" t="str">
        <f>INDEX(PEDIDOS!$A:$D,MATCH(FORNECEDOR!A898,PEDIDOS!$A:$A,0),2)</f>
        <v>CD REGIS</v>
      </c>
      <c r="D898" s="3" t="str">
        <f>INDEX(PEDIDOS!$A:$D,MATCH(FORNECEDOR!A898,PEDIDOS!$A:$A,0),3)</f>
        <v>CD REGIS</v>
      </c>
      <c r="E898" s="3" t="str">
        <f>INDEX(PEDIDOS!$A:$D,MATCH(FORNECEDOR!A898,PEDIDOS!$A:$A,0),4)</f>
        <v>CD REGIS</v>
      </c>
    </row>
    <row r="899" spans="1:5" hidden="1" x14ac:dyDescent="0.25">
      <c r="A899" s="1" t="s">
        <v>898</v>
      </c>
      <c r="B899" s="3">
        <f>COUNTIF(PEDIDOS!$A:$A,FORNECEDOR!A899)</f>
        <v>0</v>
      </c>
      <c r="C899" s="3" t="e">
        <f>INDEX(PEDIDOS!$A:$D,MATCH(FORNECEDOR!A899,PEDIDOS!$A:$A,0),2)</f>
        <v>#N/A</v>
      </c>
      <c r="D899" s="3" t="e">
        <f>INDEX(PEDIDOS!$A:$D,MATCH(FORNECEDOR!A899,PEDIDOS!$A:$A,0),3)</f>
        <v>#N/A</v>
      </c>
      <c r="E899" s="3" t="e">
        <f>INDEX(PEDIDOS!$A:$D,MATCH(FORNECEDOR!A899,PEDIDOS!$A:$A,0),4)</f>
        <v>#N/A</v>
      </c>
    </row>
    <row r="900" spans="1:5" hidden="1" x14ac:dyDescent="0.25">
      <c r="A900" s="1" t="s">
        <v>899</v>
      </c>
      <c r="B900" s="3">
        <f>COUNTIF(PEDIDOS!$A:$A,FORNECEDOR!A900)</f>
        <v>0</v>
      </c>
      <c r="C900" s="3" t="e">
        <f>INDEX(PEDIDOS!$A:$D,MATCH(FORNECEDOR!A900,PEDIDOS!$A:$A,0),2)</f>
        <v>#N/A</v>
      </c>
      <c r="D900" s="3" t="e">
        <f>INDEX(PEDIDOS!$A:$D,MATCH(FORNECEDOR!A900,PEDIDOS!$A:$A,0),3)</f>
        <v>#N/A</v>
      </c>
      <c r="E900" s="3" t="e">
        <f>INDEX(PEDIDOS!$A:$D,MATCH(FORNECEDOR!A900,PEDIDOS!$A:$A,0),4)</f>
        <v>#N/A</v>
      </c>
    </row>
    <row r="901" spans="1:5" hidden="1" x14ac:dyDescent="0.25">
      <c r="A901" s="1" t="s">
        <v>900</v>
      </c>
      <c r="B901" s="3">
        <f>COUNTIF(PEDIDOS!$A:$A,FORNECEDOR!A901)</f>
        <v>0</v>
      </c>
      <c r="C901" s="3" t="e">
        <f>INDEX(PEDIDOS!$A:$D,MATCH(FORNECEDOR!A901,PEDIDOS!$A:$A,0),2)</f>
        <v>#N/A</v>
      </c>
      <c r="D901" s="3" t="e">
        <f>INDEX(PEDIDOS!$A:$D,MATCH(FORNECEDOR!A901,PEDIDOS!$A:$A,0),3)</f>
        <v>#N/A</v>
      </c>
      <c r="E901" s="3" t="e">
        <f>INDEX(PEDIDOS!$A:$D,MATCH(FORNECEDOR!A901,PEDIDOS!$A:$A,0),4)</f>
        <v>#N/A</v>
      </c>
    </row>
    <row r="902" spans="1:5" x14ac:dyDescent="0.25">
      <c r="A902" s="1" t="s">
        <v>901</v>
      </c>
      <c r="B902" s="3">
        <f>COUNTIF(PEDIDOS!$A:$A,FORNECEDOR!A902)</f>
        <v>2</v>
      </c>
      <c r="C902" s="3" t="str">
        <f>INDEX(PEDIDOS!$A:$D,MATCH(FORNECEDOR!A902,PEDIDOS!$A:$A,0),2)</f>
        <v>CD ARAQUARI</v>
      </c>
      <c r="D902" s="3" t="str">
        <f>INDEX(PEDIDOS!$A:$D,MATCH(FORNECEDOR!A902,PEDIDOS!$A:$A,0),3)</f>
        <v>MATRIZ</v>
      </c>
      <c r="E902" s="3" t="str">
        <f>INDEX(PEDIDOS!$A:$D,MATCH(FORNECEDOR!A902,PEDIDOS!$A:$A,0),4)</f>
        <v>CD ARAQUARI</v>
      </c>
    </row>
    <row r="903" spans="1:5" x14ac:dyDescent="0.25">
      <c r="A903" s="1" t="s">
        <v>902</v>
      </c>
      <c r="B903" s="3">
        <f>COUNTIF(PEDIDOS!$A:$A,FORNECEDOR!A903)</f>
        <v>2</v>
      </c>
      <c r="C903" s="3" t="str">
        <f>INDEX(PEDIDOS!$A:$D,MATCH(FORNECEDOR!A903,PEDIDOS!$A:$A,0),2)</f>
        <v>CD REGIS</v>
      </c>
      <c r="D903" s="3" t="str">
        <f>INDEX(PEDIDOS!$A:$D,MATCH(FORNECEDOR!A903,PEDIDOS!$A:$A,0),3)</f>
        <v>MATRIZ</v>
      </c>
      <c r="E903" s="3" t="str">
        <f>INDEX(PEDIDOS!$A:$D,MATCH(FORNECEDOR!A903,PEDIDOS!$A:$A,0),4)</f>
        <v>CD REGIS</v>
      </c>
    </row>
    <row r="904" spans="1:5" hidden="1" x14ac:dyDescent="0.25">
      <c r="A904" s="1" t="s">
        <v>903</v>
      </c>
      <c r="B904" s="3">
        <f>COUNTIF(PEDIDOS!$A:$A,FORNECEDOR!A904)</f>
        <v>0</v>
      </c>
      <c r="C904" s="3" t="e">
        <f>INDEX(PEDIDOS!$A:$D,MATCH(FORNECEDOR!A904,PEDIDOS!$A:$A,0),2)</f>
        <v>#N/A</v>
      </c>
      <c r="D904" s="3" t="e">
        <f>INDEX(PEDIDOS!$A:$D,MATCH(FORNECEDOR!A904,PEDIDOS!$A:$A,0),3)</f>
        <v>#N/A</v>
      </c>
      <c r="E904" s="3" t="e">
        <f>INDEX(PEDIDOS!$A:$D,MATCH(FORNECEDOR!A904,PEDIDOS!$A:$A,0),4)</f>
        <v>#N/A</v>
      </c>
    </row>
    <row r="905" spans="1:5" hidden="1" x14ac:dyDescent="0.25">
      <c r="A905" s="1" t="s">
        <v>904</v>
      </c>
      <c r="B905" s="3">
        <f>COUNTIF(PEDIDOS!$A:$A,FORNECEDOR!A905)</f>
        <v>0</v>
      </c>
      <c r="C905" s="3" t="e">
        <f>INDEX(PEDIDOS!$A:$D,MATCH(FORNECEDOR!A905,PEDIDOS!$A:$A,0),2)</f>
        <v>#N/A</v>
      </c>
      <c r="D905" s="3" t="e">
        <f>INDEX(PEDIDOS!$A:$D,MATCH(FORNECEDOR!A905,PEDIDOS!$A:$A,0),3)</f>
        <v>#N/A</v>
      </c>
      <c r="E905" s="3" t="e">
        <f>INDEX(PEDIDOS!$A:$D,MATCH(FORNECEDOR!A905,PEDIDOS!$A:$A,0),4)</f>
        <v>#N/A</v>
      </c>
    </row>
    <row r="906" spans="1:5" x14ac:dyDescent="0.25">
      <c r="A906" s="1" t="s">
        <v>905</v>
      </c>
      <c r="B906" s="3">
        <f>COUNTIF(PEDIDOS!$A:$A,FORNECEDOR!A906)</f>
        <v>2</v>
      </c>
      <c r="C906" s="3" t="str">
        <f>INDEX(PEDIDOS!$A:$D,MATCH(FORNECEDOR!A906,PEDIDOS!$A:$A,0),2)</f>
        <v>CD REGIS</v>
      </c>
      <c r="D906" s="3" t="str">
        <f>INDEX(PEDIDOS!$A:$D,MATCH(FORNECEDOR!A906,PEDIDOS!$A:$A,0),3)</f>
        <v>MATRIZ</v>
      </c>
      <c r="E906" s="3" t="str">
        <f>INDEX(PEDIDOS!$A:$D,MATCH(FORNECEDOR!A906,PEDIDOS!$A:$A,0),4)</f>
        <v>CD REGIS</v>
      </c>
    </row>
    <row r="907" spans="1:5" hidden="1" x14ac:dyDescent="0.25">
      <c r="A907" s="1" t="s">
        <v>906</v>
      </c>
      <c r="B907" s="3">
        <f>COUNTIF(PEDIDOS!$A:$A,FORNECEDOR!A907)</f>
        <v>0</v>
      </c>
      <c r="C907" s="3" t="e">
        <f>INDEX(PEDIDOS!$A:$D,MATCH(FORNECEDOR!A907,PEDIDOS!$A:$A,0),2)</f>
        <v>#N/A</v>
      </c>
      <c r="D907" s="3" t="e">
        <f>INDEX(PEDIDOS!$A:$D,MATCH(FORNECEDOR!A907,PEDIDOS!$A:$A,0),3)</f>
        <v>#N/A</v>
      </c>
      <c r="E907" s="3" t="e">
        <f>INDEX(PEDIDOS!$A:$D,MATCH(FORNECEDOR!A907,PEDIDOS!$A:$A,0),4)</f>
        <v>#N/A</v>
      </c>
    </row>
    <row r="908" spans="1:5" hidden="1" x14ac:dyDescent="0.25">
      <c r="A908" s="1" t="s">
        <v>907</v>
      </c>
      <c r="B908" s="3">
        <f>COUNTIF(PEDIDOS!$A:$A,FORNECEDOR!A908)</f>
        <v>0</v>
      </c>
      <c r="C908" s="3" t="e">
        <f>INDEX(PEDIDOS!$A:$D,MATCH(FORNECEDOR!A908,PEDIDOS!$A:$A,0),2)</f>
        <v>#N/A</v>
      </c>
      <c r="D908" s="3" t="e">
        <f>INDEX(PEDIDOS!$A:$D,MATCH(FORNECEDOR!A908,PEDIDOS!$A:$A,0),3)</f>
        <v>#N/A</v>
      </c>
      <c r="E908" s="3" t="e">
        <f>INDEX(PEDIDOS!$A:$D,MATCH(FORNECEDOR!A908,PEDIDOS!$A:$A,0),4)</f>
        <v>#N/A</v>
      </c>
    </row>
    <row r="909" spans="1:5" hidden="1" x14ac:dyDescent="0.25">
      <c r="A909" s="1" t="s">
        <v>908</v>
      </c>
      <c r="B909" s="3">
        <f>COUNTIF(PEDIDOS!$A:$A,FORNECEDOR!A909)</f>
        <v>0</v>
      </c>
      <c r="C909" s="3" t="e">
        <f>INDEX(PEDIDOS!$A:$D,MATCH(FORNECEDOR!A909,PEDIDOS!$A:$A,0),2)</f>
        <v>#N/A</v>
      </c>
      <c r="D909" s="3" t="e">
        <f>INDEX(PEDIDOS!$A:$D,MATCH(FORNECEDOR!A909,PEDIDOS!$A:$A,0),3)</f>
        <v>#N/A</v>
      </c>
      <c r="E909" s="3" t="e">
        <f>INDEX(PEDIDOS!$A:$D,MATCH(FORNECEDOR!A909,PEDIDOS!$A:$A,0),4)</f>
        <v>#N/A</v>
      </c>
    </row>
    <row r="910" spans="1:5" hidden="1" x14ac:dyDescent="0.25">
      <c r="A910" s="1" t="s">
        <v>909</v>
      </c>
      <c r="B910" s="3">
        <f>COUNTIF(PEDIDOS!$A:$A,FORNECEDOR!A910)</f>
        <v>0</v>
      </c>
      <c r="C910" s="3" t="e">
        <f>INDEX(PEDIDOS!$A:$D,MATCH(FORNECEDOR!A910,PEDIDOS!$A:$A,0),2)</f>
        <v>#N/A</v>
      </c>
      <c r="D910" s="3" t="e">
        <f>INDEX(PEDIDOS!$A:$D,MATCH(FORNECEDOR!A910,PEDIDOS!$A:$A,0),3)</f>
        <v>#N/A</v>
      </c>
      <c r="E910" s="3" t="e">
        <f>INDEX(PEDIDOS!$A:$D,MATCH(FORNECEDOR!A910,PEDIDOS!$A:$A,0),4)</f>
        <v>#N/A</v>
      </c>
    </row>
    <row r="911" spans="1:5" x14ac:dyDescent="0.25">
      <c r="A911" s="1" t="s">
        <v>910</v>
      </c>
      <c r="B911" s="3">
        <f>COUNTIF(PEDIDOS!$A:$A,FORNECEDOR!A911)</f>
        <v>2</v>
      </c>
      <c r="C911" s="3" t="str">
        <f>INDEX(PEDIDOS!$A:$D,MATCH(FORNECEDOR!A911,PEDIDOS!$A:$A,0),2)</f>
        <v>CD REGIS</v>
      </c>
      <c r="D911" s="3" t="str">
        <f>INDEX(PEDIDOS!$A:$D,MATCH(FORNECEDOR!A911,PEDIDOS!$A:$A,0),3)</f>
        <v>MATRIZ</v>
      </c>
      <c r="E911" s="3" t="str">
        <f>INDEX(PEDIDOS!$A:$D,MATCH(FORNECEDOR!A911,PEDIDOS!$A:$A,0),4)</f>
        <v>CD REGIS</v>
      </c>
    </row>
    <row r="912" spans="1:5" x14ac:dyDescent="0.25">
      <c r="A912" s="1" t="s">
        <v>911</v>
      </c>
      <c r="B912" s="3">
        <f>COUNTIF(PEDIDOS!$A:$A,FORNECEDOR!A912)</f>
        <v>2</v>
      </c>
      <c r="C912" s="3" t="str">
        <f>INDEX(PEDIDOS!$A:$D,MATCH(FORNECEDOR!A912,PEDIDOS!$A:$A,0),2)</f>
        <v>CD REGIS</v>
      </c>
      <c r="D912" s="3" t="str">
        <f>INDEX(PEDIDOS!$A:$D,MATCH(FORNECEDOR!A912,PEDIDOS!$A:$A,0),3)</f>
        <v>MATRIZ</v>
      </c>
      <c r="E912" s="3" t="str">
        <f>INDEX(PEDIDOS!$A:$D,MATCH(FORNECEDOR!A912,PEDIDOS!$A:$A,0),4)</f>
        <v>CD REGIS</v>
      </c>
    </row>
    <row r="913" spans="1:5" hidden="1" x14ac:dyDescent="0.25">
      <c r="A913" s="1" t="s">
        <v>912</v>
      </c>
      <c r="B913" s="3">
        <f>COUNTIF(PEDIDOS!$A:$A,FORNECEDOR!A913)</f>
        <v>0</v>
      </c>
      <c r="C913" s="3" t="e">
        <f>INDEX(PEDIDOS!$A:$D,MATCH(FORNECEDOR!A913,PEDIDOS!$A:$A,0),2)</f>
        <v>#N/A</v>
      </c>
      <c r="D913" s="3" t="e">
        <f>INDEX(PEDIDOS!$A:$D,MATCH(FORNECEDOR!A913,PEDIDOS!$A:$A,0),3)</f>
        <v>#N/A</v>
      </c>
      <c r="E913" s="3" t="e">
        <f>INDEX(PEDIDOS!$A:$D,MATCH(FORNECEDOR!A913,PEDIDOS!$A:$A,0),4)</f>
        <v>#N/A</v>
      </c>
    </row>
    <row r="914" spans="1:5" hidden="1" x14ac:dyDescent="0.25">
      <c r="A914" s="1" t="s">
        <v>913</v>
      </c>
      <c r="B914" s="3">
        <f>COUNTIF(PEDIDOS!$A:$A,FORNECEDOR!A914)</f>
        <v>0</v>
      </c>
      <c r="C914" s="3" t="e">
        <f>INDEX(PEDIDOS!$A:$D,MATCH(FORNECEDOR!A914,PEDIDOS!$A:$A,0),2)</f>
        <v>#N/A</v>
      </c>
      <c r="D914" s="3" t="e">
        <f>INDEX(PEDIDOS!$A:$D,MATCH(FORNECEDOR!A914,PEDIDOS!$A:$A,0),3)</f>
        <v>#N/A</v>
      </c>
      <c r="E914" s="3" t="e">
        <f>INDEX(PEDIDOS!$A:$D,MATCH(FORNECEDOR!A914,PEDIDOS!$A:$A,0),4)</f>
        <v>#N/A</v>
      </c>
    </row>
    <row r="915" spans="1:5" hidden="1" x14ac:dyDescent="0.25">
      <c r="A915" s="1" t="s">
        <v>914</v>
      </c>
      <c r="B915" s="3">
        <f>COUNTIF(PEDIDOS!$A:$A,FORNECEDOR!A915)</f>
        <v>0</v>
      </c>
      <c r="C915" s="3" t="e">
        <f>INDEX(PEDIDOS!$A:$D,MATCH(FORNECEDOR!A915,PEDIDOS!$A:$A,0),2)</f>
        <v>#N/A</v>
      </c>
      <c r="D915" s="3" t="e">
        <f>INDEX(PEDIDOS!$A:$D,MATCH(FORNECEDOR!A915,PEDIDOS!$A:$A,0),3)</f>
        <v>#N/A</v>
      </c>
      <c r="E915" s="3" t="e">
        <f>INDEX(PEDIDOS!$A:$D,MATCH(FORNECEDOR!A915,PEDIDOS!$A:$A,0),4)</f>
        <v>#N/A</v>
      </c>
    </row>
    <row r="916" spans="1:5" x14ac:dyDescent="0.25">
      <c r="A916" s="1" t="s">
        <v>915</v>
      </c>
      <c r="B916" s="3">
        <f>COUNTIF(PEDIDOS!$A:$A,FORNECEDOR!A916)</f>
        <v>3</v>
      </c>
      <c r="C916" s="3" t="str">
        <f>INDEX(PEDIDOS!$A:$D,MATCH(FORNECEDOR!A916,PEDIDOS!$A:$A,0),2)</f>
        <v>CD ARAQUARI</v>
      </c>
      <c r="D916" s="3" t="str">
        <f>INDEX(PEDIDOS!$A:$D,MATCH(FORNECEDOR!A916,PEDIDOS!$A:$A,0),3)</f>
        <v>MATRIZ</v>
      </c>
      <c r="E916" s="3" t="str">
        <f>INDEX(PEDIDOS!$A:$D,MATCH(FORNECEDOR!A916,PEDIDOS!$A:$A,0),4)</f>
        <v>CD ARAQUARI</v>
      </c>
    </row>
    <row r="917" spans="1:5" x14ac:dyDescent="0.25">
      <c r="A917" s="1" t="s">
        <v>916</v>
      </c>
      <c r="B917" s="3">
        <f>COUNTIF(PEDIDOS!$A:$A,FORNECEDOR!A917)</f>
        <v>5</v>
      </c>
      <c r="C917" s="3" t="str">
        <f>INDEX(PEDIDOS!$A:$D,MATCH(FORNECEDOR!A917,PEDIDOS!$A:$A,0),2)</f>
        <v>CD REGIS</v>
      </c>
      <c r="D917" s="3" t="str">
        <f>INDEX(PEDIDOS!$A:$D,MATCH(FORNECEDOR!A917,PEDIDOS!$A:$A,0),3)</f>
        <v>CD REGIS</v>
      </c>
      <c r="E917" s="3" t="str">
        <f>INDEX(PEDIDOS!$A:$D,MATCH(FORNECEDOR!A917,PEDIDOS!$A:$A,0),4)</f>
        <v>CD REGIS</v>
      </c>
    </row>
    <row r="918" spans="1:5" x14ac:dyDescent="0.25">
      <c r="A918" s="1" t="s">
        <v>917</v>
      </c>
      <c r="B918" s="3">
        <f>COUNTIF(PEDIDOS!$A:$A,FORNECEDOR!A918)</f>
        <v>1</v>
      </c>
      <c r="C918" s="3" t="str">
        <f>INDEX(PEDIDOS!$A:$D,MATCH(FORNECEDOR!A918,PEDIDOS!$A:$A,0),2)</f>
        <v>ANPPLA</v>
      </c>
      <c r="D918" s="3" t="str">
        <f>INDEX(PEDIDOS!$A:$D,MATCH(FORNECEDOR!A918,PEDIDOS!$A:$A,0),3)</f>
        <v>ANPPLA</v>
      </c>
      <c r="E918" s="3" t="str">
        <f>INDEX(PEDIDOS!$A:$D,MATCH(FORNECEDOR!A918,PEDIDOS!$A:$A,0),4)</f>
        <v>ANPPLA</v>
      </c>
    </row>
    <row r="919" spans="1:5" hidden="1" x14ac:dyDescent="0.25">
      <c r="A919" s="1" t="s">
        <v>918</v>
      </c>
      <c r="B919" s="3">
        <f>COUNTIF(PEDIDOS!$A:$A,FORNECEDOR!A919)</f>
        <v>0</v>
      </c>
      <c r="C919" s="3" t="e">
        <f>INDEX(PEDIDOS!$A:$D,MATCH(FORNECEDOR!A919,PEDIDOS!$A:$A,0),2)</f>
        <v>#N/A</v>
      </c>
      <c r="D919" s="3" t="e">
        <f>INDEX(PEDIDOS!$A:$D,MATCH(FORNECEDOR!A919,PEDIDOS!$A:$A,0),3)</f>
        <v>#N/A</v>
      </c>
      <c r="E919" s="3" t="e">
        <f>INDEX(PEDIDOS!$A:$D,MATCH(FORNECEDOR!A919,PEDIDOS!$A:$A,0),4)</f>
        <v>#N/A</v>
      </c>
    </row>
    <row r="920" spans="1:5" x14ac:dyDescent="0.25">
      <c r="A920" s="1" t="s">
        <v>919</v>
      </c>
      <c r="B920" s="3">
        <f>COUNTIF(PEDIDOS!$A:$A,FORNECEDOR!A920)</f>
        <v>2</v>
      </c>
      <c r="C920" s="3" t="str">
        <f>INDEX(PEDIDOS!$A:$D,MATCH(FORNECEDOR!A920,PEDIDOS!$A:$A,0),2)</f>
        <v>CD REGIS</v>
      </c>
      <c r="D920" s="3" t="str">
        <f>INDEX(PEDIDOS!$A:$D,MATCH(FORNECEDOR!A920,PEDIDOS!$A:$A,0),3)</f>
        <v>MATRIZ</v>
      </c>
      <c r="E920" s="3" t="str">
        <f>INDEX(PEDIDOS!$A:$D,MATCH(FORNECEDOR!A920,PEDIDOS!$A:$A,0),4)</f>
        <v>CD REGIS</v>
      </c>
    </row>
    <row r="921" spans="1:5" hidden="1" x14ac:dyDescent="0.25">
      <c r="A921" s="1" t="s">
        <v>920</v>
      </c>
      <c r="B921" s="3">
        <f>COUNTIF(PEDIDOS!$A:$A,FORNECEDOR!A921)</f>
        <v>0</v>
      </c>
      <c r="C921" s="3" t="e">
        <f>INDEX(PEDIDOS!$A:$D,MATCH(FORNECEDOR!A921,PEDIDOS!$A:$A,0),2)</f>
        <v>#N/A</v>
      </c>
      <c r="D921" s="3" t="e">
        <f>INDEX(PEDIDOS!$A:$D,MATCH(FORNECEDOR!A921,PEDIDOS!$A:$A,0),3)</f>
        <v>#N/A</v>
      </c>
      <c r="E921" s="3" t="e">
        <f>INDEX(PEDIDOS!$A:$D,MATCH(FORNECEDOR!A921,PEDIDOS!$A:$A,0),4)</f>
        <v>#N/A</v>
      </c>
    </row>
    <row r="922" spans="1:5" hidden="1" x14ac:dyDescent="0.25">
      <c r="A922" s="1" t="s">
        <v>921</v>
      </c>
      <c r="B922" s="3">
        <f>COUNTIF(PEDIDOS!$A:$A,FORNECEDOR!A922)</f>
        <v>0</v>
      </c>
      <c r="C922" s="3" t="e">
        <f>INDEX(PEDIDOS!$A:$D,MATCH(FORNECEDOR!A922,PEDIDOS!$A:$A,0),2)</f>
        <v>#N/A</v>
      </c>
      <c r="D922" s="3" t="e">
        <f>INDEX(PEDIDOS!$A:$D,MATCH(FORNECEDOR!A922,PEDIDOS!$A:$A,0),3)</f>
        <v>#N/A</v>
      </c>
      <c r="E922" s="3" t="e">
        <f>INDEX(PEDIDOS!$A:$D,MATCH(FORNECEDOR!A922,PEDIDOS!$A:$A,0),4)</f>
        <v>#N/A</v>
      </c>
    </row>
    <row r="923" spans="1:5" x14ac:dyDescent="0.25">
      <c r="A923" s="1" t="s">
        <v>922</v>
      </c>
      <c r="B923" s="3">
        <f>COUNTIF(PEDIDOS!$A:$A,FORNECEDOR!A923)</f>
        <v>1</v>
      </c>
      <c r="C923" s="3" t="str">
        <f>INDEX(PEDIDOS!$A:$D,MATCH(FORNECEDOR!A923,PEDIDOS!$A:$A,0),2)</f>
        <v>SP - PARI</v>
      </c>
      <c r="D923" s="3" t="str">
        <f>INDEX(PEDIDOS!$A:$D,MATCH(FORNECEDOR!A923,PEDIDOS!$A:$A,0),3)</f>
        <v>SP - PARI</v>
      </c>
      <c r="E923" s="3" t="str">
        <f>INDEX(PEDIDOS!$A:$D,MATCH(FORNECEDOR!A923,PEDIDOS!$A:$A,0),4)</f>
        <v>SP - PARI</v>
      </c>
    </row>
    <row r="924" spans="1:5" hidden="1" x14ac:dyDescent="0.25">
      <c r="A924" s="1" t="s">
        <v>923</v>
      </c>
      <c r="B924" s="3">
        <f>COUNTIF(PEDIDOS!$A:$A,FORNECEDOR!A924)</f>
        <v>0</v>
      </c>
      <c r="C924" s="3" t="e">
        <f>INDEX(PEDIDOS!$A:$D,MATCH(FORNECEDOR!A924,PEDIDOS!$A:$A,0),2)</f>
        <v>#N/A</v>
      </c>
      <c r="D924" s="3" t="e">
        <f>INDEX(PEDIDOS!$A:$D,MATCH(FORNECEDOR!A924,PEDIDOS!$A:$A,0),3)</f>
        <v>#N/A</v>
      </c>
      <c r="E924" s="3" t="e">
        <f>INDEX(PEDIDOS!$A:$D,MATCH(FORNECEDOR!A924,PEDIDOS!$A:$A,0),4)</f>
        <v>#N/A</v>
      </c>
    </row>
    <row r="925" spans="1:5" x14ac:dyDescent="0.25">
      <c r="A925" s="1" t="s">
        <v>924</v>
      </c>
      <c r="B925" s="3">
        <f>COUNTIF(PEDIDOS!$A:$A,FORNECEDOR!A925)</f>
        <v>1</v>
      </c>
      <c r="C925" s="3" t="str">
        <f>INDEX(PEDIDOS!$A:$D,MATCH(FORNECEDOR!A925,PEDIDOS!$A:$A,0),2)</f>
        <v>ANPPLA</v>
      </c>
      <c r="D925" s="3" t="str">
        <f>INDEX(PEDIDOS!$A:$D,MATCH(FORNECEDOR!A925,PEDIDOS!$A:$A,0),3)</f>
        <v>ANPPLA</v>
      </c>
      <c r="E925" s="3" t="str">
        <f>INDEX(PEDIDOS!$A:$D,MATCH(FORNECEDOR!A925,PEDIDOS!$A:$A,0),4)</f>
        <v>ANPPLA</v>
      </c>
    </row>
    <row r="926" spans="1:5" hidden="1" x14ac:dyDescent="0.25">
      <c r="A926" s="1" t="s">
        <v>925</v>
      </c>
      <c r="B926" s="3">
        <f>COUNTIF(PEDIDOS!$A:$A,FORNECEDOR!A926)</f>
        <v>0</v>
      </c>
      <c r="C926" s="3" t="e">
        <f>INDEX(PEDIDOS!$A:$D,MATCH(FORNECEDOR!A926,PEDIDOS!$A:$A,0),2)</f>
        <v>#N/A</v>
      </c>
      <c r="D926" s="3" t="e">
        <f>INDEX(PEDIDOS!$A:$D,MATCH(FORNECEDOR!A926,PEDIDOS!$A:$A,0),3)</f>
        <v>#N/A</v>
      </c>
      <c r="E926" s="3" t="e">
        <f>INDEX(PEDIDOS!$A:$D,MATCH(FORNECEDOR!A926,PEDIDOS!$A:$A,0),4)</f>
        <v>#N/A</v>
      </c>
    </row>
    <row r="927" spans="1:5" hidden="1" x14ac:dyDescent="0.25">
      <c r="A927" s="1" t="s">
        <v>926</v>
      </c>
      <c r="B927" s="3">
        <f>COUNTIF(PEDIDOS!$A:$A,FORNECEDOR!A927)</f>
        <v>0</v>
      </c>
      <c r="C927" s="3" t="e">
        <f>INDEX(PEDIDOS!$A:$D,MATCH(FORNECEDOR!A927,PEDIDOS!$A:$A,0),2)</f>
        <v>#N/A</v>
      </c>
      <c r="D927" s="3" t="e">
        <f>INDEX(PEDIDOS!$A:$D,MATCH(FORNECEDOR!A927,PEDIDOS!$A:$A,0),3)</f>
        <v>#N/A</v>
      </c>
      <c r="E927" s="3" t="e">
        <f>INDEX(PEDIDOS!$A:$D,MATCH(FORNECEDOR!A927,PEDIDOS!$A:$A,0),4)</f>
        <v>#N/A</v>
      </c>
    </row>
    <row r="928" spans="1:5" hidden="1" x14ac:dyDescent="0.25">
      <c r="A928" s="1" t="s">
        <v>927</v>
      </c>
      <c r="B928" s="3">
        <f>COUNTIF(PEDIDOS!$A:$A,FORNECEDOR!A928)</f>
        <v>0</v>
      </c>
      <c r="C928" s="3" t="e">
        <f>INDEX(PEDIDOS!$A:$D,MATCH(FORNECEDOR!A928,PEDIDOS!$A:$A,0),2)</f>
        <v>#N/A</v>
      </c>
      <c r="D928" s="3" t="e">
        <f>INDEX(PEDIDOS!$A:$D,MATCH(FORNECEDOR!A928,PEDIDOS!$A:$A,0),3)</f>
        <v>#N/A</v>
      </c>
      <c r="E928" s="3" t="e">
        <f>INDEX(PEDIDOS!$A:$D,MATCH(FORNECEDOR!A928,PEDIDOS!$A:$A,0),4)</f>
        <v>#N/A</v>
      </c>
    </row>
    <row r="929" spans="1:5" x14ac:dyDescent="0.25">
      <c r="A929" s="1" t="s">
        <v>928</v>
      </c>
      <c r="B929" s="3">
        <f>COUNTIF(PEDIDOS!$A:$A,FORNECEDOR!A929)</f>
        <v>1</v>
      </c>
      <c r="C929" s="3" t="str">
        <f>INDEX(PEDIDOS!$A:$D,MATCH(FORNECEDOR!A929,PEDIDOS!$A:$A,0),2)</f>
        <v>CD REGIS</v>
      </c>
      <c r="D929" s="3" t="str">
        <f>INDEX(PEDIDOS!$A:$D,MATCH(FORNECEDOR!A929,PEDIDOS!$A:$A,0),3)</f>
        <v>TATUAPE</v>
      </c>
      <c r="E929" s="3" t="str">
        <f>INDEX(PEDIDOS!$A:$D,MATCH(FORNECEDOR!A929,PEDIDOS!$A:$A,0),4)</f>
        <v>CD REGIS</v>
      </c>
    </row>
    <row r="930" spans="1:5" x14ac:dyDescent="0.25">
      <c r="A930" s="1" t="s">
        <v>929</v>
      </c>
      <c r="B930" s="3">
        <f>COUNTIF(PEDIDOS!$A:$A,FORNECEDOR!A930)</f>
        <v>1</v>
      </c>
      <c r="C930" s="3" t="str">
        <f>INDEX(PEDIDOS!$A:$D,MATCH(FORNECEDOR!A930,PEDIDOS!$A:$A,0),2)</f>
        <v>SP - GRAJAU</v>
      </c>
      <c r="D930" s="3" t="str">
        <f>INDEX(PEDIDOS!$A:$D,MATCH(FORNECEDOR!A930,PEDIDOS!$A:$A,0),3)</f>
        <v>SP - GRAJAU</v>
      </c>
      <c r="E930" s="3" t="str">
        <f>INDEX(PEDIDOS!$A:$D,MATCH(FORNECEDOR!A930,PEDIDOS!$A:$A,0),4)</f>
        <v>SP - GRAJAU</v>
      </c>
    </row>
    <row r="931" spans="1:5" x14ac:dyDescent="0.25">
      <c r="A931" s="1" t="s">
        <v>930</v>
      </c>
      <c r="B931" s="3">
        <f>COUNTIF(PEDIDOS!$A:$A,FORNECEDOR!A931)</f>
        <v>1</v>
      </c>
      <c r="C931" s="3" t="str">
        <f>INDEX(PEDIDOS!$A:$D,MATCH(FORNECEDOR!A931,PEDIDOS!$A:$A,0),2)</f>
        <v>CD REGIS</v>
      </c>
      <c r="D931" s="3" t="str">
        <f>INDEX(PEDIDOS!$A:$D,MATCH(FORNECEDOR!A931,PEDIDOS!$A:$A,0),3)</f>
        <v>CD REGIS</v>
      </c>
      <c r="E931" s="3" t="str">
        <f>INDEX(PEDIDOS!$A:$D,MATCH(FORNECEDOR!A931,PEDIDOS!$A:$A,0),4)</f>
        <v>CD REGIS</v>
      </c>
    </row>
    <row r="932" spans="1:5" hidden="1" x14ac:dyDescent="0.25">
      <c r="A932" s="1" t="s">
        <v>931</v>
      </c>
      <c r="B932" s="3">
        <f>COUNTIF(PEDIDOS!$A:$A,FORNECEDOR!A932)</f>
        <v>0</v>
      </c>
      <c r="C932" s="3" t="e">
        <f>INDEX(PEDIDOS!$A:$D,MATCH(FORNECEDOR!A932,PEDIDOS!$A:$A,0),2)</f>
        <v>#N/A</v>
      </c>
      <c r="D932" s="3" t="e">
        <f>INDEX(PEDIDOS!$A:$D,MATCH(FORNECEDOR!A932,PEDIDOS!$A:$A,0),3)</f>
        <v>#N/A</v>
      </c>
      <c r="E932" s="3" t="e">
        <f>INDEX(PEDIDOS!$A:$D,MATCH(FORNECEDOR!A932,PEDIDOS!$A:$A,0),4)</f>
        <v>#N/A</v>
      </c>
    </row>
    <row r="933" spans="1:5" x14ac:dyDescent="0.25">
      <c r="A933" s="1" t="s">
        <v>932</v>
      </c>
      <c r="B933" s="3">
        <f>COUNTIF(PEDIDOS!$A:$A,FORNECEDOR!A933)</f>
        <v>1</v>
      </c>
      <c r="C933" s="3" t="str">
        <f>INDEX(PEDIDOS!$A:$D,MATCH(FORNECEDOR!A933,PEDIDOS!$A:$A,0),2)</f>
        <v>MATRIZ</v>
      </c>
      <c r="D933" s="3" t="str">
        <f>INDEX(PEDIDOS!$A:$D,MATCH(FORNECEDOR!A933,PEDIDOS!$A:$A,0),3)</f>
        <v>MATRIZ</v>
      </c>
      <c r="E933" s="3" t="str">
        <f>INDEX(PEDIDOS!$A:$D,MATCH(FORNECEDOR!A933,PEDIDOS!$A:$A,0),4)</f>
        <v>MATRIZ</v>
      </c>
    </row>
    <row r="934" spans="1:5" hidden="1" x14ac:dyDescent="0.25">
      <c r="A934" s="1" t="s">
        <v>933</v>
      </c>
      <c r="B934" s="3">
        <f>COUNTIF(PEDIDOS!$A:$A,FORNECEDOR!A934)</f>
        <v>0</v>
      </c>
      <c r="C934" s="3" t="e">
        <f>INDEX(PEDIDOS!$A:$D,MATCH(FORNECEDOR!A934,PEDIDOS!$A:$A,0),2)</f>
        <v>#N/A</v>
      </c>
      <c r="D934" s="3" t="e">
        <f>INDEX(PEDIDOS!$A:$D,MATCH(FORNECEDOR!A934,PEDIDOS!$A:$A,0),3)</f>
        <v>#N/A</v>
      </c>
      <c r="E934" s="3" t="e">
        <f>INDEX(PEDIDOS!$A:$D,MATCH(FORNECEDOR!A934,PEDIDOS!$A:$A,0),4)</f>
        <v>#N/A</v>
      </c>
    </row>
    <row r="935" spans="1:5" hidden="1" x14ac:dyDescent="0.25">
      <c r="A935" s="1" t="s">
        <v>934</v>
      </c>
      <c r="B935" s="3">
        <f>COUNTIF(PEDIDOS!$A:$A,FORNECEDOR!A935)</f>
        <v>0</v>
      </c>
      <c r="C935" s="3" t="e">
        <f>INDEX(PEDIDOS!$A:$D,MATCH(FORNECEDOR!A935,PEDIDOS!$A:$A,0),2)</f>
        <v>#N/A</v>
      </c>
      <c r="D935" s="3" t="e">
        <f>INDEX(PEDIDOS!$A:$D,MATCH(FORNECEDOR!A935,PEDIDOS!$A:$A,0),3)</f>
        <v>#N/A</v>
      </c>
      <c r="E935" s="3" t="e">
        <f>INDEX(PEDIDOS!$A:$D,MATCH(FORNECEDOR!A935,PEDIDOS!$A:$A,0),4)</f>
        <v>#N/A</v>
      </c>
    </row>
    <row r="936" spans="1:5" hidden="1" x14ac:dyDescent="0.25">
      <c r="A936" s="1" t="s">
        <v>935</v>
      </c>
      <c r="B936" s="3">
        <f>COUNTIF(PEDIDOS!$A:$A,FORNECEDOR!A936)</f>
        <v>0</v>
      </c>
      <c r="C936" s="3" t="e">
        <f>INDEX(PEDIDOS!$A:$D,MATCH(FORNECEDOR!A936,PEDIDOS!$A:$A,0),2)</f>
        <v>#N/A</v>
      </c>
      <c r="D936" s="3" t="e">
        <f>INDEX(PEDIDOS!$A:$D,MATCH(FORNECEDOR!A936,PEDIDOS!$A:$A,0),3)</f>
        <v>#N/A</v>
      </c>
      <c r="E936" s="3" t="e">
        <f>INDEX(PEDIDOS!$A:$D,MATCH(FORNECEDOR!A936,PEDIDOS!$A:$A,0),4)</f>
        <v>#N/A</v>
      </c>
    </row>
    <row r="937" spans="1:5" hidden="1" x14ac:dyDescent="0.25">
      <c r="A937" s="1" t="s">
        <v>936</v>
      </c>
      <c r="B937" s="3">
        <f>COUNTIF(PEDIDOS!$A:$A,FORNECEDOR!A937)</f>
        <v>0</v>
      </c>
      <c r="C937" s="3" t="e">
        <f>INDEX(PEDIDOS!$A:$D,MATCH(FORNECEDOR!A937,PEDIDOS!$A:$A,0),2)</f>
        <v>#N/A</v>
      </c>
      <c r="D937" s="3" t="e">
        <f>INDEX(PEDIDOS!$A:$D,MATCH(FORNECEDOR!A937,PEDIDOS!$A:$A,0),3)</f>
        <v>#N/A</v>
      </c>
      <c r="E937" s="3" t="e">
        <f>INDEX(PEDIDOS!$A:$D,MATCH(FORNECEDOR!A937,PEDIDOS!$A:$A,0),4)</f>
        <v>#N/A</v>
      </c>
    </row>
    <row r="938" spans="1:5" hidden="1" x14ac:dyDescent="0.25">
      <c r="A938" s="1" t="s">
        <v>937</v>
      </c>
      <c r="B938" s="3">
        <f>COUNTIF(PEDIDOS!$A:$A,FORNECEDOR!A938)</f>
        <v>0</v>
      </c>
      <c r="C938" s="3" t="e">
        <f>INDEX(PEDIDOS!$A:$D,MATCH(FORNECEDOR!A938,PEDIDOS!$A:$A,0),2)</f>
        <v>#N/A</v>
      </c>
      <c r="D938" s="3" t="e">
        <f>INDEX(PEDIDOS!$A:$D,MATCH(FORNECEDOR!A938,PEDIDOS!$A:$A,0),3)</f>
        <v>#N/A</v>
      </c>
      <c r="E938" s="3" t="e">
        <f>INDEX(PEDIDOS!$A:$D,MATCH(FORNECEDOR!A938,PEDIDOS!$A:$A,0),4)</f>
        <v>#N/A</v>
      </c>
    </row>
    <row r="939" spans="1:5" x14ac:dyDescent="0.25">
      <c r="A939" s="1" t="s">
        <v>938</v>
      </c>
      <c r="B939" s="3">
        <f>COUNTIF(PEDIDOS!$A:$A,FORNECEDOR!A939)</f>
        <v>1</v>
      </c>
      <c r="C939" s="3" t="str">
        <f>INDEX(PEDIDOS!$A:$D,MATCH(FORNECEDOR!A939,PEDIDOS!$A:$A,0),2)</f>
        <v>CD REGIS</v>
      </c>
      <c r="D939" s="3" t="str">
        <f>INDEX(PEDIDOS!$A:$D,MATCH(FORNECEDOR!A939,PEDIDOS!$A:$A,0),3)</f>
        <v>CD REGIS</v>
      </c>
      <c r="E939" s="3" t="str">
        <f>INDEX(PEDIDOS!$A:$D,MATCH(FORNECEDOR!A939,PEDIDOS!$A:$A,0),4)</f>
        <v>CD REGIS</v>
      </c>
    </row>
    <row r="940" spans="1:5" x14ac:dyDescent="0.25">
      <c r="A940" s="1" t="s">
        <v>939</v>
      </c>
      <c r="B940" s="3">
        <f>COUNTIF(PEDIDOS!$A:$A,FORNECEDOR!A940)</f>
        <v>1</v>
      </c>
      <c r="C940" s="3" t="str">
        <f>INDEX(PEDIDOS!$A:$D,MATCH(FORNECEDOR!A940,PEDIDOS!$A:$A,0),2)</f>
        <v>CD NAVEGANTES</v>
      </c>
      <c r="D940" s="3" t="str">
        <f>INDEX(PEDIDOS!$A:$D,MATCH(FORNECEDOR!A940,PEDIDOS!$A:$A,0),3)</f>
        <v>MATRIZ</v>
      </c>
      <c r="E940" s="3" t="str">
        <f>INDEX(PEDIDOS!$A:$D,MATCH(FORNECEDOR!A940,PEDIDOS!$A:$A,0),4)</f>
        <v>CD NAVEGANTES</v>
      </c>
    </row>
    <row r="941" spans="1:5" x14ac:dyDescent="0.25">
      <c r="A941" s="1" t="s">
        <v>940</v>
      </c>
      <c r="B941" s="3">
        <f>COUNTIF(PEDIDOS!$A:$A,FORNECEDOR!A941)</f>
        <v>1</v>
      </c>
      <c r="C941" s="3" t="str">
        <f>INDEX(PEDIDOS!$A:$D,MATCH(FORNECEDOR!A941,PEDIDOS!$A:$A,0),2)</f>
        <v>CD REGIS</v>
      </c>
      <c r="D941" s="3" t="str">
        <f>INDEX(PEDIDOS!$A:$D,MATCH(FORNECEDOR!A941,PEDIDOS!$A:$A,0),3)</f>
        <v>CD REGIS</v>
      </c>
      <c r="E941" s="3" t="str">
        <f>INDEX(PEDIDOS!$A:$D,MATCH(FORNECEDOR!A941,PEDIDOS!$A:$A,0),4)</f>
        <v>CD REGIS</v>
      </c>
    </row>
    <row r="942" spans="1:5" hidden="1" x14ac:dyDescent="0.25">
      <c r="A942" s="1" t="s">
        <v>941</v>
      </c>
      <c r="B942" s="3">
        <f>COUNTIF(PEDIDOS!$A:$A,FORNECEDOR!A942)</f>
        <v>0</v>
      </c>
      <c r="C942" s="3" t="e">
        <f>INDEX(PEDIDOS!$A:$D,MATCH(FORNECEDOR!A942,PEDIDOS!$A:$A,0),2)</f>
        <v>#N/A</v>
      </c>
      <c r="D942" s="3" t="e">
        <f>INDEX(PEDIDOS!$A:$D,MATCH(FORNECEDOR!A942,PEDIDOS!$A:$A,0),3)</f>
        <v>#N/A</v>
      </c>
      <c r="E942" s="3" t="e">
        <f>INDEX(PEDIDOS!$A:$D,MATCH(FORNECEDOR!A942,PEDIDOS!$A:$A,0),4)</f>
        <v>#N/A</v>
      </c>
    </row>
    <row r="943" spans="1:5" hidden="1" x14ac:dyDescent="0.25">
      <c r="A943" s="1" t="s">
        <v>942</v>
      </c>
      <c r="B943" s="3">
        <f>COUNTIF(PEDIDOS!$A:$A,FORNECEDOR!A943)</f>
        <v>0</v>
      </c>
      <c r="C943" s="3" t="e">
        <f>INDEX(PEDIDOS!$A:$D,MATCH(FORNECEDOR!A943,PEDIDOS!$A:$A,0),2)</f>
        <v>#N/A</v>
      </c>
      <c r="D943" s="3" t="e">
        <f>INDEX(PEDIDOS!$A:$D,MATCH(FORNECEDOR!A943,PEDIDOS!$A:$A,0),3)</f>
        <v>#N/A</v>
      </c>
      <c r="E943" s="3" t="e">
        <f>INDEX(PEDIDOS!$A:$D,MATCH(FORNECEDOR!A943,PEDIDOS!$A:$A,0),4)</f>
        <v>#N/A</v>
      </c>
    </row>
    <row r="944" spans="1:5" hidden="1" x14ac:dyDescent="0.25">
      <c r="A944" s="1" t="s">
        <v>943</v>
      </c>
      <c r="B944" s="3">
        <f>COUNTIF(PEDIDOS!$A:$A,FORNECEDOR!A944)</f>
        <v>0</v>
      </c>
      <c r="C944" s="3" t="e">
        <f>INDEX(PEDIDOS!$A:$D,MATCH(FORNECEDOR!A944,PEDIDOS!$A:$A,0),2)</f>
        <v>#N/A</v>
      </c>
      <c r="D944" s="3" t="e">
        <f>INDEX(PEDIDOS!$A:$D,MATCH(FORNECEDOR!A944,PEDIDOS!$A:$A,0),3)</f>
        <v>#N/A</v>
      </c>
      <c r="E944" s="3" t="e">
        <f>INDEX(PEDIDOS!$A:$D,MATCH(FORNECEDOR!A944,PEDIDOS!$A:$A,0),4)</f>
        <v>#N/A</v>
      </c>
    </row>
    <row r="945" spans="1:5" x14ac:dyDescent="0.25">
      <c r="A945" s="1" t="s">
        <v>944</v>
      </c>
      <c r="B945" s="3">
        <f>COUNTIF(PEDIDOS!$A:$A,FORNECEDOR!A945)</f>
        <v>1</v>
      </c>
      <c r="C945" s="3" t="str">
        <f>INDEX(PEDIDOS!$A:$D,MATCH(FORNECEDOR!A945,PEDIDOS!$A:$A,0),2)</f>
        <v>MATRIZ</v>
      </c>
      <c r="D945" s="3" t="str">
        <f>INDEX(PEDIDOS!$A:$D,MATCH(FORNECEDOR!A945,PEDIDOS!$A:$A,0),3)</f>
        <v>MATRIZ</v>
      </c>
      <c r="E945" s="3" t="str">
        <f>INDEX(PEDIDOS!$A:$D,MATCH(FORNECEDOR!A945,PEDIDOS!$A:$A,0),4)</f>
        <v>MATRIZ</v>
      </c>
    </row>
    <row r="946" spans="1:5" x14ac:dyDescent="0.25">
      <c r="A946" s="1" t="s">
        <v>945</v>
      </c>
      <c r="B946" s="3">
        <f>COUNTIF(PEDIDOS!$A:$A,FORNECEDOR!A946)</f>
        <v>2</v>
      </c>
      <c r="C946" s="3" t="str">
        <f>INDEX(PEDIDOS!$A:$D,MATCH(FORNECEDOR!A946,PEDIDOS!$A:$A,0),2)</f>
        <v>MATRIZ</v>
      </c>
      <c r="D946" s="3" t="str">
        <f>INDEX(PEDIDOS!$A:$D,MATCH(FORNECEDOR!A946,PEDIDOS!$A:$A,0),3)</f>
        <v>MATRIZ</v>
      </c>
      <c r="E946" s="3" t="str">
        <f>INDEX(PEDIDOS!$A:$D,MATCH(FORNECEDOR!A946,PEDIDOS!$A:$A,0),4)</f>
        <v>MATRIZ</v>
      </c>
    </row>
    <row r="947" spans="1:5" x14ac:dyDescent="0.25">
      <c r="A947" s="1" t="s">
        <v>946</v>
      </c>
      <c r="B947" s="3">
        <f>COUNTIF(PEDIDOS!$A:$A,FORNECEDOR!A947)</f>
        <v>2</v>
      </c>
      <c r="C947" s="3" t="str">
        <f>INDEX(PEDIDOS!$A:$D,MATCH(FORNECEDOR!A947,PEDIDOS!$A:$A,0),2)</f>
        <v>CD REGIS</v>
      </c>
      <c r="D947" s="3" t="str">
        <f>INDEX(PEDIDOS!$A:$D,MATCH(FORNECEDOR!A947,PEDIDOS!$A:$A,0),3)</f>
        <v>CD REGIS</v>
      </c>
      <c r="E947" s="3" t="str">
        <f>INDEX(PEDIDOS!$A:$D,MATCH(FORNECEDOR!A947,PEDIDOS!$A:$A,0),4)</f>
        <v>CD REGIS</v>
      </c>
    </row>
    <row r="948" spans="1:5" hidden="1" x14ac:dyDescent="0.25">
      <c r="A948" s="1" t="s">
        <v>947</v>
      </c>
      <c r="B948" s="3">
        <f>COUNTIF(PEDIDOS!$A:$A,FORNECEDOR!A948)</f>
        <v>0</v>
      </c>
      <c r="C948" s="3" t="e">
        <f>INDEX(PEDIDOS!$A:$D,MATCH(FORNECEDOR!A948,PEDIDOS!$A:$A,0),2)</f>
        <v>#N/A</v>
      </c>
      <c r="D948" s="3" t="e">
        <f>INDEX(PEDIDOS!$A:$D,MATCH(FORNECEDOR!A948,PEDIDOS!$A:$A,0),3)</f>
        <v>#N/A</v>
      </c>
      <c r="E948" s="3" t="e">
        <f>INDEX(PEDIDOS!$A:$D,MATCH(FORNECEDOR!A948,PEDIDOS!$A:$A,0),4)</f>
        <v>#N/A</v>
      </c>
    </row>
    <row r="949" spans="1:5" hidden="1" x14ac:dyDescent="0.25">
      <c r="A949" s="1" t="s">
        <v>948</v>
      </c>
      <c r="B949" s="3">
        <f>COUNTIF(PEDIDOS!$A:$A,FORNECEDOR!A949)</f>
        <v>0</v>
      </c>
      <c r="C949" s="3" t="e">
        <f>INDEX(PEDIDOS!$A:$D,MATCH(FORNECEDOR!A949,PEDIDOS!$A:$A,0),2)</f>
        <v>#N/A</v>
      </c>
      <c r="D949" s="3" t="e">
        <f>INDEX(PEDIDOS!$A:$D,MATCH(FORNECEDOR!A949,PEDIDOS!$A:$A,0),3)</f>
        <v>#N/A</v>
      </c>
      <c r="E949" s="3" t="e">
        <f>INDEX(PEDIDOS!$A:$D,MATCH(FORNECEDOR!A949,PEDIDOS!$A:$A,0),4)</f>
        <v>#N/A</v>
      </c>
    </row>
    <row r="950" spans="1:5" hidden="1" x14ac:dyDescent="0.25">
      <c r="A950" s="1" t="s">
        <v>949</v>
      </c>
      <c r="B950" s="3">
        <f>COUNTIF(PEDIDOS!$A:$A,FORNECEDOR!A950)</f>
        <v>0</v>
      </c>
      <c r="C950" s="3" t="e">
        <f>INDEX(PEDIDOS!$A:$D,MATCH(FORNECEDOR!A950,PEDIDOS!$A:$A,0),2)</f>
        <v>#N/A</v>
      </c>
      <c r="D950" s="3" t="e">
        <f>INDEX(PEDIDOS!$A:$D,MATCH(FORNECEDOR!A950,PEDIDOS!$A:$A,0),3)</f>
        <v>#N/A</v>
      </c>
      <c r="E950" s="3" t="e">
        <f>INDEX(PEDIDOS!$A:$D,MATCH(FORNECEDOR!A950,PEDIDOS!$A:$A,0),4)</f>
        <v>#N/A</v>
      </c>
    </row>
    <row r="951" spans="1:5" hidden="1" x14ac:dyDescent="0.25">
      <c r="A951" s="1" t="s">
        <v>950</v>
      </c>
      <c r="B951" s="3">
        <f>COUNTIF(PEDIDOS!$A:$A,FORNECEDOR!A951)</f>
        <v>0</v>
      </c>
      <c r="C951" s="3" t="e">
        <f>INDEX(PEDIDOS!$A:$D,MATCH(FORNECEDOR!A951,PEDIDOS!$A:$A,0),2)</f>
        <v>#N/A</v>
      </c>
      <c r="D951" s="3" t="e">
        <f>INDEX(PEDIDOS!$A:$D,MATCH(FORNECEDOR!A951,PEDIDOS!$A:$A,0),3)</f>
        <v>#N/A</v>
      </c>
      <c r="E951" s="3" t="e">
        <f>INDEX(PEDIDOS!$A:$D,MATCH(FORNECEDOR!A951,PEDIDOS!$A:$A,0),4)</f>
        <v>#N/A</v>
      </c>
    </row>
    <row r="952" spans="1:5" x14ac:dyDescent="0.25">
      <c r="A952" s="1" t="s">
        <v>951</v>
      </c>
      <c r="B952" s="3">
        <f>COUNTIF(PEDIDOS!$A:$A,FORNECEDOR!A952)</f>
        <v>1</v>
      </c>
      <c r="C952" s="3" t="str">
        <f>INDEX(PEDIDOS!$A:$D,MATCH(FORNECEDOR!A952,PEDIDOS!$A:$A,0),2)</f>
        <v>CD REGIS</v>
      </c>
      <c r="D952" s="3" t="str">
        <f>INDEX(PEDIDOS!$A:$D,MATCH(FORNECEDOR!A952,PEDIDOS!$A:$A,0),3)</f>
        <v>CD REGIS</v>
      </c>
      <c r="E952" s="3" t="str">
        <f>INDEX(PEDIDOS!$A:$D,MATCH(FORNECEDOR!A952,PEDIDOS!$A:$A,0),4)</f>
        <v>CD REGIS</v>
      </c>
    </row>
    <row r="953" spans="1:5" hidden="1" x14ac:dyDescent="0.25">
      <c r="A953" s="1" t="s">
        <v>952</v>
      </c>
      <c r="B953" s="3">
        <f>COUNTIF(PEDIDOS!$A:$A,FORNECEDOR!A953)</f>
        <v>0</v>
      </c>
      <c r="C953" s="3" t="e">
        <f>INDEX(PEDIDOS!$A:$D,MATCH(FORNECEDOR!A953,PEDIDOS!$A:$A,0),2)</f>
        <v>#N/A</v>
      </c>
      <c r="D953" s="3" t="e">
        <f>INDEX(PEDIDOS!$A:$D,MATCH(FORNECEDOR!A953,PEDIDOS!$A:$A,0),3)</f>
        <v>#N/A</v>
      </c>
      <c r="E953" s="3" t="e">
        <f>INDEX(PEDIDOS!$A:$D,MATCH(FORNECEDOR!A953,PEDIDOS!$A:$A,0),4)</f>
        <v>#N/A</v>
      </c>
    </row>
    <row r="954" spans="1:5" hidden="1" x14ac:dyDescent="0.25">
      <c r="A954" s="1" t="s">
        <v>953</v>
      </c>
      <c r="B954" s="3">
        <f>COUNTIF(PEDIDOS!$A:$A,FORNECEDOR!A954)</f>
        <v>0</v>
      </c>
      <c r="C954" s="3" t="e">
        <f>INDEX(PEDIDOS!$A:$D,MATCH(FORNECEDOR!A954,PEDIDOS!$A:$A,0),2)</f>
        <v>#N/A</v>
      </c>
      <c r="D954" s="3" t="e">
        <f>INDEX(PEDIDOS!$A:$D,MATCH(FORNECEDOR!A954,PEDIDOS!$A:$A,0),3)</f>
        <v>#N/A</v>
      </c>
      <c r="E954" s="3" t="e">
        <f>INDEX(PEDIDOS!$A:$D,MATCH(FORNECEDOR!A954,PEDIDOS!$A:$A,0),4)</f>
        <v>#N/A</v>
      </c>
    </row>
    <row r="955" spans="1:5" x14ac:dyDescent="0.25">
      <c r="A955" s="1" t="s">
        <v>954</v>
      </c>
      <c r="B955" s="3">
        <f>COUNTIF(PEDIDOS!$A:$A,FORNECEDOR!A955)</f>
        <v>1</v>
      </c>
      <c r="C955" s="3" t="str">
        <f>INDEX(PEDIDOS!$A:$D,MATCH(FORNECEDOR!A955,PEDIDOS!$A:$A,0),2)</f>
        <v>AVANTI- ADM C.CREDITO</v>
      </c>
      <c r="D955" s="3" t="str">
        <f>INDEX(PEDIDOS!$A:$D,MATCH(FORNECEDOR!A955,PEDIDOS!$A:$A,0),3)</f>
        <v>AVANTI- ADM C.CREDITO</v>
      </c>
      <c r="E955" s="3" t="str">
        <f>INDEX(PEDIDOS!$A:$D,MATCH(FORNECEDOR!A955,PEDIDOS!$A:$A,0),4)</f>
        <v>AVANTI- ADM C.CREDITO</v>
      </c>
    </row>
    <row r="956" spans="1:5" hidden="1" x14ac:dyDescent="0.25">
      <c r="A956" s="1" t="s">
        <v>955</v>
      </c>
      <c r="B956" s="3">
        <f>COUNTIF(PEDIDOS!$A:$A,FORNECEDOR!A956)</f>
        <v>0</v>
      </c>
      <c r="C956" s="3" t="e">
        <f>INDEX(PEDIDOS!$A:$D,MATCH(FORNECEDOR!A956,PEDIDOS!$A:$A,0),2)</f>
        <v>#N/A</v>
      </c>
      <c r="D956" s="3" t="e">
        <f>INDEX(PEDIDOS!$A:$D,MATCH(FORNECEDOR!A956,PEDIDOS!$A:$A,0),3)</f>
        <v>#N/A</v>
      </c>
      <c r="E956" s="3" t="e">
        <f>INDEX(PEDIDOS!$A:$D,MATCH(FORNECEDOR!A956,PEDIDOS!$A:$A,0),4)</f>
        <v>#N/A</v>
      </c>
    </row>
    <row r="957" spans="1:5" hidden="1" x14ac:dyDescent="0.25">
      <c r="A957" s="1" t="s">
        <v>956</v>
      </c>
      <c r="B957" s="3">
        <f>COUNTIF(PEDIDOS!$A:$A,FORNECEDOR!A957)</f>
        <v>0</v>
      </c>
      <c r="C957" s="3" t="e">
        <f>INDEX(PEDIDOS!$A:$D,MATCH(FORNECEDOR!A957,PEDIDOS!$A:$A,0),2)</f>
        <v>#N/A</v>
      </c>
      <c r="D957" s="3" t="e">
        <f>INDEX(PEDIDOS!$A:$D,MATCH(FORNECEDOR!A957,PEDIDOS!$A:$A,0),3)</f>
        <v>#N/A</v>
      </c>
      <c r="E957" s="3" t="e">
        <f>INDEX(PEDIDOS!$A:$D,MATCH(FORNECEDOR!A957,PEDIDOS!$A:$A,0),4)</f>
        <v>#N/A</v>
      </c>
    </row>
    <row r="958" spans="1:5" hidden="1" x14ac:dyDescent="0.25">
      <c r="A958" s="1" t="s">
        <v>957</v>
      </c>
      <c r="B958" s="3">
        <f>COUNTIF(PEDIDOS!$A:$A,FORNECEDOR!A958)</f>
        <v>0</v>
      </c>
      <c r="C958" s="3" t="e">
        <f>INDEX(PEDIDOS!$A:$D,MATCH(FORNECEDOR!A958,PEDIDOS!$A:$A,0),2)</f>
        <v>#N/A</v>
      </c>
      <c r="D958" s="3" t="e">
        <f>INDEX(PEDIDOS!$A:$D,MATCH(FORNECEDOR!A958,PEDIDOS!$A:$A,0),3)</f>
        <v>#N/A</v>
      </c>
      <c r="E958" s="3" t="e">
        <f>INDEX(PEDIDOS!$A:$D,MATCH(FORNECEDOR!A958,PEDIDOS!$A:$A,0),4)</f>
        <v>#N/A</v>
      </c>
    </row>
    <row r="959" spans="1:5" hidden="1" x14ac:dyDescent="0.25">
      <c r="A959" s="1" t="s">
        <v>958</v>
      </c>
      <c r="B959" s="3">
        <f>COUNTIF(PEDIDOS!$A:$A,FORNECEDOR!A959)</f>
        <v>0</v>
      </c>
      <c r="C959" s="3" t="e">
        <f>INDEX(PEDIDOS!$A:$D,MATCH(FORNECEDOR!A959,PEDIDOS!$A:$A,0),2)</f>
        <v>#N/A</v>
      </c>
      <c r="D959" s="3" t="e">
        <f>INDEX(PEDIDOS!$A:$D,MATCH(FORNECEDOR!A959,PEDIDOS!$A:$A,0),3)</f>
        <v>#N/A</v>
      </c>
      <c r="E959" s="3" t="e">
        <f>INDEX(PEDIDOS!$A:$D,MATCH(FORNECEDOR!A959,PEDIDOS!$A:$A,0),4)</f>
        <v>#N/A</v>
      </c>
    </row>
    <row r="960" spans="1:5" hidden="1" x14ac:dyDescent="0.25">
      <c r="A960" s="1" t="s">
        <v>959</v>
      </c>
      <c r="B960" s="3">
        <f>COUNTIF(PEDIDOS!$A:$A,FORNECEDOR!A960)</f>
        <v>0</v>
      </c>
      <c r="C960" s="3" t="e">
        <f>INDEX(PEDIDOS!$A:$D,MATCH(FORNECEDOR!A960,PEDIDOS!$A:$A,0),2)</f>
        <v>#N/A</v>
      </c>
      <c r="D960" s="3" t="e">
        <f>INDEX(PEDIDOS!$A:$D,MATCH(FORNECEDOR!A960,PEDIDOS!$A:$A,0),3)</f>
        <v>#N/A</v>
      </c>
      <c r="E960" s="3" t="e">
        <f>INDEX(PEDIDOS!$A:$D,MATCH(FORNECEDOR!A960,PEDIDOS!$A:$A,0),4)</f>
        <v>#N/A</v>
      </c>
    </row>
    <row r="961" spans="1:5" hidden="1" x14ac:dyDescent="0.25">
      <c r="A961" s="1" t="s">
        <v>960</v>
      </c>
      <c r="B961" s="3">
        <f>COUNTIF(PEDIDOS!$A:$A,FORNECEDOR!A961)</f>
        <v>0</v>
      </c>
      <c r="C961" s="3" t="e">
        <f>INDEX(PEDIDOS!$A:$D,MATCH(FORNECEDOR!A961,PEDIDOS!$A:$A,0),2)</f>
        <v>#N/A</v>
      </c>
      <c r="D961" s="3" t="e">
        <f>INDEX(PEDIDOS!$A:$D,MATCH(FORNECEDOR!A961,PEDIDOS!$A:$A,0),3)</f>
        <v>#N/A</v>
      </c>
      <c r="E961" s="3" t="e">
        <f>INDEX(PEDIDOS!$A:$D,MATCH(FORNECEDOR!A961,PEDIDOS!$A:$A,0),4)</f>
        <v>#N/A</v>
      </c>
    </row>
    <row r="962" spans="1:5" hidden="1" x14ac:dyDescent="0.25">
      <c r="A962" s="1" t="s">
        <v>961</v>
      </c>
      <c r="B962" s="3">
        <f>COUNTIF(PEDIDOS!$A:$A,FORNECEDOR!A962)</f>
        <v>0</v>
      </c>
      <c r="C962" s="3" t="e">
        <f>INDEX(PEDIDOS!$A:$D,MATCH(FORNECEDOR!A962,PEDIDOS!$A:$A,0),2)</f>
        <v>#N/A</v>
      </c>
      <c r="D962" s="3" t="e">
        <f>INDEX(PEDIDOS!$A:$D,MATCH(FORNECEDOR!A962,PEDIDOS!$A:$A,0),3)</f>
        <v>#N/A</v>
      </c>
      <c r="E962" s="3" t="e">
        <f>INDEX(PEDIDOS!$A:$D,MATCH(FORNECEDOR!A962,PEDIDOS!$A:$A,0),4)</f>
        <v>#N/A</v>
      </c>
    </row>
    <row r="963" spans="1:5" x14ac:dyDescent="0.25">
      <c r="A963" s="1" t="s">
        <v>962</v>
      </c>
      <c r="B963" s="3">
        <f>COUNTIF(PEDIDOS!$A:$A,FORNECEDOR!A963)</f>
        <v>2</v>
      </c>
      <c r="C963" s="3" t="str">
        <f>INDEX(PEDIDOS!$A:$D,MATCH(FORNECEDOR!A963,PEDIDOS!$A:$A,0),2)</f>
        <v>CD REGIS</v>
      </c>
      <c r="D963" s="3" t="str">
        <f>INDEX(PEDIDOS!$A:$D,MATCH(FORNECEDOR!A963,PEDIDOS!$A:$A,0),3)</f>
        <v>MATRIZ</v>
      </c>
      <c r="E963" s="3" t="str">
        <f>INDEX(PEDIDOS!$A:$D,MATCH(FORNECEDOR!A963,PEDIDOS!$A:$A,0),4)</f>
        <v>CD REGIS</v>
      </c>
    </row>
    <row r="964" spans="1:5" hidden="1" x14ac:dyDescent="0.25">
      <c r="A964" s="1" t="s">
        <v>963</v>
      </c>
      <c r="B964" s="3">
        <f>COUNTIF(PEDIDOS!$A:$A,FORNECEDOR!A964)</f>
        <v>0</v>
      </c>
      <c r="C964" s="3" t="e">
        <f>INDEX(PEDIDOS!$A:$D,MATCH(FORNECEDOR!A964,PEDIDOS!$A:$A,0),2)</f>
        <v>#N/A</v>
      </c>
      <c r="D964" s="3" t="e">
        <f>INDEX(PEDIDOS!$A:$D,MATCH(FORNECEDOR!A964,PEDIDOS!$A:$A,0),3)</f>
        <v>#N/A</v>
      </c>
      <c r="E964" s="3" t="e">
        <f>INDEX(PEDIDOS!$A:$D,MATCH(FORNECEDOR!A964,PEDIDOS!$A:$A,0),4)</f>
        <v>#N/A</v>
      </c>
    </row>
    <row r="965" spans="1:5" hidden="1" x14ac:dyDescent="0.25">
      <c r="A965" s="1" t="s">
        <v>964</v>
      </c>
      <c r="B965" s="3">
        <f>COUNTIF(PEDIDOS!$A:$A,FORNECEDOR!A965)</f>
        <v>0</v>
      </c>
      <c r="C965" s="3" t="e">
        <f>INDEX(PEDIDOS!$A:$D,MATCH(FORNECEDOR!A965,PEDIDOS!$A:$A,0),2)</f>
        <v>#N/A</v>
      </c>
      <c r="D965" s="3" t="e">
        <f>INDEX(PEDIDOS!$A:$D,MATCH(FORNECEDOR!A965,PEDIDOS!$A:$A,0),3)</f>
        <v>#N/A</v>
      </c>
      <c r="E965" s="3" t="e">
        <f>INDEX(PEDIDOS!$A:$D,MATCH(FORNECEDOR!A965,PEDIDOS!$A:$A,0),4)</f>
        <v>#N/A</v>
      </c>
    </row>
    <row r="966" spans="1:5" hidden="1" x14ac:dyDescent="0.25">
      <c r="A966" s="1" t="s">
        <v>965</v>
      </c>
      <c r="B966" s="3">
        <f>COUNTIF(PEDIDOS!$A:$A,FORNECEDOR!A966)</f>
        <v>0</v>
      </c>
      <c r="C966" s="3" t="e">
        <f>INDEX(PEDIDOS!$A:$D,MATCH(FORNECEDOR!A966,PEDIDOS!$A:$A,0),2)</f>
        <v>#N/A</v>
      </c>
      <c r="D966" s="3" t="e">
        <f>INDEX(PEDIDOS!$A:$D,MATCH(FORNECEDOR!A966,PEDIDOS!$A:$A,0),3)</f>
        <v>#N/A</v>
      </c>
      <c r="E966" s="3" t="e">
        <f>INDEX(PEDIDOS!$A:$D,MATCH(FORNECEDOR!A966,PEDIDOS!$A:$A,0),4)</f>
        <v>#N/A</v>
      </c>
    </row>
    <row r="967" spans="1:5" hidden="1" x14ac:dyDescent="0.25">
      <c r="A967" s="1" t="s">
        <v>966</v>
      </c>
      <c r="B967" s="3">
        <f>COUNTIF(PEDIDOS!$A:$A,FORNECEDOR!A967)</f>
        <v>0</v>
      </c>
      <c r="C967" s="3" t="e">
        <f>INDEX(PEDIDOS!$A:$D,MATCH(FORNECEDOR!A967,PEDIDOS!$A:$A,0),2)</f>
        <v>#N/A</v>
      </c>
      <c r="D967" s="3" t="e">
        <f>INDEX(PEDIDOS!$A:$D,MATCH(FORNECEDOR!A967,PEDIDOS!$A:$A,0),3)</f>
        <v>#N/A</v>
      </c>
      <c r="E967" s="3" t="e">
        <f>INDEX(PEDIDOS!$A:$D,MATCH(FORNECEDOR!A967,PEDIDOS!$A:$A,0),4)</f>
        <v>#N/A</v>
      </c>
    </row>
    <row r="968" spans="1:5" hidden="1" x14ac:dyDescent="0.25">
      <c r="A968" s="1" t="s">
        <v>967</v>
      </c>
      <c r="B968" s="3">
        <f>COUNTIF(PEDIDOS!$A:$A,FORNECEDOR!A968)</f>
        <v>0</v>
      </c>
      <c r="C968" s="3" t="e">
        <f>INDEX(PEDIDOS!$A:$D,MATCH(FORNECEDOR!A968,PEDIDOS!$A:$A,0),2)</f>
        <v>#N/A</v>
      </c>
      <c r="D968" s="3" t="e">
        <f>INDEX(PEDIDOS!$A:$D,MATCH(FORNECEDOR!A968,PEDIDOS!$A:$A,0),3)</f>
        <v>#N/A</v>
      </c>
      <c r="E968" s="3" t="e">
        <f>INDEX(PEDIDOS!$A:$D,MATCH(FORNECEDOR!A968,PEDIDOS!$A:$A,0),4)</f>
        <v>#N/A</v>
      </c>
    </row>
    <row r="969" spans="1:5" hidden="1" x14ac:dyDescent="0.25">
      <c r="A969" s="1" t="s">
        <v>968</v>
      </c>
      <c r="B969" s="3">
        <f>COUNTIF(PEDIDOS!$A:$A,FORNECEDOR!A969)</f>
        <v>0</v>
      </c>
      <c r="C969" s="3" t="e">
        <f>INDEX(PEDIDOS!$A:$D,MATCH(FORNECEDOR!A969,PEDIDOS!$A:$A,0),2)</f>
        <v>#N/A</v>
      </c>
      <c r="D969" s="3" t="e">
        <f>INDEX(PEDIDOS!$A:$D,MATCH(FORNECEDOR!A969,PEDIDOS!$A:$A,0),3)</f>
        <v>#N/A</v>
      </c>
      <c r="E969" s="3" t="e">
        <f>INDEX(PEDIDOS!$A:$D,MATCH(FORNECEDOR!A969,PEDIDOS!$A:$A,0),4)</f>
        <v>#N/A</v>
      </c>
    </row>
    <row r="970" spans="1:5" hidden="1" x14ac:dyDescent="0.25">
      <c r="A970" s="1" t="s">
        <v>969</v>
      </c>
      <c r="B970" s="3">
        <f>COUNTIF(PEDIDOS!$A:$A,FORNECEDOR!A970)</f>
        <v>0</v>
      </c>
      <c r="C970" s="3" t="e">
        <f>INDEX(PEDIDOS!$A:$D,MATCH(FORNECEDOR!A970,PEDIDOS!$A:$A,0),2)</f>
        <v>#N/A</v>
      </c>
      <c r="D970" s="3" t="e">
        <f>INDEX(PEDIDOS!$A:$D,MATCH(FORNECEDOR!A970,PEDIDOS!$A:$A,0),3)</f>
        <v>#N/A</v>
      </c>
      <c r="E970" s="3" t="e">
        <f>INDEX(PEDIDOS!$A:$D,MATCH(FORNECEDOR!A970,PEDIDOS!$A:$A,0),4)</f>
        <v>#N/A</v>
      </c>
    </row>
    <row r="971" spans="1:5" hidden="1" x14ac:dyDescent="0.25">
      <c r="A971" s="1" t="s">
        <v>970</v>
      </c>
      <c r="B971" s="3">
        <f>COUNTIF(PEDIDOS!$A:$A,FORNECEDOR!A971)</f>
        <v>0</v>
      </c>
      <c r="C971" s="3" t="e">
        <f>INDEX(PEDIDOS!$A:$D,MATCH(FORNECEDOR!A971,PEDIDOS!$A:$A,0),2)</f>
        <v>#N/A</v>
      </c>
      <c r="D971" s="3" t="e">
        <f>INDEX(PEDIDOS!$A:$D,MATCH(FORNECEDOR!A971,PEDIDOS!$A:$A,0),3)</f>
        <v>#N/A</v>
      </c>
      <c r="E971" s="3" t="e">
        <f>INDEX(PEDIDOS!$A:$D,MATCH(FORNECEDOR!A971,PEDIDOS!$A:$A,0),4)</f>
        <v>#N/A</v>
      </c>
    </row>
    <row r="972" spans="1:5" hidden="1" x14ac:dyDescent="0.25">
      <c r="A972" s="1" t="s">
        <v>971</v>
      </c>
      <c r="B972" s="3">
        <f>COUNTIF(PEDIDOS!$A:$A,FORNECEDOR!A972)</f>
        <v>0</v>
      </c>
      <c r="C972" s="3" t="e">
        <f>INDEX(PEDIDOS!$A:$D,MATCH(FORNECEDOR!A972,PEDIDOS!$A:$A,0),2)</f>
        <v>#N/A</v>
      </c>
      <c r="D972" s="3" t="e">
        <f>INDEX(PEDIDOS!$A:$D,MATCH(FORNECEDOR!A972,PEDIDOS!$A:$A,0),3)</f>
        <v>#N/A</v>
      </c>
      <c r="E972" s="3" t="e">
        <f>INDEX(PEDIDOS!$A:$D,MATCH(FORNECEDOR!A972,PEDIDOS!$A:$A,0),4)</f>
        <v>#N/A</v>
      </c>
    </row>
    <row r="973" spans="1:5" hidden="1" x14ac:dyDescent="0.25">
      <c r="A973" s="1" t="s">
        <v>972</v>
      </c>
      <c r="B973" s="3">
        <f>COUNTIF(PEDIDOS!$A:$A,FORNECEDOR!A973)</f>
        <v>0</v>
      </c>
      <c r="C973" s="3" t="e">
        <f>INDEX(PEDIDOS!$A:$D,MATCH(FORNECEDOR!A973,PEDIDOS!$A:$A,0),2)</f>
        <v>#N/A</v>
      </c>
      <c r="D973" s="3" t="e">
        <f>INDEX(PEDIDOS!$A:$D,MATCH(FORNECEDOR!A973,PEDIDOS!$A:$A,0),3)</f>
        <v>#N/A</v>
      </c>
      <c r="E973" s="3" t="e">
        <f>INDEX(PEDIDOS!$A:$D,MATCH(FORNECEDOR!A973,PEDIDOS!$A:$A,0),4)</f>
        <v>#N/A</v>
      </c>
    </row>
    <row r="974" spans="1:5" hidden="1" x14ac:dyDescent="0.25">
      <c r="A974" s="1" t="s">
        <v>973</v>
      </c>
      <c r="B974" s="3">
        <f>COUNTIF(PEDIDOS!$A:$A,FORNECEDOR!A974)</f>
        <v>0</v>
      </c>
      <c r="C974" s="3" t="e">
        <f>INDEX(PEDIDOS!$A:$D,MATCH(FORNECEDOR!A974,PEDIDOS!$A:$A,0),2)</f>
        <v>#N/A</v>
      </c>
      <c r="D974" s="3" t="e">
        <f>INDEX(PEDIDOS!$A:$D,MATCH(FORNECEDOR!A974,PEDIDOS!$A:$A,0),3)</f>
        <v>#N/A</v>
      </c>
      <c r="E974" s="3" t="e">
        <f>INDEX(PEDIDOS!$A:$D,MATCH(FORNECEDOR!A974,PEDIDOS!$A:$A,0),4)</f>
        <v>#N/A</v>
      </c>
    </row>
    <row r="975" spans="1:5" hidden="1" x14ac:dyDescent="0.25">
      <c r="A975" s="1" t="s">
        <v>974</v>
      </c>
      <c r="B975" s="3">
        <f>COUNTIF(PEDIDOS!$A:$A,FORNECEDOR!A975)</f>
        <v>0</v>
      </c>
      <c r="C975" s="3" t="e">
        <f>INDEX(PEDIDOS!$A:$D,MATCH(FORNECEDOR!A975,PEDIDOS!$A:$A,0),2)</f>
        <v>#N/A</v>
      </c>
      <c r="D975" s="3" t="e">
        <f>INDEX(PEDIDOS!$A:$D,MATCH(FORNECEDOR!A975,PEDIDOS!$A:$A,0),3)</f>
        <v>#N/A</v>
      </c>
      <c r="E975" s="3" t="e">
        <f>INDEX(PEDIDOS!$A:$D,MATCH(FORNECEDOR!A975,PEDIDOS!$A:$A,0),4)</f>
        <v>#N/A</v>
      </c>
    </row>
    <row r="976" spans="1:5" hidden="1" x14ac:dyDescent="0.25">
      <c r="A976" s="1" t="s">
        <v>975</v>
      </c>
      <c r="B976" s="3">
        <f>COUNTIF(PEDIDOS!$A:$A,FORNECEDOR!A976)</f>
        <v>0</v>
      </c>
      <c r="C976" s="3" t="e">
        <f>INDEX(PEDIDOS!$A:$D,MATCH(FORNECEDOR!A976,PEDIDOS!$A:$A,0),2)</f>
        <v>#N/A</v>
      </c>
      <c r="D976" s="3" t="e">
        <f>INDEX(PEDIDOS!$A:$D,MATCH(FORNECEDOR!A976,PEDIDOS!$A:$A,0),3)</f>
        <v>#N/A</v>
      </c>
      <c r="E976" s="3" t="e">
        <f>INDEX(PEDIDOS!$A:$D,MATCH(FORNECEDOR!A976,PEDIDOS!$A:$A,0),4)</f>
        <v>#N/A</v>
      </c>
    </row>
    <row r="977" spans="1:5" hidden="1" x14ac:dyDescent="0.25">
      <c r="A977" s="1" t="s">
        <v>976</v>
      </c>
      <c r="B977" s="3">
        <f>COUNTIF(PEDIDOS!$A:$A,FORNECEDOR!A977)</f>
        <v>0</v>
      </c>
      <c r="C977" s="3" t="e">
        <f>INDEX(PEDIDOS!$A:$D,MATCH(FORNECEDOR!A977,PEDIDOS!$A:$A,0),2)</f>
        <v>#N/A</v>
      </c>
      <c r="D977" s="3" t="e">
        <f>INDEX(PEDIDOS!$A:$D,MATCH(FORNECEDOR!A977,PEDIDOS!$A:$A,0),3)</f>
        <v>#N/A</v>
      </c>
      <c r="E977" s="3" t="e">
        <f>INDEX(PEDIDOS!$A:$D,MATCH(FORNECEDOR!A977,PEDIDOS!$A:$A,0),4)</f>
        <v>#N/A</v>
      </c>
    </row>
    <row r="978" spans="1:5" x14ac:dyDescent="0.25">
      <c r="A978" s="1" t="s">
        <v>977</v>
      </c>
      <c r="B978" s="3">
        <f>COUNTIF(PEDIDOS!$A:$A,FORNECEDOR!A978)</f>
        <v>1</v>
      </c>
      <c r="C978" s="3" t="str">
        <f>INDEX(PEDIDOS!$A:$D,MATCH(FORNECEDOR!A978,PEDIDOS!$A:$A,0),2)</f>
        <v>CD REGIS</v>
      </c>
      <c r="D978" s="3" t="str">
        <f>INDEX(PEDIDOS!$A:$D,MATCH(FORNECEDOR!A978,PEDIDOS!$A:$A,0),3)</f>
        <v>TATUAPE</v>
      </c>
      <c r="E978" s="3" t="str">
        <f>INDEX(PEDIDOS!$A:$D,MATCH(FORNECEDOR!A978,PEDIDOS!$A:$A,0),4)</f>
        <v>CD REGIS</v>
      </c>
    </row>
    <row r="979" spans="1:5" hidden="1" x14ac:dyDescent="0.25">
      <c r="A979" s="1" t="s">
        <v>978</v>
      </c>
      <c r="B979" s="3">
        <f>COUNTIF(PEDIDOS!$A:$A,FORNECEDOR!A979)</f>
        <v>0</v>
      </c>
      <c r="C979" s="3" t="e">
        <f>INDEX(PEDIDOS!$A:$D,MATCH(FORNECEDOR!A979,PEDIDOS!$A:$A,0),2)</f>
        <v>#N/A</v>
      </c>
      <c r="D979" s="3" t="e">
        <f>INDEX(PEDIDOS!$A:$D,MATCH(FORNECEDOR!A979,PEDIDOS!$A:$A,0),3)</f>
        <v>#N/A</v>
      </c>
      <c r="E979" s="3" t="e">
        <f>INDEX(PEDIDOS!$A:$D,MATCH(FORNECEDOR!A979,PEDIDOS!$A:$A,0),4)</f>
        <v>#N/A</v>
      </c>
    </row>
    <row r="980" spans="1:5" hidden="1" x14ac:dyDescent="0.25">
      <c r="A980" s="1" t="s">
        <v>979</v>
      </c>
      <c r="B980" s="3">
        <f>COUNTIF(PEDIDOS!$A:$A,FORNECEDOR!A980)</f>
        <v>0</v>
      </c>
      <c r="C980" s="3" t="e">
        <f>INDEX(PEDIDOS!$A:$D,MATCH(FORNECEDOR!A980,PEDIDOS!$A:$A,0),2)</f>
        <v>#N/A</v>
      </c>
      <c r="D980" s="3" t="e">
        <f>INDEX(PEDIDOS!$A:$D,MATCH(FORNECEDOR!A980,PEDIDOS!$A:$A,0),3)</f>
        <v>#N/A</v>
      </c>
      <c r="E980" s="3" t="e">
        <f>INDEX(PEDIDOS!$A:$D,MATCH(FORNECEDOR!A980,PEDIDOS!$A:$A,0),4)</f>
        <v>#N/A</v>
      </c>
    </row>
    <row r="981" spans="1:5" hidden="1" x14ac:dyDescent="0.25">
      <c r="A981" s="1" t="s">
        <v>980</v>
      </c>
      <c r="B981" s="3">
        <f>COUNTIF(PEDIDOS!$A:$A,FORNECEDOR!A981)</f>
        <v>0</v>
      </c>
      <c r="C981" s="3" t="e">
        <f>INDEX(PEDIDOS!$A:$D,MATCH(FORNECEDOR!A981,PEDIDOS!$A:$A,0),2)</f>
        <v>#N/A</v>
      </c>
      <c r="D981" s="3" t="e">
        <f>INDEX(PEDIDOS!$A:$D,MATCH(FORNECEDOR!A981,PEDIDOS!$A:$A,0),3)</f>
        <v>#N/A</v>
      </c>
      <c r="E981" s="3" t="e">
        <f>INDEX(PEDIDOS!$A:$D,MATCH(FORNECEDOR!A981,PEDIDOS!$A:$A,0),4)</f>
        <v>#N/A</v>
      </c>
    </row>
    <row r="982" spans="1:5" hidden="1" x14ac:dyDescent="0.25">
      <c r="A982" s="1" t="s">
        <v>981</v>
      </c>
      <c r="B982" s="3">
        <f>COUNTIF(PEDIDOS!$A:$A,FORNECEDOR!A982)</f>
        <v>0</v>
      </c>
      <c r="C982" s="3" t="e">
        <f>INDEX(PEDIDOS!$A:$D,MATCH(FORNECEDOR!A982,PEDIDOS!$A:$A,0),2)</f>
        <v>#N/A</v>
      </c>
      <c r="D982" s="3" t="e">
        <f>INDEX(PEDIDOS!$A:$D,MATCH(FORNECEDOR!A982,PEDIDOS!$A:$A,0),3)</f>
        <v>#N/A</v>
      </c>
      <c r="E982" s="3" t="e">
        <f>INDEX(PEDIDOS!$A:$D,MATCH(FORNECEDOR!A982,PEDIDOS!$A:$A,0),4)</f>
        <v>#N/A</v>
      </c>
    </row>
    <row r="983" spans="1:5" hidden="1" x14ac:dyDescent="0.25">
      <c r="A983" s="1" t="s">
        <v>982</v>
      </c>
      <c r="B983" s="3">
        <f>COUNTIF(PEDIDOS!$A:$A,FORNECEDOR!A983)</f>
        <v>0</v>
      </c>
      <c r="C983" s="3" t="e">
        <f>INDEX(PEDIDOS!$A:$D,MATCH(FORNECEDOR!A983,PEDIDOS!$A:$A,0),2)</f>
        <v>#N/A</v>
      </c>
      <c r="D983" s="3" t="e">
        <f>INDEX(PEDIDOS!$A:$D,MATCH(FORNECEDOR!A983,PEDIDOS!$A:$A,0),3)</f>
        <v>#N/A</v>
      </c>
      <c r="E983" s="3" t="e">
        <f>INDEX(PEDIDOS!$A:$D,MATCH(FORNECEDOR!A983,PEDIDOS!$A:$A,0),4)</f>
        <v>#N/A</v>
      </c>
    </row>
    <row r="984" spans="1:5" hidden="1" x14ac:dyDescent="0.25">
      <c r="A984" s="1" t="s">
        <v>983</v>
      </c>
      <c r="B984" s="3">
        <f>COUNTIF(PEDIDOS!$A:$A,FORNECEDOR!A984)</f>
        <v>0</v>
      </c>
      <c r="C984" s="3" t="e">
        <f>INDEX(PEDIDOS!$A:$D,MATCH(FORNECEDOR!A984,PEDIDOS!$A:$A,0),2)</f>
        <v>#N/A</v>
      </c>
      <c r="D984" s="3" t="e">
        <f>INDEX(PEDIDOS!$A:$D,MATCH(FORNECEDOR!A984,PEDIDOS!$A:$A,0),3)</f>
        <v>#N/A</v>
      </c>
      <c r="E984" s="3" t="e">
        <f>INDEX(PEDIDOS!$A:$D,MATCH(FORNECEDOR!A984,PEDIDOS!$A:$A,0),4)</f>
        <v>#N/A</v>
      </c>
    </row>
    <row r="985" spans="1:5" hidden="1" x14ac:dyDescent="0.25">
      <c r="A985" s="1" t="s">
        <v>984</v>
      </c>
      <c r="B985" s="3">
        <f>COUNTIF(PEDIDOS!$A:$A,FORNECEDOR!A985)</f>
        <v>0</v>
      </c>
      <c r="C985" s="3" t="e">
        <f>INDEX(PEDIDOS!$A:$D,MATCH(FORNECEDOR!A985,PEDIDOS!$A:$A,0),2)</f>
        <v>#N/A</v>
      </c>
      <c r="D985" s="3" t="e">
        <f>INDEX(PEDIDOS!$A:$D,MATCH(FORNECEDOR!A985,PEDIDOS!$A:$A,0),3)</f>
        <v>#N/A</v>
      </c>
      <c r="E985" s="3" t="e">
        <f>INDEX(PEDIDOS!$A:$D,MATCH(FORNECEDOR!A985,PEDIDOS!$A:$A,0),4)</f>
        <v>#N/A</v>
      </c>
    </row>
    <row r="986" spans="1:5" hidden="1" x14ac:dyDescent="0.25">
      <c r="A986" s="1" t="s">
        <v>985</v>
      </c>
      <c r="B986" s="3">
        <f>COUNTIF(PEDIDOS!$A:$A,FORNECEDOR!A986)</f>
        <v>0</v>
      </c>
      <c r="C986" s="3" t="e">
        <f>INDEX(PEDIDOS!$A:$D,MATCH(FORNECEDOR!A986,PEDIDOS!$A:$A,0),2)</f>
        <v>#N/A</v>
      </c>
      <c r="D986" s="3" t="e">
        <f>INDEX(PEDIDOS!$A:$D,MATCH(FORNECEDOR!A986,PEDIDOS!$A:$A,0),3)</f>
        <v>#N/A</v>
      </c>
      <c r="E986" s="3" t="e">
        <f>INDEX(PEDIDOS!$A:$D,MATCH(FORNECEDOR!A986,PEDIDOS!$A:$A,0),4)</f>
        <v>#N/A</v>
      </c>
    </row>
    <row r="987" spans="1:5" hidden="1" x14ac:dyDescent="0.25">
      <c r="A987" s="1" t="s">
        <v>986</v>
      </c>
      <c r="B987" s="3">
        <f>COUNTIF(PEDIDOS!$A:$A,FORNECEDOR!A987)</f>
        <v>0</v>
      </c>
      <c r="C987" s="3" t="e">
        <f>INDEX(PEDIDOS!$A:$D,MATCH(FORNECEDOR!A987,PEDIDOS!$A:$A,0),2)</f>
        <v>#N/A</v>
      </c>
      <c r="D987" s="3" t="e">
        <f>INDEX(PEDIDOS!$A:$D,MATCH(FORNECEDOR!A987,PEDIDOS!$A:$A,0),3)</f>
        <v>#N/A</v>
      </c>
      <c r="E987" s="3" t="e">
        <f>INDEX(PEDIDOS!$A:$D,MATCH(FORNECEDOR!A987,PEDIDOS!$A:$A,0),4)</f>
        <v>#N/A</v>
      </c>
    </row>
    <row r="988" spans="1:5" x14ac:dyDescent="0.25">
      <c r="A988" s="1" t="s">
        <v>987</v>
      </c>
      <c r="B988" s="3">
        <f>COUNTIF(PEDIDOS!$A:$A,FORNECEDOR!A988)</f>
        <v>3</v>
      </c>
      <c r="C988" s="3" t="str">
        <f>INDEX(PEDIDOS!$A:$D,MATCH(FORNECEDOR!A988,PEDIDOS!$A:$A,0),2)</f>
        <v>MAUA</v>
      </c>
      <c r="D988" s="3" t="str">
        <f>INDEX(PEDIDOS!$A:$D,MATCH(FORNECEDOR!A988,PEDIDOS!$A:$A,0),3)</f>
        <v>MAUA</v>
      </c>
      <c r="E988" s="3" t="str">
        <f>INDEX(PEDIDOS!$A:$D,MATCH(FORNECEDOR!A988,PEDIDOS!$A:$A,0),4)</f>
        <v>MAUA</v>
      </c>
    </row>
    <row r="989" spans="1:5" x14ac:dyDescent="0.25">
      <c r="A989" s="1" t="s">
        <v>988</v>
      </c>
      <c r="B989" s="3">
        <f>COUNTIF(PEDIDOS!$A:$A,FORNECEDOR!A989)</f>
        <v>1</v>
      </c>
      <c r="C989" s="3" t="str">
        <f>INDEX(PEDIDOS!$A:$D,MATCH(FORNECEDOR!A989,PEDIDOS!$A:$A,0),2)</f>
        <v>ANPPLA</v>
      </c>
      <c r="D989" s="3" t="str">
        <f>INDEX(PEDIDOS!$A:$D,MATCH(FORNECEDOR!A989,PEDIDOS!$A:$A,0),3)</f>
        <v>ANPPLA</v>
      </c>
      <c r="E989" s="3" t="str">
        <f>INDEX(PEDIDOS!$A:$D,MATCH(FORNECEDOR!A989,PEDIDOS!$A:$A,0),4)</f>
        <v>ANPPLA</v>
      </c>
    </row>
    <row r="990" spans="1:5" hidden="1" x14ac:dyDescent="0.25">
      <c r="A990" s="1" t="s">
        <v>989</v>
      </c>
      <c r="B990" s="3">
        <f>COUNTIF(PEDIDOS!$A:$A,FORNECEDOR!A990)</f>
        <v>0</v>
      </c>
      <c r="C990" s="3" t="e">
        <f>INDEX(PEDIDOS!$A:$D,MATCH(FORNECEDOR!A990,PEDIDOS!$A:$A,0),2)</f>
        <v>#N/A</v>
      </c>
      <c r="D990" s="3" t="e">
        <f>INDEX(PEDIDOS!$A:$D,MATCH(FORNECEDOR!A990,PEDIDOS!$A:$A,0),3)</f>
        <v>#N/A</v>
      </c>
      <c r="E990" s="3" t="e">
        <f>INDEX(PEDIDOS!$A:$D,MATCH(FORNECEDOR!A990,PEDIDOS!$A:$A,0),4)</f>
        <v>#N/A</v>
      </c>
    </row>
    <row r="991" spans="1:5" hidden="1" x14ac:dyDescent="0.25">
      <c r="A991" s="1" t="s">
        <v>990</v>
      </c>
      <c r="B991" s="3">
        <f>COUNTIF(PEDIDOS!$A:$A,FORNECEDOR!A991)</f>
        <v>0</v>
      </c>
      <c r="C991" s="3" t="e">
        <f>INDEX(PEDIDOS!$A:$D,MATCH(FORNECEDOR!A991,PEDIDOS!$A:$A,0),2)</f>
        <v>#N/A</v>
      </c>
      <c r="D991" s="3" t="e">
        <f>INDEX(PEDIDOS!$A:$D,MATCH(FORNECEDOR!A991,PEDIDOS!$A:$A,0),3)</f>
        <v>#N/A</v>
      </c>
      <c r="E991" s="3" t="e">
        <f>INDEX(PEDIDOS!$A:$D,MATCH(FORNECEDOR!A991,PEDIDOS!$A:$A,0),4)</f>
        <v>#N/A</v>
      </c>
    </row>
    <row r="992" spans="1:5" hidden="1" x14ac:dyDescent="0.25">
      <c r="A992" s="1" t="s">
        <v>991</v>
      </c>
      <c r="B992" s="3">
        <f>COUNTIF(PEDIDOS!$A:$A,FORNECEDOR!A992)</f>
        <v>0</v>
      </c>
      <c r="C992" s="3" t="e">
        <f>INDEX(PEDIDOS!$A:$D,MATCH(FORNECEDOR!A992,PEDIDOS!$A:$A,0),2)</f>
        <v>#N/A</v>
      </c>
      <c r="D992" s="3" t="e">
        <f>INDEX(PEDIDOS!$A:$D,MATCH(FORNECEDOR!A992,PEDIDOS!$A:$A,0),3)</f>
        <v>#N/A</v>
      </c>
      <c r="E992" s="3" t="e">
        <f>INDEX(PEDIDOS!$A:$D,MATCH(FORNECEDOR!A992,PEDIDOS!$A:$A,0),4)</f>
        <v>#N/A</v>
      </c>
    </row>
    <row r="993" spans="1:5" hidden="1" x14ac:dyDescent="0.25">
      <c r="A993" s="1" t="s">
        <v>992</v>
      </c>
      <c r="B993" s="3">
        <f>COUNTIF(PEDIDOS!$A:$A,FORNECEDOR!A993)</f>
        <v>0</v>
      </c>
      <c r="C993" s="3" t="e">
        <f>INDEX(PEDIDOS!$A:$D,MATCH(FORNECEDOR!A993,PEDIDOS!$A:$A,0),2)</f>
        <v>#N/A</v>
      </c>
      <c r="D993" s="3" t="e">
        <f>INDEX(PEDIDOS!$A:$D,MATCH(FORNECEDOR!A993,PEDIDOS!$A:$A,0),3)</f>
        <v>#N/A</v>
      </c>
      <c r="E993" s="3" t="e">
        <f>INDEX(PEDIDOS!$A:$D,MATCH(FORNECEDOR!A993,PEDIDOS!$A:$A,0),4)</f>
        <v>#N/A</v>
      </c>
    </row>
    <row r="994" spans="1:5" hidden="1" x14ac:dyDescent="0.25">
      <c r="A994" s="1" t="s">
        <v>993</v>
      </c>
      <c r="B994" s="3">
        <f>COUNTIF(PEDIDOS!$A:$A,FORNECEDOR!A994)</f>
        <v>0</v>
      </c>
      <c r="C994" s="3" t="e">
        <f>INDEX(PEDIDOS!$A:$D,MATCH(FORNECEDOR!A994,PEDIDOS!$A:$A,0),2)</f>
        <v>#N/A</v>
      </c>
      <c r="D994" s="3" t="e">
        <f>INDEX(PEDIDOS!$A:$D,MATCH(FORNECEDOR!A994,PEDIDOS!$A:$A,0),3)</f>
        <v>#N/A</v>
      </c>
      <c r="E994" s="3" t="e">
        <f>INDEX(PEDIDOS!$A:$D,MATCH(FORNECEDOR!A994,PEDIDOS!$A:$A,0),4)</f>
        <v>#N/A</v>
      </c>
    </row>
    <row r="995" spans="1:5" x14ac:dyDescent="0.25">
      <c r="A995" s="1" t="s">
        <v>994</v>
      </c>
      <c r="B995" s="3">
        <f>COUNTIF(PEDIDOS!$A:$A,FORNECEDOR!A995)</f>
        <v>1</v>
      </c>
      <c r="C995" s="3" t="str">
        <f>INDEX(PEDIDOS!$A:$D,MATCH(FORNECEDOR!A995,PEDIDOS!$A:$A,0),2)</f>
        <v>CD REGIS</v>
      </c>
      <c r="D995" s="3" t="str">
        <f>INDEX(PEDIDOS!$A:$D,MATCH(FORNECEDOR!A995,PEDIDOS!$A:$A,0),3)</f>
        <v>MATRIZ</v>
      </c>
      <c r="E995" s="3" t="str">
        <f>INDEX(PEDIDOS!$A:$D,MATCH(FORNECEDOR!A995,PEDIDOS!$A:$A,0),4)</f>
        <v>CD REGIS</v>
      </c>
    </row>
    <row r="996" spans="1:5" x14ac:dyDescent="0.25">
      <c r="A996" s="1" t="s">
        <v>995</v>
      </c>
      <c r="B996" s="3">
        <f>COUNTIF(PEDIDOS!$A:$A,FORNECEDOR!A996)</f>
        <v>1</v>
      </c>
      <c r="C996" s="3" t="str">
        <f>INDEX(PEDIDOS!$A:$D,MATCH(FORNECEDOR!A996,PEDIDOS!$A:$A,0),2)</f>
        <v>MATRIZ</v>
      </c>
      <c r="D996" s="3" t="str">
        <f>INDEX(PEDIDOS!$A:$D,MATCH(FORNECEDOR!A996,PEDIDOS!$A:$A,0),3)</f>
        <v>MATRIZ</v>
      </c>
      <c r="E996" s="3" t="str">
        <f>INDEX(PEDIDOS!$A:$D,MATCH(FORNECEDOR!A996,PEDIDOS!$A:$A,0),4)</f>
        <v>MATRIZ</v>
      </c>
    </row>
    <row r="997" spans="1:5" hidden="1" x14ac:dyDescent="0.25">
      <c r="A997" s="1" t="s">
        <v>996</v>
      </c>
      <c r="B997" s="3">
        <f>COUNTIF(PEDIDOS!$A:$A,FORNECEDOR!A997)</f>
        <v>0</v>
      </c>
      <c r="C997" s="3" t="e">
        <f>INDEX(PEDIDOS!$A:$D,MATCH(FORNECEDOR!A997,PEDIDOS!$A:$A,0),2)</f>
        <v>#N/A</v>
      </c>
      <c r="D997" s="3" t="e">
        <f>INDEX(PEDIDOS!$A:$D,MATCH(FORNECEDOR!A997,PEDIDOS!$A:$A,0),3)</f>
        <v>#N/A</v>
      </c>
      <c r="E997" s="3" t="e">
        <f>INDEX(PEDIDOS!$A:$D,MATCH(FORNECEDOR!A997,PEDIDOS!$A:$A,0),4)</f>
        <v>#N/A</v>
      </c>
    </row>
    <row r="998" spans="1:5" x14ac:dyDescent="0.25">
      <c r="A998" s="1" t="s">
        <v>997</v>
      </c>
      <c r="B998" s="3">
        <f>COUNTIF(PEDIDOS!$A:$A,FORNECEDOR!A998)</f>
        <v>1</v>
      </c>
      <c r="C998" s="3" t="str">
        <f>INDEX(PEDIDOS!$A:$D,MATCH(FORNECEDOR!A998,PEDIDOS!$A:$A,0),2)</f>
        <v>CD REGIS</v>
      </c>
      <c r="D998" s="3" t="str">
        <f>INDEX(PEDIDOS!$A:$D,MATCH(FORNECEDOR!A998,PEDIDOS!$A:$A,0),3)</f>
        <v>MATRIZ</v>
      </c>
      <c r="E998" s="3" t="str">
        <f>INDEX(PEDIDOS!$A:$D,MATCH(FORNECEDOR!A998,PEDIDOS!$A:$A,0),4)</f>
        <v>CD REGIS</v>
      </c>
    </row>
    <row r="999" spans="1:5" hidden="1" x14ac:dyDescent="0.25">
      <c r="A999" s="1" t="s">
        <v>998</v>
      </c>
      <c r="B999" s="3">
        <f>COUNTIF(PEDIDOS!$A:$A,FORNECEDOR!A999)</f>
        <v>0</v>
      </c>
      <c r="C999" s="3" t="e">
        <f>INDEX(PEDIDOS!$A:$D,MATCH(FORNECEDOR!A999,PEDIDOS!$A:$A,0),2)</f>
        <v>#N/A</v>
      </c>
      <c r="D999" s="3" t="e">
        <f>INDEX(PEDIDOS!$A:$D,MATCH(FORNECEDOR!A999,PEDIDOS!$A:$A,0),3)</f>
        <v>#N/A</v>
      </c>
      <c r="E999" s="3" t="e">
        <f>INDEX(PEDIDOS!$A:$D,MATCH(FORNECEDOR!A999,PEDIDOS!$A:$A,0),4)</f>
        <v>#N/A</v>
      </c>
    </row>
    <row r="1000" spans="1:5" hidden="1" x14ac:dyDescent="0.25">
      <c r="A1000" s="1" t="s">
        <v>999</v>
      </c>
      <c r="B1000" s="3">
        <f>COUNTIF(PEDIDOS!$A:$A,FORNECEDOR!A1000)</f>
        <v>0</v>
      </c>
      <c r="C1000" s="3" t="e">
        <f>INDEX(PEDIDOS!$A:$D,MATCH(FORNECEDOR!A1000,PEDIDOS!$A:$A,0),2)</f>
        <v>#N/A</v>
      </c>
      <c r="D1000" s="3" t="e">
        <f>INDEX(PEDIDOS!$A:$D,MATCH(FORNECEDOR!A1000,PEDIDOS!$A:$A,0),3)</f>
        <v>#N/A</v>
      </c>
      <c r="E1000" s="3" t="e">
        <f>INDEX(PEDIDOS!$A:$D,MATCH(FORNECEDOR!A1000,PEDIDOS!$A:$A,0),4)</f>
        <v>#N/A</v>
      </c>
    </row>
    <row r="1001" spans="1:5" hidden="1" x14ac:dyDescent="0.25">
      <c r="A1001" s="1" t="s">
        <v>1000</v>
      </c>
      <c r="B1001" s="3">
        <f>COUNTIF(PEDIDOS!$A:$A,FORNECEDOR!A1001)</f>
        <v>0</v>
      </c>
      <c r="C1001" s="3" t="e">
        <f>INDEX(PEDIDOS!$A:$D,MATCH(FORNECEDOR!A1001,PEDIDOS!$A:$A,0),2)</f>
        <v>#N/A</v>
      </c>
      <c r="D1001" s="3" t="e">
        <f>INDEX(PEDIDOS!$A:$D,MATCH(FORNECEDOR!A1001,PEDIDOS!$A:$A,0),3)</f>
        <v>#N/A</v>
      </c>
      <c r="E1001" s="3" t="e">
        <f>INDEX(PEDIDOS!$A:$D,MATCH(FORNECEDOR!A1001,PEDIDOS!$A:$A,0),4)</f>
        <v>#N/A</v>
      </c>
    </row>
    <row r="1002" spans="1:5" hidden="1" x14ac:dyDescent="0.25">
      <c r="A1002" s="1" t="s">
        <v>1001</v>
      </c>
      <c r="B1002" s="3">
        <f>COUNTIF(PEDIDOS!$A:$A,FORNECEDOR!A1002)</f>
        <v>0</v>
      </c>
      <c r="C1002" s="3" t="e">
        <f>INDEX(PEDIDOS!$A:$D,MATCH(FORNECEDOR!A1002,PEDIDOS!$A:$A,0),2)</f>
        <v>#N/A</v>
      </c>
      <c r="D1002" s="3" t="e">
        <f>INDEX(PEDIDOS!$A:$D,MATCH(FORNECEDOR!A1002,PEDIDOS!$A:$A,0),3)</f>
        <v>#N/A</v>
      </c>
      <c r="E1002" s="3" t="e">
        <f>INDEX(PEDIDOS!$A:$D,MATCH(FORNECEDOR!A1002,PEDIDOS!$A:$A,0),4)</f>
        <v>#N/A</v>
      </c>
    </row>
    <row r="1003" spans="1:5" hidden="1" x14ac:dyDescent="0.25">
      <c r="A1003" s="1" t="s">
        <v>1002</v>
      </c>
      <c r="B1003" s="3">
        <f>COUNTIF(PEDIDOS!$A:$A,FORNECEDOR!A1003)</f>
        <v>0</v>
      </c>
      <c r="C1003" s="3" t="e">
        <f>INDEX(PEDIDOS!$A:$D,MATCH(FORNECEDOR!A1003,PEDIDOS!$A:$A,0),2)</f>
        <v>#N/A</v>
      </c>
      <c r="D1003" s="3" t="e">
        <f>INDEX(PEDIDOS!$A:$D,MATCH(FORNECEDOR!A1003,PEDIDOS!$A:$A,0),3)</f>
        <v>#N/A</v>
      </c>
      <c r="E1003" s="3" t="e">
        <f>INDEX(PEDIDOS!$A:$D,MATCH(FORNECEDOR!A1003,PEDIDOS!$A:$A,0),4)</f>
        <v>#N/A</v>
      </c>
    </row>
    <row r="1004" spans="1:5" hidden="1" x14ac:dyDescent="0.25">
      <c r="A1004" s="1" t="s">
        <v>1003</v>
      </c>
      <c r="B1004" s="3">
        <f>COUNTIF(PEDIDOS!$A:$A,FORNECEDOR!A1004)</f>
        <v>0</v>
      </c>
      <c r="C1004" s="3" t="e">
        <f>INDEX(PEDIDOS!$A:$D,MATCH(FORNECEDOR!A1004,PEDIDOS!$A:$A,0),2)</f>
        <v>#N/A</v>
      </c>
      <c r="D1004" s="3" t="e">
        <f>INDEX(PEDIDOS!$A:$D,MATCH(FORNECEDOR!A1004,PEDIDOS!$A:$A,0),3)</f>
        <v>#N/A</v>
      </c>
      <c r="E1004" s="3" t="e">
        <f>INDEX(PEDIDOS!$A:$D,MATCH(FORNECEDOR!A1004,PEDIDOS!$A:$A,0),4)</f>
        <v>#N/A</v>
      </c>
    </row>
    <row r="1005" spans="1:5" hidden="1" x14ac:dyDescent="0.25">
      <c r="A1005" s="1" t="s">
        <v>1004</v>
      </c>
      <c r="B1005" s="3">
        <f>COUNTIF(PEDIDOS!$A:$A,FORNECEDOR!A1005)</f>
        <v>0</v>
      </c>
      <c r="C1005" s="3" t="e">
        <f>INDEX(PEDIDOS!$A:$D,MATCH(FORNECEDOR!A1005,PEDIDOS!$A:$A,0),2)</f>
        <v>#N/A</v>
      </c>
      <c r="D1005" s="3" t="e">
        <f>INDEX(PEDIDOS!$A:$D,MATCH(FORNECEDOR!A1005,PEDIDOS!$A:$A,0),3)</f>
        <v>#N/A</v>
      </c>
      <c r="E1005" s="3" t="e">
        <f>INDEX(PEDIDOS!$A:$D,MATCH(FORNECEDOR!A1005,PEDIDOS!$A:$A,0),4)</f>
        <v>#N/A</v>
      </c>
    </row>
    <row r="1006" spans="1:5" hidden="1" x14ac:dyDescent="0.25">
      <c r="A1006" s="1" t="s">
        <v>1005</v>
      </c>
      <c r="B1006" s="3">
        <f>COUNTIF(PEDIDOS!$A:$A,FORNECEDOR!A1006)</f>
        <v>0</v>
      </c>
      <c r="C1006" s="3" t="e">
        <f>INDEX(PEDIDOS!$A:$D,MATCH(FORNECEDOR!A1006,PEDIDOS!$A:$A,0),2)</f>
        <v>#N/A</v>
      </c>
      <c r="D1006" s="3" t="e">
        <f>INDEX(PEDIDOS!$A:$D,MATCH(FORNECEDOR!A1006,PEDIDOS!$A:$A,0),3)</f>
        <v>#N/A</v>
      </c>
      <c r="E1006" s="3" t="e">
        <f>INDEX(PEDIDOS!$A:$D,MATCH(FORNECEDOR!A1006,PEDIDOS!$A:$A,0),4)</f>
        <v>#N/A</v>
      </c>
    </row>
    <row r="1007" spans="1:5" hidden="1" x14ac:dyDescent="0.25">
      <c r="A1007" s="1" t="s">
        <v>1006</v>
      </c>
      <c r="B1007" s="3">
        <f>COUNTIF(PEDIDOS!$A:$A,FORNECEDOR!A1007)</f>
        <v>0</v>
      </c>
      <c r="C1007" s="3" t="e">
        <f>INDEX(PEDIDOS!$A:$D,MATCH(FORNECEDOR!A1007,PEDIDOS!$A:$A,0),2)</f>
        <v>#N/A</v>
      </c>
      <c r="D1007" s="3" t="e">
        <f>INDEX(PEDIDOS!$A:$D,MATCH(FORNECEDOR!A1007,PEDIDOS!$A:$A,0),3)</f>
        <v>#N/A</v>
      </c>
      <c r="E1007" s="3" t="e">
        <f>INDEX(PEDIDOS!$A:$D,MATCH(FORNECEDOR!A1007,PEDIDOS!$A:$A,0),4)</f>
        <v>#N/A</v>
      </c>
    </row>
    <row r="1008" spans="1:5" hidden="1" x14ac:dyDescent="0.25">
      <c r="A1008" s="1" t="s">
        <v>1007</v>
      </c>
      <c r="B1008" s="3">
        <f>COUNTIF(PEDIDOS!$A:$A,FORNECEDOR!A1008)</f>
        <v>0</v>
      </c>
      <c r="C1008" s="3" t="e">
        <f>INDEX(PEDIDOS!$A:$D,MATCH(FORNECEDOR!A1008,PEDIDOS!$A:$A,0),2)</f>
        <v>#N/A</v>
      </c>
      <c r="D1008" s="3" t="e">
        <f>INDEX(PEDIDOS!$A:$D,MATCH(FORNECEDOR!A1008,PEDIDOS!$A:$A,0),3)</f>
        <v>#N/A</v>
      </c>
      <c r="E1008" s="3" t="e">
        <f>INDEX(PEDIDOS!$A:$D,MATCH(FORNECEDOR!A1008,PEDIDOS!$A:$A,0),4)</f>
        <v>#N/A</v>
      </c>
    </row>
    <row r="1009" spans="1:5" hidden="1" x14ac:dyDescent="0.25">
      <c r="A1009" s="1" t="s">
        <v>1008</v>
      </c>
      <c r="B1009" s="3">
        <f>COUNTIF(PEDIDOS!$A:$A,FORNECEDOR!A1009)</f>
        <v>0</v>
      </c>
      <c r="C1009" s="3" t="e">
        <f>INDEX(PEDIDOS!$A:$D,MATCH(FORNECEDOR!A1009,PEDIDOS!$A:$A,0),2)</f>
        <v>#N/A</v>
      </c>
      <c r="D1009" s="3" t="e">
        <f>INDEX(PEDIDOS!$A:$D,MATCH(FORNECEDOR!A1009,PEDIDOS!$A:$A,0),3)</f>
        <v>#N/A</v>
      </c>
      <c r="E1009" s="3" t="e">
        <f>INDEX(PEDIDOS!$A:$D,MATCH(FORNECEDOR!A1009,PEDIDOS!$A:$A,0),4)</f>
        <v>#N/A</v>
      </c>
    </row>
    <row r="1010" spans="1:5" hidden="1" x14ac:dyDescent="0.25">
      <c r="A1010" s="1" t="s">
        <v>1009</v>
      </c>
      <c r="B1010" s="3">
        <f>COUNTIF(PEDIDOS!$A:$A,FORNECEDOR!A1010)</f>
        <v>0</v>
      </c>
      <c r="C1010" s="3" t="e">
        <f>INDEX(PEDIDOS!$A:$D,MATCH(FORNECEDOR!A1010,PEDIDOS!$A:$A,0),2)</f>
        <v>#N/A</v>
      </c>
      <c r="D1010" s="3" t="e">
        <f>INDEX(PEDIDOS!$A:$D,MATCH(FORNECEDOR!A1010,PEDIDOS!$A:$A,0),3)</f>
        <v>#N/A</v>
      </c>
      <c r="E1010" s="3" t="e">
        <f>INDEX(PEDIDOS!$A:$D,MATCH(FORNECEDOR!A1010,PEDIDOS!$A:$A,0),4)</f>
        <v>#N/A</v>
      </c>
    </row>
    <row r="1011" spans="1:5" hidden="1" x14ac:dyDescent="0.25">
      <c r="A1011" s="1" t="s">
        <v>1010</v>
      </c>
      <c r="B1011" s="3">
        <f>COUNTIF(PEDIDOS!$A:$A,FORNECEDOR!A1011)</f>
        <v>0</v>
      </c>
      <c r="C1011" s="3" t="e">
        <f>INDEX(PEDIDOS!$A:$D,MATCH(FORNECEDOR!A1011,PEDIDOS!$A:$A,0),2)</f>
        <v>#N/A</v>
      </c>
      <c r="D1011" s="3" t="e">
        <f>INDEX(PEDIDOS!$A:$D,MATCH(FORNECEDOR!A1011,PEDIDOS!$A:$A,0),3)</f>
        <v>#N/A</v>
      </c>
      <c r="E1011" s="3" t="e">
        <f>INDEX(PEDIDOS!$A:$D,MATCH(FORNECEDOR!A1011,PEDIDOS!$A:$A,0),4)</f>
        <v>#N/A</v>
      </c>
    </row>
    <row r="1012" spans="1:5" hidden="1" x14ac:dyDescent="0.25">
      <c r="A1012" s="1" t="s">
        <v>1011</v>
      </c>
      <c r="B1012" s="3">
        <f>COUNTIF(PEDIDOS!$A:$A,FORNECEDOR!A1012)</f>
        <v>0</v>
      </c>
      <c r="C1012" s="3" t="e">
        <f>INDEX(PEDIDOS!$A:$D,MATCH(FORNECEDOR!A1012,PEDIDOS!$A:$A,0),2)</f>
        <v>#N/A</v>
      </c>
      <c r="D1012" s="3" t="e">
        <f>INDEX(PEDIDOS!$A:$D,MATCH(FORNECEDOR!A1012,PEDIDOS!$A:$A,0),3)</f>
        <v>#N/A</v>
      </c>
      <c r="E1012" s="3" t="e">
        <f>INDEX(PEDIDOS!$A:$D,MATCH(FORNECEDOR!A1012,PEDIDOS!$A:$A,0),4)</f>
        <v>#N/A</v>
      </c>
    </row>
    <row r="1013" spans="1:5" hidden="1" x14ac:dyDescent="0.25">
      <c r="A1013" s="1" t="s">
        <v>1012</v>
      </c>
      <c r="B1013" s="3">
        <f>COUNTIF(PEDIDOS!$A:$A,FORNECEDOR!A1013)</f>
        <v>0</v>
      </c>
      <c r="C1013" s="3" t="e">
        <f>INDEX(PEDIDOS!$A:$D,MATCH(FORNECEDOR!A1013,PEDIDOS!$A:$A,0),2)</f>
        <v>#N/A</v>
      </c>
      <c r="D1013" s="3" t="e">
        <f>INDEX(PEDIDOS!$A:$D,MATCH(FORNECEDOR!A1013,PEDIDOS!$A:$A,0),3)</f>
        <v>#N/A</v>
      </c>
      <c r="E1013" s="3" t="e">
        <f>INDEX(PEDIDOS!$A:$D,MATCH(FORNECEDOR!A1013,PEDIDOS!$A:$A,0),4)</f>
        <v>#N/A</v>
      </c>
    </row>
    <row r="1014" spans="1:5" hidden="1" x14ac:dyDescent="0.25">
      <c r="A1014" s="1" t="s">
        <v>1013</v>
      </c>
      <c r="B1014" s="3">
        <f>COUNTIF(PEDIDOS!$A:$A,FORNECEDOR!A1014)</f>
        <v>0</v>
      </c>
      <c r="C1014" s="3" t="e">
        <f>INDEX(PEDIDOS!$A:$D,MATCH(FORNECEDOR!A1014,PEDIDOS!$A:$A,0),2)</f>
        <v>#N/A</v>
      </c>
      <c r="D1014" s="3" t="e">
        <f>INDEX(PEDIDOS!$A:$D,MATCH(FORNECEDOR!A1014,PEDIDOS!$A:$A,0),3)</f>
        <v>#N/A</v>
      </c>
      <c r="E1014" s="3" t="e">
        <f>INDEX(PEDIDOS!$A:$D,MATCH(FORNECEDOR!A1014,PEDIDOS!$A:$A,0),4)</f>
        <v>#N/A</v>
      </c>
    </row>
    <row r="1015" spans="1:5" hidden="1" x14ac:dyDescent="0.25">
      <c r="A1015" s="1" t="s">
        <v>1014</v>
      </c>
      <c r="B1015" s="3">
        <f>COUNTIF(PEDIDOS!$A:$A,FORNECEDOR!A1015)</f>
        <v>0</v>
      </c>
      <c r="C1015" s="3" t="e">
        <f>INDEX(PEDIDOS!$A:$D,MATCH(FORNECEDOR!A1015,PEDIDOS!$A:$A,0),2)</f>
        <v>#N/A</v>
      </c>
      <c r="D1015" s="3" t="e">
        <f>INDEX(PEDIDOS!$A:$D,MATCH(FORNECEDOR!A1015,PEDIDOS!$A:$A,0),3)</f>
        <v>#N/A</v>
      </c>
      <c r="E1015" s="3" t="e">
        <f>INDEX(PEDIDOS!$A:$D,MATCH(FORNECEDOR!A1015,PEDIDOS!$A:$A,0),4)</f>
        <v>#N/A</v>
      </c>
    </row>
    <row r="1016" spans="1:5" hidden="1" x14ac:dyDescent="0.25">
      <c r="A1016" s="1" t="s">
        <v>1015</v>
      </c>
      <c r="B1016" s="3">
        <f>COUNTIF(PEDIDOS!$A:$A,FORNECEDOR!A1016)</f>
        <v>0</v>
      </c>
      <c r="C1016" s="3" t="e">
        <f>INDEX(PEDIDOS!$A:$D,MATCH(FORNECEDOR!A1016,PEDIDOS!$A:$A,0),2)</f>
        <v>#N/A</v>
      </c>
      <c r="D1016" s="3" t="e">
        <f>INDEX(PEDIDOS!$A:$D,MATCH(FORNECEDOR!A1016,PEDIDOS!$A:$A,0),3)</f>
        <v>#N/A</v>
      </c>
      <c r="E1016" s="3" t="e">
        <f>INDEX(PEDIDOS!$A:$D,MATCH(FORNECEDOR!A1016,PEDIDOS!$A:$A,0),4)</f>
        <v>#N/A</v>
      </c>
    </row>
    <row r="1017" spans="1:5" hidden="1" x14ac:dyDescent="0.25">
      <c r="A1017" s="1" t="s">
        <v>1016</v>
      </c>
      <c r="B1017" s="3">
        <f>COUNTIF(PEDIDOS!$A:$A,FORNECEDOR!A1017)</f>
        <v>0</v>
      </c>
      <c r="C1017" s="3" t="e">
        <f>INDEX(PEDIDOS!$A:$D,MATCH(FORNECEDOR!A1017,PEDIDOS!$A:$A,0),2)</f>
        <v>#N/A</v>
      </c>
      <c r="D1017" s="3" t="e">
        <f>INDEX(PEDIDOS!$A:$D,MATCH(FORNECEDOR!A1017,PEDIDOS!$A:$A,0),3)</f>
        <v>#N/A</v>
      </c>
      <c r="E1017" s="3" t="e">
        <f>INDEX(PEDIDOS!$A:$D,MATCH(FORNECEDOR!A1017,PEDIDOS!$A:$A,0),4)</f>
        <v>#N/A</v>
      </c>
    </row>
    <row r="1018" spans="1:5" hidden="1" x14ac:dyDescent="0.25">
      <c r="A1018" s="1" t="s">
        <v>1017</v>
      </c>
      <c r="B1018" s="3">
        <f>COUNTIF(PEDIDOS!$A:$A,FORNECEDOR!A1018)</f>
        <v>0</v>
      </c>
      <c r="C1018" s="3" t="e">
        <f>INDEX(PEDIDOS!$A:$D,MATCH(FORNECEDOR!A1018,PEDIDOS!$A:$A,0),2)</f>
        <v>#N/A</v>
      </c>
      <c r="D1018" s="3" t="e">
        <f>INDEX(PEDIDOS!$A:$D,MATCH(FORNECEDOR!A1018,PEDIDOS!$A:$A,0),3)</f>
        <v>#N/A</v>
      </c>
      <c r="E1018" s="3" t="e">
        <f>INDEX(PEDIDOS!$A:$D,MATCH(FORNECEDOR!A1018,PEDIDOS!$A:$A,0),4)</f>
        <v>#N/A</v>
      </c>
    </row>
    <row r="1019" spans="1:5" hidden="1" x14ac:dyDescent="0.25">
      <c r="A1019" s="1" t="s">
        <v>1018</v>
      </c>
      <c r="B1019" s="3">
        <f>COUNTIF(PEDIDOS!$A:$A,FORNECEDOR!A1019)</f>
        <v>0</v>
      </c>
      <c r="C1019" s="3" t="e">
        <f>INDEX(PEDIDOS!$A:$D,MATCH(FORNECEDOR!A1019,PEDIDOS!$A:$A,0),2)</f>
        <v>#N/A</v>
      </c>
      <c r="D1019" s="3" t="e">
        <f>INDEX(PEDIDOS!$A:$D,MATCH(FORNECEDOR!A1019,PEDIDOS!$A:$A,0),3)</f>
        <v>#N/A</v>
      </c>
      <c r="E1019" s="3" t="e">
        <f>INDEX(PEDIDOS!$A:$D,MATCH(FORNECEDOR!A1019,PEDIDOS!$A:$A,0),4)</f>
        <v>#N/A</v>
      </c>
    </row>
    <row r="1020" spans="1:5" hidden="1" x14ac:dyDescent="0.25">
      <c r="A1020" s="1" t="s">
        <v>1019</v>
      </c>
      <c r="B1020" s="3">
        <f>COUNTIF(PEDIDOS!$A:$A,FORNECEDOR!A1020)</f>
        <v>0</v>
      </c>
      <c r="C1020" s="3" t="e">
        <f>INDEX(PEDIDOS!$A:$D,MATCH(FORNECEDOR!A1020,PEDIDOS!$A:$A,0),2)</f>
        <v>#N/A</v>
      </c>
      <c r="D1020" s="3" t="e">
        <f>INDEX(PEDIDOS!$A:$D,MATCH(FORNECEDOR!A1020,PEDIDOS!$A:$A,0),3)</f>
        <v>#N/A</v>
      </c>
      <c r="E1020" s="3" t="e">
        <f>INDEX(PEDIDOS!$A:$D,MATCH(FORNECEDOR!A1020,PEDIDOS!$A:$A,0),4)</f>
        <v>#N/A</v>
      </c>
    </row>
    <row r="1021" spans="1:5" hidden="1" x14ac:dyDescent="0.25">
      <c r="A1021" s="1" t="s">
        <v>1020</v>
      </c>
      <c r="B1021" s="3">
        <f>COUNTIF(PEDIDOS!$A:$A,FORNECEDOR!A1021)</f>
        <v>0</v>
      </c>
      <c r="C1021" s="3" t="e">
        <f>INDEX(PEDIDOS!$A:$D,MATCH(FORNECEDOR!A1021,PEDIDOS!$A:$A,0),2)</f>
        <v>#N/A</v>
      </c>
      <c r="D1021" s="3" t="e">
        <f>INDEX(PEDIDOS!$A:$D,MATCH(FORNECEDOR!A1021,PEDIDOS!$A:$A,0),3)</f>
        <v>#N/A</v>
      </c>
      <c r="E1021" s="3" t="e">
        <f>INDEX(PEDIDOS!$A:$D,MATCH(FORNECEDOR!A1021,PEDIDOS!$A:$A,0),4)</f>
        <v>#N/A</v>
      </c>
    </row>
    <row r="1022" spans="1:5" x14ac:dyDescent="0.25">
      <c r="A1022" s="1" t="s">
        <v>1021</v>
      </c>
      <c r="B1022" s="3">
        <f>COUNTIF(PEDIDOS!$A:$A,FORNECEDOR!A1022)</f>
        <v>1</v>
      </c>
      <c r="C1022" s="3" t="str">
        <f>INDEX(PEDIDOS!$A:$D,MATCH(FORNECEDOR!A1022,PEDIDOS!$A:$A,0),2)</f>
        <v>CD REGIS</v>
      </c>
      <c r="D1022" s="3" t="str">
        <f>INDEX(PEDIDOS!$A:$D,MATCH(FORNECEDOR!A1022,PEDIDOS!$A:$A,0),3)</f>
        <v>MATRIZ</v>
      </c>
      <c r="E1022" s="3" t="str">
        <f>INDEX(PEDIDOS!$A:$D,MATCH(FORNECEDOR!A1022,PEDIDOS!$A:$A,0),4)</f>
        <v>CD REGIS</v>
      </c>
    </row>
    <row r="1023" spans="1:5" hidden="1" x14ac:dyDescent="0.25">
      <c r="A1023" s="1" t="s">
        <v>1022</v>
      </c>
      <c r="B1023" s="3">
        <f>COUNTIF(PEDIDOS!$A:$A,FORNECEDOR!A1023)</f>
        <v>0</v>
      </c>
      <c r="C1023" s="3" t="e">
        <f>INDEX(PEDIDOS!$A:$D,MATCH(FORNECEDOR!A1023,PEDIDOS!$A:$A,0),2)</f>
        <v>#N/A</v>
      </c>
      <c r="D1023" s="3" t="e">
        <f>INDEX(PEDIDOS!$A:$D,MATCH(FORNECEDOR!A1023,PEDIDOS!$A:$A,0),3)</f>
        <v>#N/A</v>
      </c>
      <c r="E1023" s="3" t="e">
        <f>INDEX(PEDIDOS!$A:$D,MATCH(FORNECEDOR!A1023,PEDIDOS!$A:$A,0),4)</f>
        <v>#N/A</v>
      </c>
    </row>
    <row r="1024" spans="1:5" hidden="1" x14ac:dyDescent="0.25">
      <c r="A1024" s="1" t="s">
        <v>1023</v>
      </c>
      <c r="B1024" s="3">
        <f>COUNTIF(PEDIDOS!$A:$A,FORNECEDOR!A1024)</f>
        <v>0</v>
      </c>
      <c r="C1024" s="3" t="e">
        <f>INDEX(PEDIDOS!$A:$D,MATCH(FORNECEDOR!A1024,PEDIDOS!$A:$A,0),2)</f>
        <v>#N/A</v>
      </c>
      <c r="D1024" s="3" t="e">
        <f>INDEX(PEDIDOS!$A:$D,MATCH(FORNECEDOR!A1024,PEDIDOS!$A:$A,0),3)</f>
        <v>#N/A</v>
      </c>
      <c r="E1024" s="3" t="e">
        <f>INDEX(PEDIDOS!$A:$D,MATCH(FORNECEDOR!A1024,PEDIDOS!$A:$A,0),4)</f>
        <v>#N/A</v>
      </c>
    </row>
    <row r="1025" spans="1:5" x14ac:dyDescent="0.25">
      <c r="A1025" s="1" t="s">
        <v>1024</v>
      </c>
      <c r="B1025" s="3">
        <f>COUNTIF(PEDIDOS!$A:$A,FORNECEDOR!A1025)</f>
        <v>1</v>
      </c>
      <c r="C1025" s="3" t="str">
        <f>INDEX(PEDIDOS!$A:$D,MATCH(FORNECEDOR!A1025,PEDIDOS!$A:$A,0),2)</f>
        <v>MATRIZ</v>
      </c>
      <c r="D1025" s="3" t="str">
        <f>INDEX(PEDIDOS!$A:$D,MATCH(FORNECEDOR!A1025,PEDIDOS!$A:$A,0),3)</f>
        <v>MATRIZ</v>
      </c>
      <c r="E1025" s="3" t="str">
        <f>INDEX(PEDIDOS!$A:$D,MATCH(FORNECEDOR!A1025,PEDIDOS!$A:$A,0),4)</f>
        <v>MATRIZ</v>
      </c>
    </row>
    <row r="1026" spans="1:5" hidden="1" x14ac:dyDescent="0.25">
      <c r="A1026" s="1" t="s">
        <v>1025</v>
      </c>
      <c r="B1026" s="3">
        <f>COUNTIF(PEDIDOS!$A:$A,FORNECEDOR!A1026)</f>
        <v>0</v>
      </c>
      <c r="C1026" s="3" t="e">
        <f>INDEX(PEDIDOS!$A:$D,MATCH(FORNECEDOR!A1026,PEDIDOS!$A:$A,0),2)</f>
        <v>#N/A</v>
      </c>
      <c r="D1026" s="3" t="e">
        <f>INDEX(PEDIDOS!$A:$D,MATCH(FORNECEDOR!A1026,PEDIDOS!$A:$A,0),3)</f>
        <v>#N/A</v>
      </c>
      <c r="E1026" s="3" t="e">
        <f>INDEX(PEDIDOS!$A:$D,MATCH(FORNECEDOR!A1026,PEDIDOS!$A:$A,0),4)</f>
        <v>#N/A</v>
      </c>
    </row>
    <row r="1027" spans="1:5" hidden="1" x14ac:dyDescent="0.25">
      <c r="A1027" s="1" t="s">
        <v>1026</v>
      </c>
      <c r="B1027" s="3">
        <f>COUNTIF(PEDIDOS!$A:$A,FORNECEDOR!A1027)</f>
        <v>0</v>
      </c>
      <c r="C1027" s="3" t="e">
        <f>INDEX(PEDIDOS!$A:$D,MATCH(FORNECEDOR!A1027,PEDIDOS!$A:$A,0),2)</f>
        <v>#N/A</v>
      </c>
      <c r="D1027" s="3" t="e">
        <f>INDEX(PEDIDOS!$A:$D,MATCH(FORNECEDOR!A1027,PEDIDOS!$A:$A,0),3)</f>
        <v>#N/A</v>
      </c>
      <c r="E1027" s="3" t="e">
        <f>INDEX(PEDIDOS!$A:$D,MATCH(FORNECEDOR!A1027,PEDIDOS!$A:$A,0),4)</f>
        <v>#N/A</v>
      </c>
    </row>
    <row r="1028" spans="1:5" hidden="1" x14ac:dyDescent="0.25">
      <c r="A1028" s="1" t="s">
        <v>1027</v>
      </c>
      <c r="B1028" s="3">
        <f>COUNTIF(PEDIDOS!$A:$A,FORNECEDOR!A1028)</f>
        <v>0</v>
      </c>
      <c r="C1028" s="3" t="e">
        <f>INDEX(PEDIDOS!$A:$D,MATCH(FORNECEDOR!A1028,PEDIDOS!$A:$A,0),2)</f>
        <v>#N/A</v>
      </c>
      <c r="D1028" s="3" t="e">
        <f>INDEX(PEDIDOS!$A:$D,MATCH(FORNECEDOR!A1028,PEDIDOS!$A:$A,0),3)</f>
        <v>#N/A</v>
      </c>
      <c r="E1028" s="3" t="e">
        <f>INDEX(PEDIDOS!$A:$D,MATCH(FORNECEDOR!A1028,PEDIDOS!$A:$A,0),4)</f>
        <v>#N/A</v>
      </c>
    </row>
    <row r="1029" spans="1:5" hidden="1" x14ac:dyDescent="0.25">
      <c r="A1029" s="1" t="s">
        <v>1028</v>
      </c>
      <c r="B1029" s="3">
        <f>COUNTIF(PEDIDOS!$A:$A,FORNECEDOR!A1029)</f>
        <v>0</v>
      </c>
      <c r="C1029" s="3" t="e">
        <f>INDEX(PEDIDOS!$A:$D,MATCH(FORNECEDOR!A1029,PEDIDOS!$A:$A,0),2)</f>
        <v>#N/A</v>
      </c>
      <c r="D1029" s="3" t="e">
        <f>INDEX(PEDIDOS!$A:$D,MATCH(FORNECEDOR!A1029,PEDIDOS!$A:$A,0),3)</f>
        <v>#N/A</v>
      </c>
      <c r="E1029" s="3" t="e">
        <f>INDEX(PEDIDOS!$A:$D,MATCH(FORNECEDOR!A1029,PEDIDOS!$A:$A,0),4)</f>
        <v>#N/A</v>
      </c>
    </row>
    <row r="1030" spans="1:5" hidden="1" x14ac:dyDescent="0.25">
      <c r="A1030" s="1" t="s">
        <v>1029</v>
      </c>
      <c r="B1030" s="3">
        <f>COUNTIF(PEDIDOS!$A:$A,FORNECEDOR!A1030)</f>
        <v>0</v>
      </c>
      <c r="C1030" s="3" t="e">
        <f>INDEX(PEDIDOS!$A:$D,MATCH(FORNECEDOR!A1030,PEDIDOS!$A:$A,0),2)</f>
        <v>#N/A</v>
      </c>
      <c r="D1030" s="3" t="e">
        <f>INDEX(PEDIDOS!$A:$D,MATCH(FORNECEDOR!A1030,PEDIDOS!$A:$A,0),3)</f>
        <v>#N/A</v>
      </c>
      <c r="E1030" s="3" t="e">
        <f>INDEX(PEDIDOS!$A:$D,MATCH(FORNECEDOR!A1030,PEDIDOS!$A:$A,0),4)</f>
        <v>#N/A</v>
      </c>
    </row>
    <row r="1031" spans="1:5" hidden="1" x14ac:dyDescent="0.25">
      <c r="A1031" s="1" t="s">
        <v>1030</v>
      </c>
      <c r="B1031" s="3">
        <f>COUNTIF(PEDIDOS!$A:$A,FORNECEDOR!A1031)</f>
        <v>0</v>
      </c>
      <c r="C1031" s="3" t="e">
        <f>INDEX(PEDIDOS!$A:$D,MATCH(FORNECEDOR!A1031,PEDIDOS!$A:$A,0),2)</f>
        <v>#N/A</v>
      </c>
      <c r="D1031" s="3" t="e">
        <f>INDEX(PEDIDOS!$A:$D,MATCH(FORNECEDOR!A1031,PEDIDOS!$A:$A,0),3)</f>
        <v>#N/A</v>
      </c>
      <c r="E1031" s="3" t="e">
        <f>INDEX(PEDIDOS!$A:$D,MATCH(FORNECEDOR!A1031,PEDIDOS!$A:$A,0),4)</f>
        <v>#N/A</v>
      </c>
    </row>
    <row r="1032" spans="1:5" hidden="1" x14ac:dyDescent="0.25">
      <c r="A1032" s="1" t="s">
        <v>1031</v>
      </c>
      <c r="B1032" s="3">
        <f>COUNTIF(PEDIDOS!$A:$A,FORNECEDOR!A1032)</f>
        <v>0</v>
      </c>
      <c r="C1032" s="3" t="e">
        <f>INDEX(PEDIDOS!$A:$D,MATCH(FORNECEDOR!A1032,PEDIDOS!$A:$A,0),2)</f>
        <v>#N/A</v>
      </c>
      <c r="D1032" s="3" t="e">
        <f>INDEX(PEDIDOS!$A:$D,MATCH(FORNECEDOR!A1032,PEDIDOS!$A:$A,0),3)</f>
        <v>#N/A</v>
      </c>
      <c r="E1032" s="3" t="e">
        <f>INDEX(PEDIDOS!$A:$D,MATCH(FORNECEDOR!A1032,PEDIDOS!$A:$A,0),4)</f>
        <v>#N/A</v>
      </c>
    </row>
    <row r="1033" spans="1:5" hidden="1" x14ac:dyDescent="0.25">
      <c r="A1033" s="1" t="s">
        <v>1032</v>
      </c>
      <c r="B1033" s="3">
        <f>COUNTIF(PEDIDOS!$A:$A,FORNECEDOR!A1033)</f>
        <v>0</v>
      </c>
      <c r="C1033" s="3" t="e">
        <f>INDEX(PEDIDOS!$A:$D,MATCH(FORNECEDOR!A1033,PEDIDOS!$A:$A,0),2)</f>
        <v>#N/A</v>
      </c>
      <c r="D1033" s="3" t="e">
        <f>INDEX(PEDIDOS!$A:$D,MATCH(FORNECEDOR!A1033,PEDIDOS!$A:$A,0),3)</f>
        <v>#N/A</v>
      </c>
      <c r="E1033" s="3" t="e">
        <f>INDEX(PEDIDOS!$A:$D,MATCH(FORNECEDOR!A1033,PEDIDOS!$A:$A,0),4)</f>
        <v>#N/A</v>
      </c>
    </row>
    <row r="1034" spans="1:5" hidden="1" x14ac:dyDescent="0.25">
      <c r="A1034" s="1" t="s">
        <v>1033</v>
      </c>
      <c r="B1034" s="3">
        <f>COUNTIF(PEDIDOS!$A:$A,FORNECEDOR!A1034)</f>
        <v>0</v>
      </c>
      <c r="C1034" s="3" t="e">
        <f>INDEX(PEDIDOS!$A:$D,MATCH(FORNECEDOR!A1034,PEDIDOS!$A:$A,0),2)</f>
        <v>#N/A</v>
      </c>
      <c r="D1034" s="3" t="e">
        <f>INDEX(PEDIDOS!$A:$D,MATCH(FORNECEDOR!A1034,PEDIDOS!$A:$A,0),3)</f>
        <v>#N/A</v>
      </c>
      <c r="E1034" s="3" t="e">
        <f>INDEX(PEDIDOS!$A:$D,MATCH(FORNECEDOR!A1034,PEDIDOS!$A:$A,0),4)</f>
        <v>#N/A</v>
      </c>
    </row>
    <row r="1035" spans="1:5" x14ac:dyDescent="0.25">
      <c r="A1035" s="1" t="s">
        <v>1034</v>
      </c>
      <c r="B1035" s="3">
        <f>COUNTIF(PEDIDOS!$A:$A,FORNECEDOR!A1035)</f>
        <v>1</v>
      </c>
      <c r="C1035" s="3" t="str">
        <f>INDEX(PEDIDOS!$A:$D,MATCH(FORNECEDOR!A1035,PEDIDOS!$A:$A,0),2)</f>
        <v>MATRIZ</v>
      </c>
      <c r="D1035" s="3" t="str">
        <f>INDEX(PEDIDOS!$A:$D,MATCH(FORNECEDOR!A1035,PEDIDOS!$A:$A,0),3)</f>
        <v>MATRIZ</v>
      </c>
      <c r="E1035" s="3" t="str">
        <f>INDEX(PEDIDOS!$A:$D,MATCH(FORNECEDOR!A1035,PEDIDOS!$A:$A,0),4)</f>
        <v>MATRIZ</v>
      </c>
    </row>
    <row r="1036" spans="1:5" hidden="1" x14ac:dyDescent="0.25">
      <c r="A1036" s="1" t="s">
        <v>1035</v>
      </c>
      <c r="B1036" s="3">
        <f>COUNTIF(PEDIDOS!$A:$A,FORNECEDOR!A1036)</f>
        <v>0</v>
      </c>
      <c r="C1036" s="3" t="e">
        <f>INDEX(PEDIDOS!$A:$D,MATCH(FORNECEDOR!A1036,PEDIDOS!$A:$A,0),2)</f>
        <v>#N/A</v>
      </c>
      <c r="D1036" s="3" t="e">
        <f>INDEX(PEDIDOS!$A:$D,MATCH(FORNECEDOR!A1036,PEDIDOS!$A:$A,0),3)</f>
        <v>#N/A</v>
      </c>
      <c r="E1036" s="3" t="e">
        <f>INDEX(PEDIDOS!$A:$D,MATCH(FORNECEDOR!A1036,PEDIDOS!$A:$A,0),4)</f>
        <v>#N/A</v>
      </c>
    </row>
    <row r="1037" spans="1:5" hidden="1" x14ac:dyDescent="0.25">
      <c r="A1037" s="1" t="s">
        <v>1036</v>
      </c>
      <c r="B1037" s="3">
        <f>COUNTIF(PEDIDOS!$A:$A,FORNECEDOR!A1037)</f>
        <v>0</v>
      </c>
      <c r="C1037" s="3" t="e">
        <f>INDEX(PEDIDOS!$A:$D,MATCH(FORNECEDOR!A1037,PEDIDOS!$A:$A,0),2)</f>
        <v>#N/A</v>
      </c>
      <c r="D1037" s="3" t="e">
        <f>INDEX(PEDIDOS!$A:$D,MATCH(FORNECEDOR!A1037,PEDIDOS!$A:$A,0),3)</f>
        <v>#N/A</v>
      </c>
      <c r="E1037" s="3" t="e">
        <f>INDEX(PEDIDOS!$A:$D,MATCH(FORNECEDOR!A1037,PEDIDOS!$A:$A,0),4)</f>
        <v>#N/A</v>
      </c>
    </row>
    <row r="1038" spans="1:5" hidden="1" x14ac:dyDescent="0.25">
      <c r="A1038" s="1" t="s">
        <v>1037</v>
      </c>
      <c r="B1038" s="3">
        <f>COUNTIF(PEDIDOS!$A:$A,FORNECEDOR!A1038)</f>
        <v>0</v>
      </c>
      <c r="C1038" s="3" t="e">
        <f>INDEX(PEDIDOS!$A:$D,MATCH(FORNECEDOR!A1038,PEDIDOS!$A:$A,0),2)</f>
        <v>#N/A</v>
      </c>
      <c r="D1038" s="3" t="e">
        <f>INDEX(PEDIDOS!$A:$D,MATCH(FORNECEDOR!A1038,PEDIDOS!$A:$A,0),3)</f>
        <v>#N/A</v>
      </c>
      <c r="E1038" s="3" t="e">
        <f>INDEX(PEDIDOS!$A:$D,MATCH(FORNECEDOR!A1038,PEDIDOS!$A:$A,0),4)</f>
        <v>#N/A</v>
      </c>
    </row>
    <row r="1039" spans="1:5" x14ac:dyDescent="0.25">
      <c r="A1039" s="1" t="s">
        <v>1038</v>
      </c>
      <c r="B1039" s="3">
        <f>COUNTIF(PEDIDOS!$A:$A,FORNECEDOR!A1039)</f>
        <v>4</v>
      </c>
      <c r="C1039" s="3" t="str">
        <f>INDEX(PEDIDOS!$A:$D,MATCH(FORNECEDOR!A1039,PEDIDOS!$A:$A,0),2)</f>
        <v>CD ARAQUARI</v>
      </c>
      <c r="D1039" s="3" t="str">
        <f>INDEX(PEDIDOS!$A:$D,MATCH(FORNECEDOR!A1039,PEDIDOS!$A:$A,0),3)</f>
        <v>MATRIZ</v>
      </c>
      <c r="E1039" s="3" t="str">
        <f>INDEX(PEDIDOS!$A:$D,MATCH(FORNECEDOR!A1039,PEDIDOS!$A:$A,0),4)</f>
        <v>CD ARAQUARI</v>
      </c>
    </row>
    <row r="1040" spans="1:5" hidden="1" x14ac:dyDescent="0.25">
      <c r="A1040" s="1" t="s">
        <v>1039</v>
      </c>
      <c r="B1040" s="3">
        <f>COUNTIF(PEDIDOS!$A:$A,FORNECEDOR!A1040)</f>
        <v>0</v>
      </c>
      <c r="C1040" s="3" t="e">
        <f>INDEX(PEDIDOS!$A:$D,MATCH(FORNECEDOR!A1040,PEDIDOS!$A:$A,0),2)</f>
        <v>#N/A</v>
      </c>
      <c r="D1040" s="3" t="e">
        <f>INDEX(PEDIDOS!$A:$D,MATCH(FORNECEDOR!A1040,PEDIDOS!$A:$A,0),3)</f>
        <v>#N/A</v>
      </c>
      <c r="E1040" s="3" t="e">
        <f>INDEX(PEDIDOS!$A:$D,MATCH(FORNECEDOR!A1040,PEDIDOS!$A:$A,0),4)</f>
        <v>#N/A</v>
      </c>
    </row>
    <row r="1041" spans="1:5" hidden="1" x14ac:dyDescent="0.25">
      <c r="A1041" s="1" t="s">
        <v>1040</v>
      </c>
      <c r="B1041" s="3">
        <f>COUNTIF(PEDIDOS!$A:$A,FORNECEDOR!A1041)</f>
        <v>0</v>
      </c>
      <c r="C1041" s="3" t="e">
        <f>INDEX(PEDIDOS!$A:$D,MATCH(FORNECEDOR!A1041,PEDIDOS!$A:$A,0),2)</f>
        <v>#N/A</v>
      </c>
      <c r="D1041" s="3" t="e">
        <f>INDEX(PEDIDOS!$A:$D,MATCH(FORNECEDOR!A1041,PEDIDOS!$A:$A,0),3)</f>
        <v>#N/A</v>
      </c>
      <c r="E1041" s="3" t="e">
        <f>INDEX(PEDIDOS!$A:$D,MATCH(FORNECEDOR!A1041,PEDIDOS!$A:$A,0),4)</f>
        <v>#N/A</v>
      </c>
    </row>
    <row r="1042" spans="1:5" x14ac:dyDescent="0.25">
      <c r="A1042" s="1" t="s">
        <v>1041</v>
      </c>
      <c r="B1042" s="3">
        <f>COUNTIF(PEDIDOS!$A:$A,FORNECEDOR!A1042)</f>
        <v>1</v>
      </c>
      <c r="C1042" s="3" t="str">
        <f>INDEX(PEDIDOS!$A:$D,MATCH(FORNECEDOR!A1042,PEDIDOS!$A:$A,0),2)</f>
        <v>CD REGIS</v>
      </c>
      <c r="D1042" s="3" t="str">
        <f>INDEX(PEDIDOS!$A:$D,MATCH(FORNECEDOR!A1042,PEDIDOS!$A:$A,0),3)</f>
        <v>TATUAPE</v>
      </c>
      <c r="E1042" s="3" t="str">
        <f>INDEX(PEDIDOS!$A:$D,MATCH(FORNECEDOR!A1042,PEDIDOS!$A:$A,0),4)</f>
        <v>CD REGIS</v>
      </c>
    </row>
    <row r="1043" spans="1:5" x14ac:dyDescent="0.25">
      <c r="A1043" s="1" t="s">
        <v>1042</v>
      </c>
      <c r="B1043" s="3">
        <f>COUNTIF(PEDIDOS!$A:$A,FORNECEDOR!A1043)</f>
        <v>1</v>
      </c>
      <c r="C1043" s="3" t="str">
        <f>INDEX(PEDIDOS!$A:$D,MATCH(FORNECEDOR!A1043,PEDIDOS!$A:$A,0),2)</f>
        <v>CD REGIS</v>
      </c>
      <c r="D1043" s="3" t="str">
        <f>INDEX(PEDIDOS!$A:$D,MATCH(FORNECEDOR!A1043,PEDIDOS!$A:$A,0),3)</f>
        <v>MATRIZ</v>
      </c>
      <c r="E1043" s="3" t="str">
        <f>INDEX(PEDIDOS!$A:$D,MATCH(FORNECEDOR!A1043,PEDIDOS!$A:$A,0),4)</f>
        <v>CD REGIS</v>
      </c>
    </row>
    <row r="1044" spans="1:5" hidden="1" x14ac:dyDescent="0.25">
      <c r="A1044" s="1" t="s">
        <v>1043</v>
      </c>
      <c r="B1044" s="3">
        <f>COUNTIF(PEDIDOS!$A:$A,FORNECEDOR!A1044)</f>
        <v>0</v>
      </c>
      <c r="C1044" s="3" t="e">
        <f>INDEX(PEDIDOS!$A:$D,MATCH(FORNECEDOR!A1044,PEDIDOS!$A:$A,0),2)</f>
        <v>#N/A</v>
      </c>
      <c r="D1044" s="3" t="e">
        <f>INDEX(PEDIDOS!$A:$D,MATCH(FORNECEDOR!A1044,PEDIDOS!$A:$A,0),3)</f>
        <v>#N/A</v>
      </c>
      <c r="E1044" s="3" t="e">
        <f>INDEX(PEDIDOS!$A:$D,MATCH(FORNECEDOR!A1044,PEDIDOS!$A:$A,0),4)</f>
        <v>#N/A</v>
      </c>
    </row>
    <row r="1045" spans="1:5" hidden="1" x14ac:dyDescent="0.25">
      <c r="A1045" s="1" t="s">
        <v>1044</v>
      </c>
      <c r="B1045" s="3">
        <f>COUNTIF(PEDIDOS!$A:$A,FORNECEDOR!A1045)</f>
        <v>0</v>
      </c>
      <c r="C1045" s="3" t="e">
        <f>INDEX(PEDIDOS!$A:$D,MATCH(FORNECEDOR!A1045,PEDIDOS!$A:$A,0),2)</f>
        <v>#N/A</v>
      </c>
      <c r="D1045" s="3" t="e">
        <f>INDEX(PEDIDOS!$A:$D,MATCH(FORNECEDOR!A1045,PEDIDOS!$A:$A,0),3)</f>
        <v>#N/A</v>
      </c>
      <c r="E1045" s="3" t="e">
        <f>INDEX(PEDIDOS!$A:$D,MATCH(FORNECEDOR!A1045,PEDIDOS!$A:$A,0),4)</f>
        <v>#N/A</v>
      </c>
    </row>
    <row r="1046" spans="1:5" hidden="1" x14ac:dyDescent="0.25">
      <c r="A1046" s="1" t="s">
        <v>1045</v>
      </c>
      <c r="B1046" s="3">
        <f>COUNTIF(PEDIDOS!$A:$A,FORNECEDOR!A1046)</f>
        <v>0</v>
      </c>
      <c r="C1046" s="3" t="e">
        <f>INDEX(PEDIDOS!$A:$D,MATCH(FORNECEDOR!A1046,PEDIDOS!$A:$A,0),2)</f>
        <v>#N/A</v>
      </c>
      <c r="D1046" s="3" t="e">
        <f>INDEX(PEDIDOS!$A:$D,MATCH(FORNECEDOR!A1046,PEDIDOS!$A:$A,0),3)</f>
        <v>#N/A</v>
      </c>
      <c r="E1046" s="3" t="e">
        <f>INDEX(PEDIDOS!$A:$D,MATCH(FORNECEDOR!A1046,PEDIDOS!$A:$A,0),4)</f>
        <v>#N/A</v>
      </c>
    </row>
    <row r="1047" spans="1:5" hidden="1" x14ac:dyDescent="0.25">
      <c r="A1047" s="1" t="s">
        <v>1046</v>
      </c>
      <c r="B1047" s="3">
        <f>COUNTIF(PEDIDOS!$A:$A,FORNECEDOR!A1047)</f>
        <v>0</v>
      </c>
      <c r="C1047" s="3" t="e">
        <f>INDEX(PEDIDOS!$A:$D,MATCH(FORNECEDOR!A1047,PEDIDOS!$A:$A,0),2)</f>
        <v>#N/A</v>
      </c>
      <c r="D1047" s="3" t="e">
        <f>INDEX(PEDIDOS!$A:$D,MATCH(FORNECEDOR!A1047,PEDIDOS!$A:$A,0),3)</f>
        <v>#N/A</v>
      </c>
      <c r="E1047" s="3" t="e">
        <f>INDEX(PEDIDOS!$A:$D,MATCH(FORNECEDOR!A1047,PEDIDOS!$A:$A,0),4)</f>
        <v>#N/A</v>
      </c>
    </row>
    <row r="1048" spans="1:5" hidden="1" x14ac:dyDescent="0.25">
      <c r="A1048" s="1" t="s">
        <v>1047</v>
      </c>
      <c r="B1048" s="3">
        <f>COUNTIF(PEDIDOS!$A:$A,FORNECEDOR!A1048)</f>
        <v>0</v>
      </c>
      <c r="C1048" s="3" t="e">
        <f>INDEX(PEDIDOS!$A:$D,MATCH(FORNECEDOR!A1048,PEDIDOS!$A:$A,0),2)</f>
        <v>#N/A</v>
      </c>
      <c r="D1048" s="3" t="e">
        <f>INDEX(PEDIDOS!$A:$D,MATCH(FORNECEDOR!A1048,PEDIDOS!$A:$A,0),3)</f>
        <v>#N/A</v>
      </c>
      <c r="E1048" s="3" t="e">
        <f>INDEX(PEDIDOS!$A:$D,MATCH(FORNECEDOR!A1048,PEDIDOS!$A:$A,0),4)</f>
        <v>#N/A</v>
      </c>
    </row>
    <row r="1049" spans="1:5" x14ac:dyDescent="0.25">
      <c r="A1049" s="1" t="s">
        <v>1048</v>
      </c>
      <c r="B1049" s="3">
        <f>COUNTIF(PEDIDOS!$A:$A,FORNECEDOR!A1049)</f>
        <v>1</v>
      </c>
      <c r="C1049" s="3" t="str">
        <f>INDEX(PEDIDOS!$A:$D,MATCH(FORNECEDOR!A1049,PEDIDOS!$A:$A,0),2)</f>
        <v>CD REGIS</v>
      </c>
      <c r="D1049" s="3" t="str">
        <f>INDEX(PEDIDOS!$A:$D,MATCH(FORNECEDOR!A1049,PEDIDOS!$A:$A,0),3)</f>
        <v>TATUAPE</v>
      </c>
      <c r="E1049" s="3" t="str">
        <f>INDEX(PEDIDOS!$A:$D,MATCH(FORNECEDOR!A1049,PEDIDOS!$A:$A,0),4)</f>
        <v>CD REGIS</v>
      </c>
    </row>
    <row r="1050" spans="1:5" hidden="1" x14ac:dyDescent="0.25">
      <c r="A1050" s="1" t="s">
        <v>1049</v>
      </c>
      <c r="B1050" s="3">
        <f>COUNTIF(PEDIDOS!$A:$A,FORNECEDOR!A1050)</f>
        <v>0</v>
      </c>
      <c r="C1050" s="3" t="e">
        <f>INDEX(PEDIDOS!$A:$D,MATCH(FORNECEDOR!A1050,PEDIDOS!$A:$A,0),2)</f>
        <v>#N/A</v>
      </c>
      <c r="D1050" s="3" t="e">
        <f>INDEX(PEDIDOS!$A:$D,MATCH(FORNECEDOR!A1050,PEDIDOS!$A:$A,0),3)</f>
        <v>#N/A</v>
      </c>
      <c r="E1050" s="3" t="e">
        <f>INDEX(PEDIDOS!$A:$D,MATCH(FORNECEDOR!A1050,PEDIDOS!$A:$A,0),4)</f>
        <v>#N/A</v>
      </c>
    </row>
    <row r="1051" spans="1:5" x14ac:dyDescent="0.25">
      <c r="A1051" s="1" t="s">
        <v>1050</v>
      </c>
      <c r="B1051" s="3">
        <f>COUNTIF(PEDIDOS!$A:$A,FORNECEDOR!A1051)</f>
        <v>1</v>
      </c>
      <c r="C1051" s="3" t="str">
        <f>INDEX(PEDIDOS!$A:$D,MATCH(FORNECEDOR!A1051,PEDIDOS!$A:$A,0),2)</f>
        <v>CD NAVEGANTES</v>
      </c>
      <c r="D1051" s="3" t="str">
        <f>INDEX(PEDIDOS!$A:$D,MATCH(FORNECEDOR!A1051,PEDIDOS!$A:$A,0),3)</f>
        <v>MATRIZ</v>
      </c>
      <c r="E1051" s="3" t="str">
        <f>INDEX(PEDIDOS!$A:$D,MATCH(FORNECEDOR!A1051,PEDIDOS!$A:$A,0),4)</f>
        <v>CD NAVEGANTES</v>
      </c>
    </row>
    <row r="1052" spans="1:5" x14ac:dyDescent="0.25">
      <c r="A1052" s="1" t="s">
        <v>1051</v>
      </c>
      <c r="B1052" s="3">
        <f>COUNTIF(PEDIDOS!$A:$A,FORNECEDOR!A1052)</f>
        <v>5</v>
      </c>
      <c r="C1052" s="3" t="str">
        <f>INDEX(PEDIDOS!$A:$D,MATCH(FORNECEDOR!A1052,PEDIDOS!$A:$A,0),2)</f>
        <v>CD ARAQUARI</v>
      </c>
      <c r="D1052" s="3" t="str">
        <f>INDEX(PEDIDOS!$A:$D,MATCH(FORNECEDOR!A1052,PEDIDOS!$A:$A,0),3)</f>
        <v>MATRIZ</v>
      </c>
      <c r="E1052" s="3" t="str">
        <f>INDEX(PEDIDOS!$A:$D,MATCH(FORNECEDOR!A1052,PEDIDOS!$A:$A,0),4)</f>
        <v>CD ARAQUARI</v>
      </c>
    </row>
    <row r="1053" spans="1:5" hidden="1" x14ac:dyDescent="0.25">
      <c r="A1053" s="1" t="s">
        <v>1052</v>
      </c>
      <c r="B1053" s="3">
        <f>COUNTIF(PEDIDOS!$A:$A,FORNECEDOR!A1053)</f>
        <v>0</v>
      </c>
      <c r="C1053" s="3" t="e">
        <f>INDEX(PEDIDOS!$A:$D,MATCH(FORNECEDOR!A1053,PEDIDOS!$A:$A,0),2)</f>
        <v>#N/A</v>
      </c>
      <c r="D1053" s="3" t="e">
        <f>INDEX(PEDIDOS!$A:$D,MATCH(FORNECEDOR!A1053,PEDIDOS!$A:$A,0),3)</f>
        <v>#N/A</v>
      </c>
      <c r="E1053" s="3" t="e">
        <f>INDEX(PEDIDOS!$A:$D,MATCH(FORNECEDOR!A1053,PEDIDOS!$A:$A,0),4)</f>
        <v>#N/A</v>
      </c>
    </row>
    <row r="1054" spans="1:5" x14ac:dyDescent="0.25">
      <c r="A1054" s="1" t="s">
        <v>1053</v>
      </c>
      <c r="B1054" s="3">
        <f>COUNTIF(PEDIDOS!$A:$A,FORNECEDOR!A1054)</f>
        <v>1</v>
      </c>
      <c r="C1054" s="3" t="str">
        <f>INDEX(PEDIDOS!$A:$D,MATCH(FORNECEDOR!A1054,PEDIDOS!$A:$A,0),2)</f>
        <v>AVANTI- ADM C.CREDITO</v>
      </c>
      <c r="D1054" s="3" t="str">
        <f>INDEX(PEDIDOS!$A:$D,MATCH(FORNECEDOR!A1054,PEDIDOS!$A:$A,0),3)</f>
        <v>AVANTI- ADM C.CREDITO</v>
      </c>
      <c r="E1054" s="3" t="str">
        <f>INDEX(PEDIDOS!$A:$D,MATCH(FORNECEDOR!A1054,PEDIDOS!$A:$A,0),4)</f>
        <v>AVANTI- ADM C.CREDITO</v>
      </c>
    </row>
    <row r="1055" spans="1:5" hidden="1" x14ac:dyDescent="0.25">
      <c r="A1055" s="1" t="s">
        <v>1054</v>
      </c>
      <c r="B1055" s="3">
        <f>COUNTIF(PEDIDOS!$A:$A,FORNECEDOR!A1055)</f>
        <v>0</v>
      </c>
      <c r="C1055" s="3" t="e">
        <f>INDEX(PEDIDOS!$A:$D,MATCH(FORNECEDOR!A1055,PEDIDOS!$A:$A,0),2)</f>
        <v>#N/A</v>
      </c>
      <c r="D1055" s="3" t="e">
        <f>INDEX(PEDIDOS!$A:$D,MATCH(FORNECEDOR!A1055,PEDIDOS!$A:$A,0),3)</f>
        <v>#N/A</v>
      </c>
      <c r="E1055" s="3" t="e">
        <f>INDEX(PEDIDOS!$A:$D,MATCH(FORNECEDOR!A1055,PEDIDOS!$A:$A,0),4)</f>
        <v>#N/A</v>
      </c>
    </row>
    <row r="1056" spans="1:5" x14ac:dyDescent="0.25">
      <c r="A1056" s="1" t="s">
        <v>1055</v>
      </c>
      <c r="B1056" s="3">
        <f>COUNTIF(PEDIDOS!$A:$A,FORNECEDOR!A1056)</f>
        <v>1</v>
      </c>
      <c r="C1056" s="3" t="str">
        <f>INDEX(PEDIDOS!$A:$D,MATCH(FORNECEDOR!A1056,PEDIDOS!$A:$A,0),2)</f>
        <v>SP - PARI</v>
      </c>
      <c r="D1056" s="3" t="str">
        <f>INDEX(PEDIDOS!$A:$D,MATCH(FORNECEDOR!A1056,PEDIDOS!$A:$A,0),3)</f>
        <v>SP - PARI</v>
      </c>
      <c r="E1056" s="3" t="str">
        <f>INDEX(PEDIDOS!$A:$D,MATCH(FORNECEDOR!A1056,PEDIDOS!$A:$A,0),4)</f>
        <v>SP - PARI</v>
      </c>
    </row>
    <row r="1057" spans="1:5" hidden="1" x14ac:dyDescent="0.25">
      <c r="A1057" s="1" t="s">
        <v>1056</v>
      </c>
      <c r="B1057" s="3">
        <f>COUNTIF(PEDIDOS!$A:$A,FORNECEDOR!A1057)</f>
        <v>0</v>
      </c>
      <c r="C1057" s="3" t="e">
        <f>INDEX(PEDIDOS!$A:$D,MATCH(FORNECEDOR!A1057,PEDIDOS!$A:$A,0),2)</f>
        <v>#N/A</v>
      </c>
      <c r="D1057" s="3" t="e">
        <f>INDEX(PEDIDOS!$A:$D,MATCH(FORNECEDOR!A1057,PEDIDOS!$A:$A,0),3)</f>
        <v>#N/A</v>
      </c>
      <c r="E1057" s="3" t="e">
        <f>INDEX(PEDIDOS!$A:$D,MATCH(FORNECEDOR!A1057,PEDIDOS!$A:$A,0),4)</f>
        <v>#N/A</v>
      </c>
    </row>
    <row r="1058" spans="1:5" hidden="1" x14ac:dyDescent="0.25">
      <c r="A1058" s="1" t="s">
        <v>1057</v>
      </c>
      <c r="B1058" s="3">
        <f>COUNTIF(PEDIDOS!$A:$A,FORNECEDOR!A1058)</f>
        <v>0</v>
      </c>
      <c r="C1058" s="3" t="e">
        <f>INDEX(PEDIDOS!$A:$D,MATCH(FORNECEDOR!A1058,PEDIDOS!$A:$A,0),2)</f>
        <v>#N/A</v>
      </c>
      <c r="D1058" s="3" t="e">
        <f>INDEX(PEDIDOS!$A:$D,MATCH(FORNECEDOR!A1058,PEDIDOS!$A:$A,0),3)</f>
        <v>#N/A</v>
      </c>
      <c r="E1058" s="3" t="e">
        <f>INDEX(PEDIDOS!$A:$D,MATCH(FORNECEDOR!A1058,PEDIDOS!$A:$A,0),4)</f>
        <v>#N/A</v>
      </c>
    </row>
    <row r="1059" spans="1:5" x14ac:dyDescent="0.25">
      <c r="A1059" s="1" t="s">
        <v>1058</v>
      </c>
      <c r="B1059" s="3">
        <f>COUNTIF(PEDIDOS!$A:$A,FORNECEDOR!A1059)</f>
        <v>1</v>
      </c>
      <c r="C1059" s="3" t="str">
        <f>INDEX(PEDIDOS!$A:$D,MATCH(FORNECEDOR!A1059,PEDIDOS!$A:$A,0),2)</f>
        <v>CD REGIS</v>
      </c>
      <c r="D1059" s="3" t="str">
        <f>INDEX(PEDIDOS!$A:$D,MATCH(FORNECEDOR!A1059,PEDIDOS!$A:$A,0),3)</f>
        <v>TATUAPE</v>
      </c>
      <c r="E1059" s="3" t="str">
        <f>INDEX(PEDIDOS!$A:$D,MATCH(FORNECEDOR!A1059,PEDIDOS!$A:$A,0),4)</f>
        <v>CD REGIS</v>
      </c>
    </row>
    <row r="1060" spans="1:5" hidden="1" x14ac:dyDescent="0.25">
      <c r="A1060" s="1" t="s">
        <v>1059</v>
      </c>
      <c r="B1060" s="3">
        <f>COUNTIF(PEDIDOS!$A:$A,FORNECEDOR!A1060)</f>
        <v>0</v>
      </c>
      <c r="C1060" s="3" t="e">
        <f>INDEX(PEDIDOS!$A:$D,MATCH(FORNECEDOR!A1060,PEDIDOS!$A:$A,0),2)</f>
        <v>#N/A</v>
      </c>
      <c r="D1060" s="3" t="e">
        <f>INDEX(PEDIDOS!$A:$D,MATCH(FORNECEDOR!A1060,PEDIDOS!$A:$A,0),3)</f>
        <v>#N/A</v>
      </c>
      <c r="E1060" s="3" t="e">
        <f>INDEX(PEDIDOS!$A:$D,MATCH(FORNECEDOR!A1060,PEDIDOS!$A:$A,0),4)</f>
        <v>#N/A</v>
      </c>
    </row>
    <row r="1061" spans="1:5" hidden="1" x14ac:dyDescent="0.25">
      <c r="A1061" s="1" t="s">
        <v>1060</v>
      </c>
      <c r="B1061" s="3">
        <f>COUNTIF(PEDIDOS!$A:$A,FORNECEDOR!A1061)</f>
        <v>0</v>
      </c>
      <c r="C1061" s="3" t="e">
        <f>INDEX(PEDIDOS!$A:$D,MATCH(FORNECEDOR!A1061,PEDIDOS!$A:$A,0),2)</f>
        <v>#N/A</v>
      </c>
      <c r="D1061" s="3" t="e">
        <f>INDEX(PEDIDOS!$A:$D,MATCH(FORNECEDOR!A1061,PEDIDOS!$A:$A,0),3)</f>
        <v>#N/A</v>
      </c>
      <c r="E1061" s="3" t="e">
        <f>INDEX(PEDIDOS!$A:$D,MATCH(FORNECEDOR!A1061,PEDIDOS!$A:$A,0),4)</f>
        <v>#N/A</v>
      </c>
    </row>
    <row r="1062" spans="1:5" x14ac:dyDescent="0.25">
      <c r="A1062" s="1" t="s">
        <v>1061</v>
      </c>
      <c r="B1062" s="3">
        <f>COUNTIF(PEDIDOS!$A:$A,FORNECEDOR!A1062)</f>
        <v>47</v>
      </c>
      <c r="C1062" s="3" t="str">
        <f>INDEX(PEDIDOS!$A:$D,MATCH(FORNECEDOR!A1062,PEDIDOS!$A:$A,0),2)</f>
        <v>AVANTI- ADM C.CREDITO</v>
      </c>
      <c r="D1062" s="3" t="str">
        <f>INDEX(PEDIDOS!$A:$D,MATCH(FORNECEDOR!A1062,PEDIDOS!$A:$A,0),3)</f>
        <v>AVANTI- ADM C.CREDITO</v>
      </c>
      <c r="E1062" s="3" t="str">
        <f>INDEX(PEDIDOS!$A:$D,MATCH(FORNECEDOR!A1062,PEDIDOS!$A:$A,0),4)</f>
        <v>AVANTI- ADM C.CREDITO</v>
      </c>
    </row>
    <row r="1063" spans="1:5" hidden="1" x14ac:dyDescent="0.25">
      <c r="A1063" s="1" t="s">
        <v>1062</v>
      </c>
      <c r="B1063" s="3">
        <f>COUNTIF(PEDIDOS!$A:$A,FORNECEDOR!A1063)</f>
        <v>0</v>
      </c>
      <c r="C1063" s="3" t="e">
        <f>INDEX(PEDIDOS!$A:$D,MATCH(FORNECEDOR!A1063,PEDIDOS!$A:$A,0),2)</f>
        <v>#N/A</v>
      </c>
      <c r="D1063" s="3" t="e">
        <f>INDEX(PEDIDOS!$A:$D,MATCH(FORNECEDOR!A1063,PEDIDOS!$A:$A,0),3)</f>
        <v>#N/A</v>
      </c>
      <c r="E1063" s="3" t="e">
        <f>INDEX(PEDIDOS!$A:$D,MATCH(FORNECEDOR!A1063,PEDIDOS!$A:$A,0),4)</f>
        <v>#N/A</v>
      </c>
    </row>
    <row r="1064" spans="1:5" x14ac:dyDescent="0.25">
      <c r="A1064" s="1" t="s">
        <v>1063</v>
      </c>
      <c r="B1064" s="3">
        <f>COUNTIF(PEDIDOS!$A:$A,FORNECEDOR!A1064)</f>
        <v>1</v>
      </c>
      <c r="C1064" s="3" t="str">
        <f>INDEX(PEDIDOS!$A:$D,MATCH(FORNECEDOR!A1064,PEDIDOS!$A:$A,0),2)</f>
        <v>AVANTI- ADM C.CREDITO</v>
      </c>
      <c r="D1064" s="3" t="str">
        <f>INDEX(PEDIDOS!$A:$D,MATCH(FORNECEDOR!A1064,PEDIDOS!$A:$A,0),3)</f>
        <v>AVANTI- ADM C.CREDITO</v>
      </c>
      <c r="E1064" s="3" t="str">
        <f>INDEX(PEDIDOS!$A:$D,MATCH(FORNECEDOR!A1064,PEDIDOS!$A:$A,0),4)</f>
        <v>AVANTI- ADM C.CREDITO</v>
      </c>
    </row>
    <row r="1065" spans="1:5" x14ac:dyDescent="0.25">
      <c r="A1065" s="1" t="s">
        <v>1064</v>
      </c>
      <c r="B1065" s="3">
        <f>COUNTIF(PEDIDOS!$A:$A,FORNECEDOR!A1065)</f>
        <v>1</v>
      </c>
      <c r="C1065" s="3" t="str">
        <f>INDEX(PEDIDOS!$A:$D,MATCH(FORNECEDOR!A1065,PEDIDOS!$A:$A,0),2)</f>
        <v>MOGI GUACU</v>
      </c>
      <c r="D1065" s="3" t="str">
        <f>INDEX(PEDIDOS!$A:$D,MATCH(FORNECEDOR!A1065,PEDIDOS!$A:$A,0),3)</f>
        <v>MOGI GUACU</v>
      </c>
      <c r="E1065" s="3" t="str">
        <f>INDEX(PEDIDOS!$A:$D,MATCH(FORNECEDOR!A1065,PEDIDOS!$A:$A,0),4)</f>
        <v>MOGI GUACU</v>
      </c>
    </row>
    <row r="1066" spans="1:5" x14ac:dyDescent="0.25">
      <c r="A1066" s="1" t="s">
        <v>1065</v>
      </c>
      <c r="B1066" s="3">
        <f>COUNTIF(PEDIDOS!$A:$A,FORNECEDOR!A1066)</f>
        <v>1</v>
      </c>
      <c r="C1066" s="3" t="str">
        <f>INDEX(PEDIDOS!$A:$D,MATCH(FORNECEDOR!A1066,PEDIDOS!$A:$A,0),2)</f>
        <v>MOGI GUACU</v>
      </c>
      <c r="D1066" s="3" t="str">
        <f>INDEX(PEDIDOS!$A:$D,MATCH(FORNECEDOR!A1066,PEDIDOS!$A:$A,0),3)</f>
        <v>MOGI GUACU</v>
      </c>
      <c r="E1066" s="3" t="str">
        <f>INDEX(PEDIDOS!$A:$D,MATCH(FORNECEDOR!A1066,PEDIDOS!$A:$A,0),4)</f>
        <v>MOGI GUACU</v>
      </c>
    </row>
    <row r="1067" spans="1:5" hidden="1" x14ac:dyDescent="0.25">
      <c r="A1067" s="1" t="s">
        <v>1066</v>
      </c>
      <c r="B1067" s="3">
        <f>COUNTIF(PEDIDOS!$A:$A,FORNECEDOR!A1067)</f>
        <v>0</v>
      </c>
      <c r="C1067" s="3" t="e">
        <f>INDEX(PEDIDOS!$A:$D,MATCH(FORNECEDOR!A1067,PEDIDOS!$A:$A,0),2)</f>
        <v>#N/A</v>
      </c>
      <c r="D1067" s="3" t="e">
        <f>INDEX(PEDIDOS!$A:$D,MATCH(FORNECEDOR!A1067,PEDIDOS!$A:$A,0),3)</f>
        <v>#N/A</v>
      </c>
      <c r="E1067" s="3" t="e">
        <f>INDEX(PEDIDOS!$A:$D,MATCH(FORNECEDOR!A1067,PEDIDOS!$A:$A,0),4)</f>
        <v>#N/A</v>
      </c>
    </row>
    <row r="1068" spans="1:5" hidden="1" x14ac:dyDescent="0.25">
      <c r="A1068" s="1" t="s">
        <v>1067</v>
      </c>
      <c r="B1068" s="3">
        <f>COUNTIF(PEDIDOS!$A:$A,FORNECEDOR!A1068)</f>
        <v>0</v>
      </c>
      <c r="C1068" s="3" t="e">
        <f>INDEX(PEDIDOS!$A:$D,MATCH(FORNECEDOR!A1068,PEDIDOS!$A:$A,0),2)</f>
        <v>#N/A</v>
      </c>
      <c r="D1068" s="3" t="e">
        <f>INDEX(PEDIDOS!$A:$D,MATCH(FORNECEDOR!A1068,PEDIDOS!$A:$A,0),3)</f>
        <v>#N/A</v>
      </c>
      <c r="E1068" s="3" t="e">
        <f>INDEX(PEDIDOS!$A:$D,MATCH(FORNECEDOR!A1068,PEDIDOS!$A:$A,0),4)</f>
        <v>#N/A</v>
      </c>
    </row>
    <row r="1069" spans="1:5" x14ac:dyDescent="0.25">
      <c r="A1069" s="1" t="s">
        <v>1068</v>
      </c>
      <c r="B1069" s="3">
        <f>COUNTIF(PEDIDOS!$A:$A,FORNECEDOR!A1069)</f>
        <v>1</v>
      </c>
      <c r="C1069" s="3" t="str">
        <f>INDEX(PEDIDOS!$A:$D,MATCH(FORNECEDOR!A1069,PEDIDOS!$A:$A,0),2)</f>
        <v>SP - PARI</v>
      </c>
      <c r="D1069" s="3" t="str">
        <f>INDEX(PEDIDOS!$A:$D,MATCH(FORNECEDOR!A1069,PEDIDOS!$A:$A,0),3)</f>
        <v>SP - PARI</v>
      </c>
      <c r="E1069" s="3" t="str">
        <f>INDEX(PEDIDOS!$A:$D,MATCH(FORNECEDOR!A1069,PEDIDOS!$A:$A,0),4)</f>
        <v>SP - PARI</v>
      </c>
    </row>
    <row r="1070" spans="1:5" hidden="1" x14ac:dyDescent="0.25">
      <c r="A1070" s="1" t="s">
        <v>1069</v>
      </c>
      <c r="B1070" s="3">
        <f>COUNTIF(PEDIDOS!$A:$A,FORNECEDOR!A1070)</f>
        <v>0</v>
      </c>
      <c r="C1070" s="3" t="e">
        <f>INDEX(PEDIDOS!$A:$D,MATCH(FORNECEDOR!A1070,PEDIDOS!$A:$A,0),2)</f>
        <v>#N/A</v>
      </c>
      <c r="D1070" s="3" t="e">
        <f>INDEX(PEDIDOS!$A:$D,MATCH(FORNECEDOR!A1070,PEDIDOS!$A:$A,0),3)</f>
        <v>#N/A</v>
      </c>
      <c r="E1070" s="3" t="e">
        <f>INDEX(PEDIDOS!$A:$D,MATCH(FORNECEDOR!A1070,PEDIDOS!$A:$A,0),4)</f>
        <v>#N/A</v>
      </c>
    </row>
    <row r="1071" spans="1:5" hidden="1" x14ac:dyDescent="0.25">
      <c r="A1071" s="1" t="s">
        <v>1070</v>
      </c>
      <c r="B1071" s="3">
        <f>COUNTIF(PEDIDOS!$A:$A,FORNECEDOR!A1071)</f>
        <v>0</v>
      </c>
      <c r="C1071" s="3" t="e">
        <f>INDEX(PEDIDOS!$A:$D,MATCH(FORNECEDOR!A1071,PEDIDOS!$A:$A,0),2)</f>
        <v>#N/A</v>
      </c>
      <c r="D1071" s="3" t="e">
        <f>INDEX(PEDIDOS!$A:$D,MATCH(FORNECEDOR!A1071,PEDIDOS!$A:$A,0),3)</f>
        <v>#N/A</v>
      </c>
      <c r="E1071" s="3" t="e">
        <f>INDEX(PEDIDOS!$A:$D,MATCH(FORNECEDOR!A1071,PEDIDOS!$A:$A,0),4)</f>
        <v>#N/A</v>
      </c>
    </row>
    <row r="1072" spans="1:5" x14ac:dyDescent="0.25">
      <c r="A1072" s="1" t="s">
        <v>1071</v>
      </c>
      <c r="B1072" s="3">
        <f>COUNTIF(PEDIDOS!$A:$A,FORNECEDOR!A1072)</f>
        <v>2</v>
      </c>
      <c r="C1072" s="3" t="str">
        <f>INDEX(PEDIDOS!$A:$D,MATCH(FORNECEDOR!A1072,PEDIDOS!$A:$A,0),2)</f>
        <v>MATRIZ</v>
      </c>
      <c r="D1072" s="3" t="str">
        <f>INDEX(PEDIDOS!$A:$D,MATCH(FORNECEDOR!A1072,PEDIDOS!$A:$A,0),3)</f>
        <v>MATRIZ</v>
      </c>
      <c r="E1072" s="3" t="str">
        <f>INDEX(PEDIDOS!$A:$D,MATCH(FORNECEDOR!A1072,PEDIDOS!$A:$A,0),4)</f>
        <v>MATRIZ</v>
      </c>
    </row>
    <row r="1073" spans="1:5" x14ac:dyDescent="0.25">
      <c r="A1073" s="1" t="s">
        <v>1072</v>
      </c>
      <c r="B1073" s="3">
        <f>COUNTIF(PEDIDOS!$A:$A,FORNECEDOR!A1073)</f>
        <v>1</v>
      </c>
      <c r="C1073" s="3" t="str">
        <f>INDEX(PEDIDOS!$A:$D,MATCH(FORNECEDOR!A1073,PEDIDOS!$A:$A,0),2)</f>
        <v>MATRIZ</v>
      </c>
      <c r="D1073" s="3" t="str">
        <f>INDEX(PEDIDOS!$A:$D,MATCH(FORNECEDOR!A1073,PEDIDOS!$A:$A,0),3)</f>
        <v>MATRIZ</v>
      </c>
      <c r="E1073" s="3" t="str">
        <f>INDEX(PEDIDOS!$A:$D,MATCH(FORNECEDOR!A1073,PEDIDOS!$A:$A,0),4)</f>
        <v>MATRIZ</v>
      </c>
    </row>
    <row r="1074" spans="1:5" hidden="1" x14ac:dyDescent="0.25">
      <c r="A1074" s="1" t="s">
        <v>1073</v>
      </c>
      <c r="B1074" s="3">
        <f>COUNTIF(PEDIDOS!$A:$A,FORNECEDOR!A1074)</f>
        <v>0</v>
      </c>
      <c r="C1074" s="3" t="e">
        <f>INDEX(PEDIDOS!$A:$D,MATCH(FORNECEDOR!A1074,PEDIDOS!$A:$A,0),2)</f>
        <v>#N/A</v>
      </c>
      <c r="D1074" s="3" t="e">
        <f>INDEX(PEDIDOS!$A:$D,MATCH(FORNECEDOR!A1074,PEDIDOS!$A:$A,0),3)</f>
        <v>#N/A</v>
      </c>
      <c r="E1074" s="3" t="e">
        <f>INDEX(PEDIDOS!$A:$D,MATCH(FORNECEDOR!A1074,PEDIDOS!$A:$A,0),4)</f>
        <v>#N/A</v>
      </c>
    </row>
    <row r="1075" spans="1:5" x14ac:dyDescent="0.25">
      <c r="A1075" s="1" t="s">
        <v>1074</v>
      </c>
      <c r="B1075" s="3">
        <f>COUNTIF(PEDIDOS!$A:$A,FORNECEDOR!A1075)</f>
        <v>1</v>
      </c>
      <c r="C1075" s="3" t="str">
        <f>INDEX(PEDIDOS!$A:$D,MATCH(FORNECEDOR!A1075,PEDIDOS!$A:$A,0),2)</f>
        <v>SAO BERNARDO</v>
      </c>
      <c r="D1075" s="3" t="str">
        <f>INDEX(PEDIDOS!$A:$D,MATCH(FORNECEDOR!A1075,PEDIDOS!$A:$A,0),3)</f>
        <v>SAO BERNARDO</v>
      </c>
      <c r="E1075" s="3" t="str">
        <f>INDEX(PEDIDOS!$A:$D,MATCH(FORNECEDOR!A1075,PEDIDOS!$A:$A,0),4)</f>
        <v>SAO BERNARDO</v>
      </c>
    </row>
    <row r="1076" spans="1:5" hidden="1" x14ac:dyDescent="0.25">
      <c r="A1076" s="1" t="s">
        <v>1075</v>
      </c>
      <c r="B1076" s="3">
        <f>COUNTIF(PEDIDOS!$A:$A,FORNECEDOR!A1076)</f>
        <v>0</v>
      </c>
      <c r="C1076" s="3" t="e">
        <f>INDEX(PEDIDOS!$A:$D,MATCH(FORNECEDOR!A1076,PEDIDOS!$A:$A,0),2)</f>
        <v>#N/A</v>
      </c>
      <c r="D1076" s="3" t="e">
        <f>INDEX(PEDIDOS!$A:$D,MATCH(FORNECEDOR!A1076,PEDIDOS!$A:$A,0),3)</f>
        <v>#N/A</v>
      </c>
      <c r="E1076" s="3" t="e">
        <f>INDEX(PEDIDOS!$A:$D,MATCH(FORNECEDOR!A1076,PEDIDOS!$A:$A,0),4)</f>
        <v>#N/A</v>
      </c>
    </row>
    <row r="1077" spans="1:5" hidden="1" x14ac:dyDescent="0.25">
      <c r="A1077" s="1" t="s">
        <v>1076</v>
      </c>
      <c r="B1077" s="3">
        <f>COUNTIF(PEDIDOS!$A:$A,FORNECEDOR!A1077)</f>
        <v>0</v>
      </c>
      <c r="C1077" s="3" t="e">
        <f>INDEX(PEDIDOS!$A:$D,MATCH(FORNECEDOR!A1077,PEDIDOS!$A:$A,0),2)</f>
        <v>#N/A</v>
      </c>
      <c r="D1077" s="3" t="e">
        <f>INDEX(PEDIDOS!$A:$D,MATCH(FORNECEDOR!A1077,PEDIDOS!$A:$A,0),3)</f>
        <v>#N/A</v>
      </c>
      <c r="E1077" s="3" t="e">
        <f>INDEX(PEDIDOS!$A:$D,MATCH(FORNECEDOR!A1077,PEDIDOS!$A:$A,0),4)</f>
        <v>#N/A</v>
      </c>
    </row>
    <row r="1078" spans="1:5" hidden="1" x14ac:dyDescent="0.25">
      <c r="A1078" s="1" t="s">
        <v>1077</v>
      </c>
      <c r="B1078" s="3">
        <f>COUNTIF(PEDIDOS!$A:$A,FORNECEDOR!A1078)</f>
        <v>0</v>
      </c>
      <c r="C1078" s="3" t="e">
        <f>INDEX(PEDIDOS!$A:$D,MATCH(FORNECEDOR!A1078,PEDIDOS!$A:$A,0),2)</f>
        <v>#N/A</v>
      </c>
      <c r="D1078" s="3" t="e">
        <f>INDEX(PEDIDOS!$A:$D,MATCH(FORNECEDOR!A1078,PEDIDOS!$A:$A,0),3)</f>
        <v>#N/A</v>
      </c>
      <c r="E1078" s="3" t="e">
        <f>INDEX(PEDIDOS!$A:$D,MATCH(FORNECEDOR!A1078,PEDIDOS!$A:$A,0),4)</f>
        <v>#N/A</v>
      </c>
    </row>
    <row r="1079" spans="1:5" x14ac:dyDescent="0.25">
      <c r="A1079" s="1" t="s">
        <v>1078</v>
      </c>
      <c r="B1079" s="3">
        <f>COUNTIF(PEDIDOS!$A:$A,FORNECEDOR!A1079)</f>
        <v>1</v>
      </c>
      <c r="C1079" s="3" t="str">
        <f>INDEX(PEDIDOS!$A:$D,MATCH(FORNECEDOR!A1079,PEDIDOS!$A:$A,0),2)</f>
        <v>MAUA</v>
      </c>
      <c r="D1079" s="3" t="str">
        <f>INDEX(PEDIDOS!$A:$D,MATCH(FORNECEDOR!A1079,PEDIDOS!$A:$A,0),3)</f>
        <v>MAUA</v>
      </c>
      <c r="E1079" s="3" t="str">
        <f>INDEX(PEDIDOS!$A:$D,MATCH(FORNECEDOR!A1079,PEDIDOS!$A:$A,0),4)</f>
        <v>MAUA</v>
      </c>
    </row>
    <row r="1080" spans="1:5" x14ac:dyDescent="0.25">
      <c r="A1080" s="1" t="s">
        <v>1079</v>
      </c>
      <c r="B1080" s="3">
        <f>COUNTIF(PEDIDOS!$A:$A,FORNECEDOR!A1080)</f>
        <v>1</v>
      </c>
      <c r="C1080" s="3" t="str">
        <f>INDEX(PEDIDOS!$A:$D,MATCH(FORNECEDOR!A1080,PEDIDOS!$A:$A,0),2)</f>
        <v>BARUERI</v>
      </c>
      <c r="D1080" s="3" t="str">
        <f>INDEX(PEDIDOS!$A:$D,MATCH(FORNECEDOR!A1080,PEDIDOS!$A:$A,0),3)</f>
        <v>BARUERI</v>
      </c>
      <c r="E1080" s="3" t="str">
        <f>INDEX(PEDIDOS!$A:$D,MATCH(FORNECEDOR!A1080,PEDIDOS!$A:$A,0),4)</f>
        <v>BARUERI</v>
      </c>
    </row>
    <row r="1081" spans="1:5" hidden="1" x14ac:dyDescent="0.25">
      <c r="A1081" s="1" t="s">
        <v>1080</v>
      </c>
      <c r="B1081" s="3">
        <f>COUNTIF(PEDIDOS!$A:$A,FORNECEDOR!A1081)</f>
        <v>0</v>
      </c>
      <c r="C1081" s="3" t="e">
        <f>INDEX(PEDIDOS!$A:$D,MATCH(FORNECEDOR!A1081,PEDIDOS!$A:$A,0),2)</f>
        <v>#N/A</v>
      </c>
      <c r="D1081" s="3" t="e">
        <f>INDEX(PEDIDOS!$A:$D,MATCH(FORNECEDOR!A1081,PEDIDOS!$A:$A,0),3)</f>
        <v>#N/A</v>
      </c>
      <c r="E1081" s="3" t="e">
        <f>INDEX(PEDIDOS!$A:$D,MATCH(FORNECEDOR!A1081,PEDIDOS!$A:$A,0),4)</f>
        <v>#N/A</v>
      </c>
    </row>
    <row r="1082" spans="1:5" x14ac:dyDescent="0.25">
      <c r="A1082" s="1" t="s">
        <v>1081</v>
      </c>
      <c r="B1082" s="3">
        <f>COUNTIF(PEDIDOS!$A:$A,FORNECEDOR!A1082)</f>
        <v>1</v>
      </c>
      <c r="C1082" s="3" t="str">
        <f>INDEX(PEDIDOS!$A:$D,MATCH(FORNECEDOR!A1082,PEDIDOS!$A:$A,0),2)</f>
        <v>COTIA</v>
      </c>
      <c r="D1082" s="3" t="str">
        <f>INDEX(PEDIDOS!$A:$D,MATCH(FORNECEDOR!A1082,PEDIDOS!$A:$A,0),3)</f>
        <v>COTIA</v>
      </c>
      <c r="E1082" s="3" t="str">
        <f>INDEX(PEDIDOS!$A:$D,MATCH(FORNECEDOR!A1082,PEDIDOS!$A:$A,0),4)</f>
        <v>COTIA</v>
      </c>
    </row>
    <row r="1083" spans="1:5" x14ac:dyDescent="0.25">
      <c r="A1083" s="1" t="s">
        <v>1082</v>
      </c>
      <c r="B1083" s="3">
        <f>COUNTIF(PEDIDOS!$A:$A,FORNECEDOR!A1083)</f>
        <v>1</v>
      </c>
      <c r="C1083" s="3" t="str">
        <f>INDEX(PEDIDOS!$A:$D,MATCH(FORNECEDOR!A1083,PEDIDOS!$A:$A,0),2)</f>
        <v>DIADEMA</v>
      </c>
      <c r="D1083" s="3" t="str">
        <f>INDEX(PEDIDOS!$A:$D,MATCH(FORNECEDOR!A1083,PEDIDOS!$A:$A,0),3)</f>
        <v>DIADEMA</v>
      </c>
      <c r="E1083" s="3" t="str">
        <f>INDEX(PEDIDOS!$A:$D,MATCH(FORNECEDOR!A1083,PEDIDOS!$A:$A,0),4)</f>
        <v>DIADEMA</v>
      </c>
    </row>
    <row r="1084" spans="1:5" x14ac:dyDescent="0.25">
      <c r="A1084" s="1" t="s">
        <v>1083</v>
      </c>
      <c r="B1084" s="3">
        <f>COUNTIF(PEDIDOS!$A:$A,FORNECEDOR!A1084)</f>
        <v>1</v>
      </c>
      <c r="C1084" s="3" t="str">
        <f>INDEX(PEDIDOS!$A:$D,MATCH(FORNECEDOR!A1084,PEDIDOS!$A:$A,0),2)</f>
        <v>ITAPEVI</v>
      </c>
      <c r="D1084" s="3" t="str">
        <f>INDEX(PEDIDOS!$A:$D,MATCH(FORNECEDOR!A1084,PEDIDOS!$A:$A,0),3)</f>
        <v>ITAPEVI</v>
      </c>
      <c r="E1084" s="3" t="str">
        <f>INDEX(PEDIDOS!$A:$D,MATCH(FORNECEDOR!A1084,PEDIDOS!$A:$A,0),4)</f>
        <v>ITAPEVI</v>
      </c>
    </row>
    <row r="1085" spans="1:5" x14ac:dyDescent="0.25">
      <c r="A1085" s="1" t="s">
        <v>1084</v>
      </c>
      <c r="B1085" s="3">
        <f>COUNTIF(PEDIDOS!$A:$A,FORNECEDOR!A1085)</f>
        <v>1</v>
      </c>
      <c r="C1085" s="3" t="str">
        <f>INDEX(PEDIDOS!$A:$D,MATCH(FORNECEDOR!A1085,PEDIDOS!$A:$A,0),2)</f>
        <v>JUNDIAI</v>
      </c>
      <c r="D1085" s="3" t="str">
        <f>INDEX(PEDIDOS!$A:$D,MATCH(FORNECEDOR!A1085,PEDIDOS!$A:$A,0),3)</f>
        <v>JUNDIAI</v>
      </c>
      <c r="E1085" s="3" t="str">
        <f>INDEX(PEDIDOS!$A:$D,MATCH(FORNECEDOR!A1085,PEDIDOS!$A:$A,0),4)</f>
        <v>JUNDIAI</v>
      </c>
    </row>
    <row r="1086" spans="1:5" x14ac:dyDescent="0.25">
      <c r="A1086" s="1" t="s">
        <v>1085</v>
      </c>
      <c r="B1086" s="3">
        <f>COUNTIF(PEDIDOS!$A:$A,FORNECEDOR!A1086)</f>
        <v>3</v>
      </c>
      <c r="C1086" s="3" t="str">
        <f>INDEX(PEDIDOS!$A:$D,MATCH(FORNECEDOR!A1086,PEDIDOS!$A:$A,0),2)</f>
        <v>ANPPLA</v>
      </c>
      <c r="D1086" s="3" t="str">
        <f>INDEX(PEDIDOS!$A:$D,MATCH(FORNECEDOR!A1086,PEDIDOS!$A:$A,0),3)</f>
        <v>ANPPLA</v>
      </c>
      <c r="E1086" s="3" t="str">
        <f>INDEX(PEDIDOS!$A:$D,MATCH(FORNECEDOR!A1086,PEDIDOS!$A:$A,0),4)</f>
        <v>ANPPLA</v>
      </c>
    </row>
    <row r="1087" spans="1:5" x14ac:dyDescent="0.25">
      <c r="A1087" s="1" t="s">
        <v>1086</v>
      </c>
      <c r="B1087" s="3">
        <f>COUNTIF(PEDIDOS!$A:$A,FORNECEDOR!A1087)</f>
        <v>12</v>
      </c>
      <c r="C1087" s="3" t="str">
        <f>INDEX(PEDIDOS!$A:$D,MATCH(FORNECEDOR!A1087,PEDIDOS!$A:$A,0),2)</f>
        <v>AVANTI- ADM C.CREDITO</v>
      </c>
      <c r="D1087" s="3" t="str">
        <f>INDEX(PEDIDOS!$A:$D,MATCH(FORNECEDOR!A1087,PEDIDOS!$A:$A,0),3)</f>
        <v>AVANTI- ADM C.CREDITO</v>
      </c>
      <c r="E1087" s="3" t="str">
        <f>INDEX(PEDIDOS!$A:$D,MATCH(FORNECEDOR!A1087,PEDIDOS!$A:$A,0),4)</f>
        <v>AVANTI- ADM C.CREDITO</v>
      </c>
    </row>
    <row r="1088" spans="1:5" x14ac:dyDescent="0.25">
      <c r="A1088" s="1" t="s">
        <v>1087</v>
      </c>
      <c r="B1088" s="3">
        <f>COUNTIF(PEDIDOS!$A:$A,FORNECEDOR!A1088)</f>
        <v>1</v>
      </c>
      <c r="C1088" s="3" t="str">
        <f>INDEX(PEDIDOS!$A:$D,MATCH(FORNECEDOR!A1088,PEDIDOS!$A:$A,0),2)</f>
        <v>CARAPICUIBA</v>
      </c>
      <c r="D1088" s="3" t="str">
        <f>INDEX(PEDIDOS!$A:$D,MATCH(FORNECEDOR!A1088,PEDIDOS!$A:$A,0),3)</f>
        <v>CARAPICUIBA</v>
      </c>
      <c r="E1088" s="3" t="str">
        <f>INDEX(PEDIDOS!$A:$D,MATCH(FORNECEDOR!A1088,PEDIDOS!$A:$A,0),4)</f>
        <v>CARAPICUIBA</v>
      </c>
    </row>
    <row r="1089" spans="1:5" hidden="1" x14ac:dyDescent="0.25">
      <c r="A1089" s="1" t="s">
        <v>1088</v>
      </c>
      <c r="B1089" s="3">
        <f>COUNTIF(PEDIDOS!$A:$A,FORNECEDOR!A1089)</f>
        <v>0</v>
      </c>
      <c r="C1089" s="3" t="e">
        <f>INDEX(PEDIDOS!$A:$D,MATCH(FORNECEDOR!A1089,PEDIDOS!$A:$A,0),2)</f>
        <v>#N/A</v>
      </c>
      <c r="D1089" s="3" t="e">
        <f>INDEX(PEDIDOS!$A:$D,MATCH(FORNECEDOR!A1089,PEDIDOS!$A:$A,0),3)</f>
        <v>#N/A</v>
      </c>
      <c r="E1089" s="3" t="e">
        <f>INDEX(PEDIDOS!$A:$D,MATCH(FORNECEDOR!A1089,PEDIDOS!$A:$A,0),4)</f>
        <v>#N/A</v>
      </c>
    </row>
    <row r="1090" spans="1:5" x14ac:dyDescent="0.25">
      <c r="A1090" s="1" t="s">
        <v>1089</v>
      </c>
      <c r="B1090" s="3">
        <f>COUNTIF(PEDIDOS!$A:$A,FORNECEDOR!A1090)</f>
        <v>4</v>
      </c>
      <c r="C1090" s="3" t="str">
        <f>INDEX(PEDIDOS!$A:$D,MATCH(FORNECEDOR!A1090,PEDIDOS!$A:$A,0),2)</f>
        <v>AVANTI- ADM C.CREDITO</v>
      </c>
      <c r="D1090" s="3" t="str">
        <f>INDEX(PEDIDOS!$A:$D,MATCH(FORNECEDOR!A1090,PEDIDOS!$A:$A,0),3)</f>
        <v>AVANTI- ADM C.CREDITO</v>
      </c>
      <c r="E1090" s="3" t="str">
        <f>INDEX(PEDIDOS!$A:$D,MATCH(FORNECEDOR!A1090,PEDIDOS!$A:$A,0),4)</f>
        <v>AVANTI- ADM C.CREDITO</v>
      </c>
    </row>
    <row r="1091" spans="1:5" x14ac:dyDescent="0.25">
      <c r="A1091" s="1" t="s">
        <v>1090</v>
      </c>
      <c r="B1091" s="3">
        <f>COUNTIF(PEDIDOS!$A:$A,FORNECEDOR!A1091)</f>
        <v>1</v>
      </c>
      <c r="C1091" s="3" t="str">
        <f>INDEX(PEDIDOS!$A:$D,MATCH(FORNECEDOR!A1091,PEDIDOS!$A:$A,0),2)</f>
        <v>MATRIZ</v>
      </c>
      <c r="D1091" s="3" t="str">
        <f>INDEX(PEDIDOS!$A:$D,MATCH(FORNECEDOR!A1091,PEDIDOS!$A:$A,0),3)</f>
        <v>MATRIZ</v>
      </c>
      <c r="E1091" s="3" t="str">
        <f>INDEX(PEDIDOS!$A:$D,MATCH(FORNECEDOR!A1091,PEDIDOS!$A:$A,0),4)</f>
        <v>MATRIZ</v>
      </c>
    </row>
    <row r="1092" spans="1:5" x14ac:dyDescent="0.25">
      <c r="A1092" s="1" t="s">
        <v>1091</v>
      </c>
      <c r="B1092" s="3">
        <f>COUNTIF(PEDIDOS!$A:$A,FORNECEDOR!A1092)</f>
        <v>1</v>
      </c>
      <c r="C1092" s="3" t="str">
        <f>INDEX(PEDIDOS!$A:$D,MATCH(FORNECEDOR!A1092,PEDIDOS!$A:$A,0),2)</f>
        <v>MATRIZ</v>
      </c>
      <c r="D1092" s="3" t="str">
        <f>INDEX(PEDIDOS!$A:$D,MATCH(FORNECEDOR!A1092,PEDIDOS!$A:$A,0),3)</f>
        <v>MATRIZ</v>
      </c>
      <c r="E1092" s="3" t="str">
        <f>INDEX(PEDIDOS!$A:$D,MATCH(FORNECEDOR!A1092,PEDIDOS!$A:$A,0),4)</f>
        <v>MATRIZ</v>
      </c>
    </row>
    <row r="1093" spans="1:5" hidden="1" x14ac:dyDescent="0.25">
      <c r="A1093" s="1" t="s">
        <v>1092</v>
      </c>
      <c r="B1093" s="3">
        <f>COUNTIF(PEDIDOS!$A:$A,FORNECEDOR!A1093)</f>
        <v>0</v>
      </c>
      <c r="C1093" s="3" t="e">
        <f>INDEX(PEDIDOS!$A:$D,MATCH(FORNECEDOR!A1093,PEDIDOS!$A:$A,0),2)</f>
        <v>#N/A</v>
      </c>
      <c r="D1093" s="3" t="e">
        <f>INDEX(PEDIDOS!$A:$D,MATCH(FORNECEDOR!A1093,PEDIDOS!$A:$A,0),3)</f>
        <v>#N/A</v>
      </c>
      <c r="E1093" s="3" t="e">
        <f>INDEX(PEDIDOS!$A:$D,MATCH(FORNECEDOR!A1093,PEDIDOS!$A:$A,0),4)</f>
        <v>#N/A</v>
      </c>
    </row>
    <row r="1094" spans="1:5" hidden="1" x14ac:dyDescent="0.25">
      <c r="A1094" s="1" t="s">
        <v>1093</v>
      </c>
      <c r="B1094" s="3">
        <f>COUNTIF(PEDIDOS!$A:$A,FORNECEDOR!A1094)</f>
        <v>0</v>
      </c>
      <c r="C1094" s="3" t="e">
        <f>INDEX(PEDIDOS!$A:$D,MATCH(FORNECEDOR!A1094,PEDIDOS!$A:$A,0),2)</f>
        <v>#N/A</v>
      </c>
      <c r="D1094" s="3" t="e">
        <f>INDEX(PEDIDOS!$A:$D,MATCH(FORNECEDOR!A1094,PEDIDOS!$A:$A,0),3)</f>
        <v>#N/A</v>
      </c>
      <c r="E1094" s="3" t="e">
        <f>INDEX(PEDIDOS!$A:$D,MATCH(FORNECEDOR!A1094,PEDIDOS!$A:$A,0),4)</f>
        <v>#N/A</v>
      </c>
    </row>
    <row r="1095" spans="1:5" x14ac:dyDescent="0.25">
      <c r="A1095" s="1" t="s">
        <v>1094</v>
      </c>
      <c r="B1095" s="3">
        <f>COUNTIF(PEDIDOS!$A:$A,FORNECEDOR!A1095)</f>
        <v>1</v>
      </c>
      <c r="C1095" s="3" t="str">
        <f>INDEX(PEDIDOS!$A:$D,MATCH(FORNECEDOR!A1095,PEDIDOS!$A:$A,0),2)</f>
        <v>CD REGIS</v>
      </c>
      <c r="D1095" s="3" t="str">
        <f>INDEX(PEDIDOS!$A:$D,MATCH(FORNECEDOR!A1095,PEDIDOS!$A:$A,0),3)</f>
        <v>MATRIZ</v>
      </c>
      <c r="E1095" s="3" t="str">
        <f>INDEX(PEDIDOS!$A:$D,MATCH(FORNECEDOR!A1095,PEDIDOS!$A:$A,0),4)</f>
        <v>CD REGIS</v>
      </c>
    </row>
    <row r="1096" spans="1:5" hidden="1" x14ac:dyDescent="0.25">
      <c r="A1096" s="1" t="s">
        <v>1095</v>
      </c>
      <c r="B1096" s="3">
        <f>COUNTIF(PEDIDOS!$A:$A,FORNECEDOR!A1096)</f>
        <v>0</v>
      </c>
      <c r="C1096" s="3" t="e">
        <f>INDEX(PEDIDOS!$A:$D,MATCH(FORNECEDOR!A1096,PEDIDOS!$A:$A,0),2)</f>
        <v>#N/A</v>
      </c>
      <c r="D1096" s="3" t="e">
        <f>INDEX(PEDIDOS!$A:$D,MATCH(FORNECEDOR!A1096,PEDIDOS!$A:$A,0),3)</f>
        <v>#N/A</v>
      </c>
      <c r="E1096" s="3" t="e">
        <f>INDEX(PEDIDOS!$A:$D,MATCH(FORNECEDOR!A1096,PEDIDOS!$A:$A,0),4)</f>
        <v>#N/A</v>
      </c>
    </row>
    <row r="1097" spans="1:5" hidden="1" x14ac:dyDescent="0.25">
      <c r="A1097" s="1" t="s">
        <v>1096</v>
      </c>
      <c r="B1097" s="3">
        <f>COUNTIF(PEDIDOS!$A:$A,FORNECEDOR!A1097)</f>
        <v>0</v>
      </c>
      <c r="C1097" s="3" t="e">
        <f>INDEX(PEDIDOS!$A:$D,MATCH(FORNECEDOR!A1097,PEDIDOS!$A:$A,0),2)</f>
        <v>#N/A</v>
      </c>
      <c r="D1097" s="3" t="e">
        <f>INDEX(PEDIDOS!$A:$D,MATCH(FORNECEDOR!A1097,PEDIDOS!$A:$A,0),3)</f>
        <v>#N/A</v>
      </c>
      <c r="E1097" s="3" t="e">
        <f>INDEX(PEDIDOS!$A:$D,MATCH(FORNECEDOR!A1097,PEDIDOS!$A:$A,0),4)</f>
        <v>#N/A</v>
      </c>
    </row>
    <row r="1098" spans="1:5" hidden="1" x14ac:dyDescent="0.25">
      <c r="A1098" s="1" t="s">
        <v>1097</v>
      </c>
      <c r="B1098" s="3">
        <f>COUNTIF(PEDIDOS!$A:$A,FORNECEDOR!A1098)</f>
        <v>0</v>
      </c>
      <c r="C1098" s="3" t="e">
        <f>INDEX(PEDIDOS!$A:$D,MATCH(FORNECEDOR!A1098,PEDIDOS!$A:$A,0),2)</f>
        <v>#N/A</v>
      </c>
      <c r="D1098" s="3" t="e">
        <f>INDEX(PEDIDOS!$A:$D,MATCH(FORNECEDOR!A1098,PEDIDOS!$A:$A,0),3)</f>
        <v>#N/A</v>
      </c>
      <c r="E1098" s="3" t="e">
        <f>INDEX(PEDIDOS!$A:$D,MATCH(FORNECEDOR!A1098,PEDIDOS!$A:$A,0),4)</f>
        <v>#N/A</v>
      </c>
    </row>
    <row r="1099" spans="1:5" hidden="1" x14ac:dyDescent="0.25">
      <c r="A1099" s="1" t="s">
        <v>1098</v>
      </c>
      <c r="B1099" s="3">
        <f>COUNTIF(PEDIDOS!$A:$A,FORNECEDOR!A1099)</f>
        <v>0</v>
      </c>
      <c r="C1099" s="3" t="e">
        <f>INDEX(PEDIDOS!$A:$D,MATCH(FORNECEDOR!A1099,PEDIDOS!$A:$A,0),2)</f>
        <v>#N/A</v>
      </c>
      <c r="D1099" s="3" t="e">
        <f>INDEX(PEDIDOS!$A:$D,MATCH(FORNECEDOR!A1099,PEDIDOS!$A:$A,0),3)</f>
        <v>#N/A</v>
      </c>
      <c r="E1099" s="3" t="e">
        <f>INDEX(PEDIDOS!$A:$D,MATCH(FORNECEDOR!A1099,PEDIDOS!$A:$A,0),4)</f>
        <v>#N/A</v>
      </c>
    </row>
    <row r="1100" spans="1:5" hidden="1" x14ac:dyDescent="0.25">
      <c r="A1100" s="1" t="s">
        <v>1099</v>
      </c>
      <c r="B1100" s="3">
        <f>COUNTIF(PEDIDOS!$A:$A,FORNECEDOR!A1100)</f>
        <v>0</v>
      </c>
      <c r="C1100" s="3" t="e">
        <f>INDEX(PEDIDOS!$A:$D,MATCH(FORNECEDOR!A1100,PEDIDOS!$A:$A,0),2)</f>
        <v>#N/A</v>
      </c>
      <c r="D1100" s="3" t="e">
        <f>INDEX(PEDIDOS!$A:$D,MATCH(FORNECEDOR!A1100,PEDIDOS!$A:$A,0),3)</f>
        <v>#N/A</v>
      </c>
      <c r="E1100" s="3" t="e">
        <f>INDEX(PEDIDOS!$A:$D,MATCH(FORNECEDOR!A1100,PEDIDOS!$A:$A,0),4)</f>
        <v>#N/A</v>
      </c>
    </row>
    <row r="1101" spans="1:5" hidden="1" x14ac:dyDescent="0.25">
      <c r="A1101" s="1" t="s">
        <v>1100</v>
      </c>
      <c r="B1101" s="3">
        <f>COUNTIF(PEDIDOS!$A:$A,FORNECEDOR!A1101)</f>
        <v>0</v>
      </c>
      <c r="C1101" s="3" t="e">
        <f>INDEX(PEDIDOS!$A:$D,MATCH(FORNECEDOR!A1101,PEDIDOS!$A:$A,0),2)</f>
        <v>#N/A</v>
      </c>
      <c r="D1101" s="3" t="e">
        <f>INDEX(PEDIDOS!$A:$D,MATCH(FORNECEDOR!A1101,PEDIDOS!$A:$A,0),3)</f>
        <v>#N/A</v>
      </c>
      <c r="E1101" s="3" t="e">
        <f>INDEX(PEDIDOS!$A:$D,MATCH(FORNECEDOR!A1101,PEDIDOS!$A:$A,0),4)</f>
        <v>#N/A</v>
      </c>
    </row>
    <row r="1102" spans="1:5" hidden="1" x14ac:dyDescent="0.25">
      <c r="A1102" s="1" t="s">
        <v>1101</v>
      </c>
      <c r="B1102" s="3">
        <f>COUNTIF(PEDIDOS!$A:$A,FORNECEDOR!A1102)</f>
        <v>0</v>
      </c>
      <c r="C1102" s="3" t="e">
        <f>INDEX(PEDIDOS!$A:$D,MATCH(FORNECEDOR!A1102,PEDIDOS!$A:$A,0),2)</f>
        <v>#N/A</v>
      </c>
      <c r="D1102" s="3" t="e">
        <f>INDEX(PEDIDOS!$A:$D,MATCH(FORNECEDOR!A1102,PEDIDOS!$A:$A,0),3)</f>
        <v>#N/A</v>
      </c>
      <c r="E1102" s="3" t="e">
        <f>INDEX(PEDIDOS!$A:$D,MATCH(FORNECEDOR!A1102,PEDIDOS!$A:$A,0),4)</f>
        <v>#N/A</v>
      </c>
    </row>
    <row r="1103" spans="1:5" hidden="1" x14ac:dyDescent="0.25">
      <c r="A1103" s="1" t="s">
        <v>1102</v>
      </c>
      <c r="B1103" s="3">
        <f>COUNTIF(PEDIDOS!$A:$A,FORNECEDOR!A1103)</f>
        <v>0</v>
      </c>
      <c r="C1103" s="3" t="e">
        <f>INDEX(PEDIDOS!$A:$D,MATCH(FORNECEDOR!A1103,PEDIDOS!$A:$A,0),2)</f>
        <v>#N/A</v>
      </c>
      <c r="D1103" s="3" t="e">
        <f>INDEX(PEDIDOS!$A:$D,MATCH(FORNECEDOR!A1103,PEDIDOS!$A:$A,0),3)</f>
        <v>#N/A</v>
      </c>
      <c r="E1103" s="3" t="e">
        <f>INDEX(PEDIDOS!$A:$D,MATCH(FORNECEDOR!A1103,PEDIDOS!$A:$A,0),4)</f>
        <v>#N/A</v>
      </c>
    </row>
    <row r="1104" spans="1:5" hidden="1" x14ac:dyDescent="0.25">
      <c r="A1104" s="1" t="s">
        <v>1103</v>
      </c>
      <c r="B1104" s="3">
        <f>COUNTIF(PEDIDOS!$A:$A,FORNECEDOR!A1104)</f>
        <v>0</v>
      </c>
      <c r="C1104" s="3" t="e">
        <f>INDEX(PEDIDOS!$A:$D,MATCH(FORNECEDOR!A1104,PEDIDOS!$A:$A,0),2)</f>
        <v>#N/A</v>
      </c>
      <c r="D1104" s="3" t="e">
        <f>INDEX(PEDIDOS!$A:$D,MATCH(FORNECEDOR!A1104,PEDIDOS!$A:$A,0),3)</f>
        <v>#N/A</v>
      </c>
      <c r="E1104" s="3" t="e">
        <f>INDEX(PEDIDOS!$A:$D,MATCH(FORNECEDOR!A1104,PEDIDOS!$A:$A,0),4)</f>
        <v>#N/A</v>
      </c>
    </row>
    <row r="1105" spans="1:5" x14ac:dyDescent="0.25">
      <c r="A1105" s="1" t="s">
        <v>1104</v>
      </c>
      <c r="B1105" s="3">
        <f>COUNTIF(PEDIDOS!$A:$A,FORNECEDOR!A1105)</f>
        <v>1</v>
      </c>
      <c r="C1105" s="3" t="str">
        <f>INDEX(PEDIDOS!$A:$D,MATCH(FORNECEDOR!A1105,PEDIDOS!$A:$A,0),2)</f>
        <v>CD REGIS</v>
      </c>
      <c r="D1105" s="3" t="str">
        <f>INDEX(PEDIDOS!$A:$D,MATCH(FORNECEDOR!A1105,PEDIDOS!$A:$A,0),3)</f>
        <v>TATUAPE</v>
      </c>
      <c r="E1105" s="3" t="str">
        <f>INDEX(PEDIDOS!$A:$D,MATCH(FORNECEDOR!A1105,PEDIDOS!$A:$A,0),4)</f>
        <v>CD REGIS</v>
      </c>
    </row>
    <row r="1106" spans="1:5" hidden="1" x14ac:dyDescent="0.25">
      <c r="A1106" s="1" t="s">
        <v>1105</v>
      </c>
      <c r="B1106" s="3">
        <f>COUNTIF(PEDIDOS!$A:$A,FORNECEDOR!A1106)</f>
        <v>0</v>
      </c>
      <c r="C1106" s="3" t="e">
        <f>INDEX(PEDIDOS!$A:$D,MATCH(FORNECEDOR!A1106,PEDIDOS!$A:$A,0),2)</f>
        <v>#N/A</v>
      </c>
      <c r="D1106" s="3" t="e">
        <f>INDEX(PEDIDOS!$A:$D,MATCH(FORNECEDOR!A1106,PEDIDOS!$A:$A,0),3)</f>
        <v>#N/A</v>
      </c>
      <c r="E1106" s="3" t="e">
        <f>INDEX(PEDIDOS!$A:$D,MATCH(FORNECEDOR!A1106,PEDIDOS!$A:$A,0),4)</f>
        <v>#N/A</v>
      </c>
    </row>
    <row r="1107" spans="1:5" x14ac:dyDescent="0.25">
      <c r="A1107" s="1" t="s">
        <v>1106</v>
      </c>
      <c r="B1107" s="3">
        <f>COUNTIF(PEDIDOS!$A:$A,FORNECEDOR!A1107)</f>
        <v>1</v>
      </c>
      <c r="C1107" s="3" t="str">
        <f>INDEX(PEDIDOS!$A:$D,MATCH(FORNECEDOR!A1107,PEDIDOS!$A:$A,0),2)</f>
        <v>MATRIZ</v>
      </c>
      <c r="D1107" s="3" t="str">
        <f>INDEX(PEDIDOS!$A:$D,MATCH(FORNECEDOR!A1107,PEDIDOS!$A:$A,0),3)</f>
        <v>MATRIZ</v>
      </c>
      <c r="E1107" s="3" t="str">
        <f>INDEX(PEDIDOS!$A:$D,MATCH(FORNECEDOR!A1107,PEDIDOS!$A:$A,0),4)</f>
        <v>MATRIZ</v>
      </c>
    </row>
    <row r="1108" spans="1:5" x14ac:dyDescent="0.25">
      <c r="A1108" s="1" t="s">
        <v>1107</v>
      </c>
      <c r="B1108" s="3">
        <f>COUNTIF(PEDIDOS!$A:$A,FORNECEDOR!A1108)</f>
        <v>1</v>
      </c>
      <c r="C1108" s="3" t="str">
        <f>INDEX(PEDIDOS!$A:$D,MATCH(FORNECEDOR!A1108,PEDIDOS!$A:$A,0),2)</f>
        <v>SP - PARI</v>
      </c>
      <c r="D1108" s="3" t="str">
        <f>INDEX(PEDIDOS!$A:$D,MATCH(FORNECEDOR!A1108,PEDIDOS!$A:$A,0),3)</f>
        <v>SP - PARI</v>
      </c>
      <c r="E1108" s="3" t="str">
        <f>INDEX(PEDIDOS!$A:$D,MATCH(FORNECEDOR!A1108,PEDIDOS!$A:$A,0),4)</f>
        <v>SP - PARI</v>
      </c>
    </row>
    <row r="1109" spans="1:5" hidden="1" x14ac:dyDescent="0.25">
      <c r="A1109" s="1" t="s">
        <v>1108</v>
      </c>
      <c r="B1109" s="3">
        <f>COUNTIF(PEDIDOS!$A:$A,FORNECEDOR!A1109)</f>
        <v>0</v>
      </c>
      <c r="C1109" s="3" t="e">
        <f>INDEX(PEDIDOS!$A:$D,MATCH(FORNECEDOR!A1109,PEDIDOS!$A:$A,0),2)</f>
        <v>#N/A</v>
      </c>
      <c r="D1109" s="3" t="e">
        <f>INDEX(PEDIDOS!$A:$D,MATCH(FORNECEDOR!A1109,PEDIDOS!$A:$A,0),3)</f>
        <v>#N/A</v>
      </c>
      <c r="E1109" s="3" t="e">
        <f>INDEX(PEDIDOS!$A:$D,MATCH(FORNECEDOR!A1109,PEDIDOS!$A:$A,0),4)</f>
        <v>#N/A</v>
      </c>
    </row>
    <row r="1110" spans="1:5" x14ac:dyDescent="0.25">
      <c r="A1110" s="1" t="s">
        <v>1109</v>
      </c>
      <c r="B1110" s="3">
        <f>COUNTIF(PEDIDOS!$A:$A,FORNECEDOR!A1110)</f>
        <v>1</v>
      </c>
      <c r="C1110" s="3" t="str">
        <f>INDEX(PEDIDOS!$A:$D,MATCH(FORNECEDOR!A1110,PEDIDOS!$A:$A,0),2)</f>
        <v>SP - PARI</v>
      </c>
      <c r="D1110" s="3" t="str">
        <f>INDEX(PEDIDOS!$A:$D,MATCH(FORNECEDOR!A1110,PEDIDOS!$A:$A,0),3)</f>
        <v>SP - PARI</v>
      </c>
      <c r="E1110" s="3" t="str">
        <f>INDEX(PEDIDOS!$A:$D,MATCH(FORNECEDOR!A1110,PEDIDOS!$A:$A,0),4)</f>
        <v>SP - PARI</v>
      </c>
    </row>
    <row r="1111" spans="1:5" x14ac:dyDescent="0.25">
      <c r="A1111" s="1" t="s">
        <v>1110</v>
      </c>
      <c r="B1111" s="3">
        <f>COUNTIF(PEDIDOS!$A:$A,FORNECEDOR!A1111)</f>
        <v>1</v>
      </c>
      <c r="C1111" s="3" t="str">
        <f>INDEX(PEDIDOS!$A:$D,MATCH(FORNECEDOR!A1111,PEDIDOS!$A:$A,0),2)</f>
        <v>SP - PARI</v>
      </c>
      <c r="D1111" s="3" t="str">
        <f>INDEX(PEDIDOS!$A:$D,MATCH(FORNECEDOR!A1111,PEDIDOS!$A:$A,0),3)</f>
        <v>SP - PARI</v>
      </c>
      <c r="E1111" s="3" t="str">
        <f>INDEX(PEDIDOS!$A:$D,MATCH(FORNECEDOR!A1111,PEDIDOS!$A:$A,0),4)</f>
        <v>SP - PARI</v>
      </c>
    </row>
    <row r="1112" spans="1:5" x14ac:dyDescent="0.25">
      <c r="A1112" s="1" t="s">
        <v>1111</v>
      </c>
      <c r="B1112" s="3">
        <f>COUNTIF(PEDIDOS!$A:$A,FORNECEDOR!A1112)</f>
        <v>4</v>
      </c>
      <c r="C1112" s="3" t="str">
        <f>INDEX(PEDIDOS!$A:$D,MATCH(FORNECEDOR!A1112,PEDIDOS!$A:$A,0),2)</f>
        <v>CD ARAQUARI</v>
      </c>
      <c r="D1112" s="3" t="str">
        <f>INDEX(PEDIDOS!$A:$D,MATCH(FORNECEDOR!A1112,PEDIDOS!$A:$A,0),3)</f>
        <v>MATRIZ</v>
      </c>
      <c r="E1112" s="3" t="str">
        <f>INDEX(PEDIDOS!$A:$D,MATCH(FORNECEDOR!A1112,PEDIDOS!$A:$A,0),4)</f>
        <v>CD ARAQUARI</v>
      </c>
    </row>
    <row r="1113" spans="1:5" x14ac:dyDescent="0.25">
      <c r="A1113" s="1" t="s">
        <v>1112</v>
      </c>
      <c r="B1113" s="3">
        <f>COUNTIF(PEDIDOS!$A:$A,FORNECEDOR!A1113)</f>
        <v>2</v>
      </c>
      <c r="C1113" s="3" t="str">
        <f>INDEX(PEDIDOS!$A:$D,MATCH(FORNECEDOR!A1113,PEDIDOS!$A:$A,0),2)</f>
        <v>MATRIZ</v>
      </c>
      <c r="D1113" s="3" t="str">
        <f>INDEX(PEDIDOS!$A:$D,MATCH(FORNECEDOR!A1113,PEDIDOS!$A:$A,0),3)</f>
        <v>MATRIZ</v>
      </c>
      <c r="E1113" s="3" t="str">
        <f>INDEX(PEDIDOS!$A:$D,MATCH(FORNECEDOR!A1113,PEDIDOS!$A:$A,0),4)</f>
        <v>MATRIZ</v>
      </c>
    </row>
    <row r="1114" spans="1:5" hidden="1" x14ac:dyDescent="0.25">
      <c r="A1114" s="1" t="s">
        <v>1113</v>
      </c>
      <c r="B1114" s="3">
        <f>COUNTIF(PEDIDOS!$A:$A,FORNECEDOR!A1114)</f>
        <v>0</v>
      </c>
      <c r="C1114" s="3" t="e">
        <f>INDEX(PEDIDOS!$A:$D,MATCH(FORNECEDOR!A1114,PEDIDOS!$A:$A,0),2)</f>
        <v>#N/A</v>
      </c>
      <c r="D1114" s="3" t="e">
        <f>INDEX(PEDIDOS!$A:$D,MATCH(FORNECEDOR!A1114,PEDIDOS!$A:$A,0),3)</f>
        <v>#N/A</v>
      </c>
      <c r="E1114" s="3" t="e">
        <f>INDEX(PEDIDOS!$A:$D,MATCH(FORNECEDOR!A1114,PEDIDOS!$A:$A,0),4)</f>
        <v>#N/A</v>
      </c>
    </row>
    <row r="1115" spans="1:5" x14ac:dyDescent="0.25">
      <c r="A1115" s="1" t="s">
        <v>1114</v>
      </c>
      <c r="B1115" s="3">
        <f>COUNTIF(PEDIDOS!$A:$A,FORNECEDOR!A1115)</f>
        <v>1</v>
      </c>
      <c r="C1115" s="3" t="str">
        <f>INDEX(PEDIDOS!$A:$D,MATCH(FORNECEDOR!A1115,PEDIDOS!$A:$A,0),2)</f>
        <v>CD REGIS</v>
      </c>
      <c r="D1115" s="3" t="str">
        <f>INDEX(PEDIDOS!$A:$D,MATCH(FORNECEDOR!A1115,PEDIDOS!$A:$A,0),3)</f>
        <v>TATUAPE</v>
      </c>
      <c r="E1115" s="3" t="str">
        <f>INDEX(PEDIDOS!$A:$D,MATCH(FORNECEDOR!A1115,PEDIDOS!$A:$A,0),4)</f>
        <v>CD REGIS</v>
      </c>
    </row>
    <row r="1116" spans="1:5" hidden="1" x14ac:dyDescent="0.25">
      <c r="A1116" s="1" t="s">
        <v>1115</v>
      </c>
      <c r="B1116" s="3">
        <f>COUNTIF(PEDIDOS!$A:$A,FORNECEDOR!A1116)</f>
        <v>0</v>
      </c>
      <c r="C1116" s="3" t="e">
        <f>INDEX(PEDIDOS!$A:$D,MATCH(FORNECEDOR!A1116,PEDIDOS!$A:$A,0),2)</f>
        <v>#N/A</v>
      </c>
      <c r="D1116" s="3" t="e">
        <f>INDEX(PEDIDOS!$A:$D,MATCH(FORNECEDOR!A1116,PEDIDOS!$A:$A,0),3)</f>
        <v>#N/A</v>
      </c>
      <c r="E1116" s="3" t="e">
        <f>INDEX(PEDIDOS!$A:$D,MATCH(FORNECEDOR!A1116,PEDIDOS!$A:$A,0),4)</f>
        <v>#N/A</v>
      </c>
    </row>
    <row r="1117" spans="1:5" x14ac:dyDescent="0.25">
      <c r="A1117" s="1" t="s">
        <v>1116</v>
      </c>
      <c r="B1117" s="3">
        <f>COUNTIF(PEDIDOS!$A:$A,FORNECEDOR!A1117)</f>
        <v>2</v>
      </c>
      <c r="C1117" s="3" t="str">
        <f>INDEX(PEDIDOS!$A:$D,MATCH(FORNECEDOR!A1117,PEDIDOS!$A:$A,0),2)</f>
        <v>CD REGIS</v>
      </c>
      <c r="D1117" s="3" t="str">
        <f>INDEX(PEDIDOS!$A:$D,MATCH(FORNECEDOR!A1117,PEDIDOS!$A:$A,0),3)</f>
        <v>MATRIZ</v>
      </c>
      <c r="E1117" s="3" t="str">
        <f>INDEX(PEDIDOS!$A:$D,MATCH(FORNECEDOR!A1117,PEDIDOS!$A:$A,0),4)</f>
        <v>CD REGIS</v>
      </c>
    </row>
    <row r="1118" spans="1:5" hidden="1" x14ac:dyDescent="0.25">
      <c r="A1118" s="1" t="s">
        <v>1117</v>
      </c>
      <c r="B1118" s="3">
        <f>COUNTIF(PEDIDOS!$A:$A,FORNECEDOR!A1118)</f>
        <v>0</v>
      </c>
      <c r="C1118" s="3" t="e">
        <f>INDEX(PEDIDOS!$A:$D,MATCH(FORNECEDOR!A1118,PEDIDOS!$A:$A,0),2)</f>
        <v>#N/A</v>
      </c>
      <c r="D1118" s="3" t="e">
        <f>INDEX(PEDIDOS!$A:$D,MATCH(FORNECEDOR!A1118,PEDIDOS!$A:$A,0),3)</f>
        <v>#N/A</v>
      </c>
      <c r="E1118" s="3" t="e">
        <f>INDEX(PEDIDOS!$A:$D,MATCH(FORNECEDOR!A1118,PEDIDOS!$A:$A,0),4)</f>
        <v>#N/A</v>
      </c>
    </row>
    <row r="1119" spans="1:5" hidden="1" x14ac:dyDescent="0.25">
      <c r="A1119" s="1" t="s">
        <v>1118</v>
      </c>
      <c r="B1119" s="3">
        <f>COUNTIF(PEDIDOS!$A:$A,FORNECEDOR!A1119)</f>
        <v>0</v>
      </c>
      <c r="C1119" s="3" t="e">
        <f>INDEX(PEDIDOS!$A:$D,MATCH(FORNECEDOR!A1119,PEDIDOS!$A:$A,0),2)</f>
        <v>#N/A</v>
      </c>
      <c r="D1119" s="3" t="e">
        <f>INDEX(PEDIDOS!$A:$D,MATCH(FORNECEDOR!A1119,PEDIDOS!$A:$A,0),3)</f>
        <v>#N/A</v>
      </c>
      <c r="E1119" s="3" t="e">
        <f>INDEX(PEDIDOS!$A:$D,MATCH(FORNECEDOR!A1119,PEDIDOS!$A:$A,0),4)</f>
        <v>#N/A</v>
      </c>
    </row>
    <row r="1120" spans="1:5" hidden="1" x14ac:dyDescent="0.25">
      <c r="A1120" s="1" t="s">
        <v>1119</v>
      </c>
      <c r="B1120" s="3">
        <f>COUNTIF(PEDIDOS!$A:$A,FORNECEDOR!A1120)</f>
        <v>0</v>
      </c>
      <c r="C1120" s="3" t="e">
        <f>INDEX(PEDIDOS!$A:$D,MATCH(FORNECEDOR!A1120,PEDIDOS!$A:$A,0),2)</f>
        <v>#N/A</v>
      </c>
      <c r="D1120" s="3" t="e">
        <f>INDEX(PEDIDOS!$A:$D,MATCH(FORNECEDOR!A1120,PEDIDOS!$A:$A,0),3)</f>
        <v>#N/A</v>
      </c>
      <c r="E1120" s="3" t="e">
        <f>INDEX(PEDIDOS!$A:$D,MATCH(FORNECEDOR!A1120,PEDIDOS!$A:$A,0),4)</f>
        <v>#N/A</v>
      </c>
    </row>
    <row r="1121" spans="1:5" hidden="1" x14ac:dyDescent="0.25">
      <c r="A1121" s="1" t="s">
        <v>1120</v>
      </c>
      <c r="B1121" s="3">
        <f>COUNTIF(PEDIDOS!$A:$A,FORNECEDOR!A1121)</f>
        <v>0</v>
      </c>
      <c r="C1121" s="3" t="e">
        <f>INDEX(PEDIDOS!$A:$D,MATCH(FORNECEDOR!A1121,PEDIDOS!$A:$A,0),2)</f>
        <v>#N/A</v>
      </c>
      <c r="D1121" s="3" t="e">
        <f>INDEX(PEDIDOS!$A:$D,MATCH(FORNECEDOR!A1121,PEDIDOS!$A:$A,0),3)</f>
        <v>#N/A</v>
      </c>
      <c r="E1121" s="3" t="e">
        <f>INDEX(PEDIDOS!$A:$D,MATCH(FORNECEDOR!A1121,PEDIDOS!$A:$A,0),4)</f>
        <v>#N/A</v>
      </c>
    </row>
    <row r="1122" spans="1:5" x14ac:dyDescent="0.25">
      <c r="A1122" s="1" t="s">
        <v>1121</v>
      </c>
      <c r="B1122" s="3">
        <f>COUNTIF(PEDIDOS!$A:$A,FORNECEDOR!A1122)</f>
        <v>1</v>
      </c>
      <c r="C1122" s="3" t="str">
        <f>INDEX(PEDIDOS!$A:$D,MATCH(FORNECEDOR!A1122,PEDIDOS!$A:$A,0),2)</f>
        <v>CD REGIS</v>
      </c>
      <c r="D1122" s="3" t="str">
        <f>INDEX(PEDIDOS!$A:$D,MATCH(FORNECEDOR!A1122,PEDIDOS!$A:$A,0),3)</f>
        <v>CD REGIS</v>
      </c>
      <c r="E1122" s="3" t="str">
        <f>INDEX(PEDIDOS!$A:$D,MATCH(FORNECEDOR!A1122,PEDIDOS!$A:$A,0),4)</f>
        <v>CD REGIS</v>
      </c>
    </row>
    <row r="1123" spans="1:5" x14ac:dyDescent="0.25">
      <c r="A1123" s="1" t="s">
        <v>1122</v>
      </c>
      <c r="B1123" s="3">
        <f>COUNTIF(PEDIDOS!$A:$A,FORNECEDOR!A1123)</f>
        <v>2</v>
      </c>
      <c r="C1123" s="3" t="str">
        <f>INDEX(PEDIDOS!$A:$D,MATCH(FORNECEDOR!A1123,PEDIDOS!$A:$A,0),2)</f>
        <v>ANPPLA</v>
      </c>
      <c r="D1123" s="3" t="str">
        <f>INDEX(PEDIDOS!$A:$D,MATCH(FORNECEDOR!A1123,PEDIDOS!$A:$A,0),3)</f>
        <v>ANPPLA</v>
      </c>
      <c r="E1123" s="3" t="str">
        <f>INDEX(PEDIDOS!$A:$D,MATCH(FORNECEDOR!A1123,PEDIDOS!$A:$A,0),4)</f>
        <v>ANPPLA</v>
      </c>
    </row>
    <row r="1124" spans="1:5" x14ac:dyDescent="0.25">
      <c r="A1124" s="1" t="s">
        <v>1123</v>
      </c>
      <c r="B1124" s="3">
        <f>COUNTIF(PEDIDOS!$A:$A,FORNECEDOR!A1124)</f>
        <v>2</v>
      </c>
      <c r="C1124" s="3" t="str">
        <f>INDEX(PEDIDOS!$A:$D,MATCH(FORNECEDOR!A1124,PEDIDOS!$A:$A,0),2)</f>
        <v>CD NAVEGANTES</v>
      </c>
      <c r="D1124" s="3" t="str">
        <f>INDEX(PEDIDOS!$A:$D,MATCH(FORNECEDOR!A1124,PEDIDOS!$A:$A,0),3)</f>
        <v>MATRIZ</v>
      </c>
      <c r="E1124" s="3" t="str">
        <f>INDEX(PEDIDOS!$A:$D,MATCH(FORNECEDOR!A1124,PEDIDOS!$A:$A,0),4)</f>
        <v>CD NAVEGANTES</v>
      </c>
    </row>
    <row r="1125" spans="1:5" hidden="1" x14ac:dyDescent="0.25">
      <c r="A1125" s="1" t="s">
        <v>1124</v>
      </c>
      <c r="B1125" s="3">
        <f>COUNTIF(PEDIDOS!$A:$A,FORNECEDOR!A1125)</f>
        <v>0</v>
      </c>
      <c r="C1125" s="3" t="e">
        <f>INDEX(PEDIDOS!$A:$D,MATCH(FORNECEDOR!A1125,PEDIDOS!$A:$A,0),2)</f>
        <v>#N/A</v>
      </c>
      <c r="D1125" s="3" t="e">
        <f>INDEX(PEDIDOS!$A:$D,MATCH(FORNECEDOR!A1125,PEDIDOS!$A:$A,0),3)</f>
        <v>#N/A</v>
      </c>
      <c r="E1125" s="3" t="e">
        <f>INDEX(PEDIDOS!$A:$D,MATCH(FORNECEDOR!A1125,PEDIDOS!$A:$A,0),4)</f>
        <v>#N/A</v>
      </c>
    </row>
    <row r="1126" spans="1:5" hidden="1" x14ac:dyDescent="0.25">
      <c r="A1126" s="1" t="s">
        <v>1125</v>
      </c>
      <c r="B1126" s="3">
        <f>COUNTIF(PEDIDOS!$A:$A,FORNECEDOR!A1126)</f>
        <v>0</v>
      </c>
      <c r="C1126" s="3" t="e">
        <f>INDEX(PEDIDOS!$A:$D,MATCH(FORNECEDOR!A1126,PEDIDOS!$A:$A,0),2)</f>
        <v>#N/A</v>
      </c>
      <c r="D1126" s="3" t="e">
        <f>INDEX(PEDIDOS!$A:$D,MATCH(FORNECEDOR!A1126,PEDIDOS!$A:$A,0),3)</f>
        <v>#N/A</v>
      </c>
      <c r="E1126" s="3" t="e">
        <f>INDEX(PEDIDOS!$A:$D,MATCH(FORNECEDOR!A1126,PEDIDOS!$A:$A,0),4)</f>
        <v>#N/A</v>
      </c>
    </row>
    <row r="1127" spans="1:5" x14ac:dyDescent="0.25">
      <c r="A1127" s="1" t="s">
        <v>1126</v>
      </c>
      <c r="B1127" s="3">
        <f>COUNTIF(PEDIDOS!$A:$A,FORNECEDOR!A1127)</f>
        <v>1</v>
      </c>
      <c r="C1127" s="3" t="str">
        <f>INDEX(PEDIDOS!$A:$D,MATCH(FORNECEDOR!A1127,PEDIDOS!$A:$A,0),2)</f>
        <v>CD REGIS</v>
      </c>
      <c r="D1127" s="3" t="str">
        <f>INDEX(PEDIDOS!$A:$D,MATCH(FORNECEDOR!A1127,PEDIDOS!$A:$A,0),3)</f>
        <v>MATRIZ</v>
      </c>
      <c r="E1127" s="3" t="str">
        <f>INDEX(PEDIDOS!$A:$D,MATCH(FORNECEDOR!A1127,PEDIDOS!$A:$A,0),4)</f>
        <v>CD REGIS</v>
      </c>
    </row>
    <row r="1128" spans="1:5" x14ac:dyDescent="0.25">
      <c r="A1128" s="1" t="s">
        <v>1127</v>
      </c>
      <c r="B1128" s="3">
        <f>COUNTIF(PEDIDOS!$A:$A,FORNECEDOR!A1128)</f>
        <v>2</v>
      </c>
      <c r="C1128" s="3" t="str">
        <f>INDEX(PEDIDOS!$A:$D,MATCH(FORNECEDOR!A1128,PEDIDOS!$A:$A,0),2)</f>
        <v>CD REGIS</v>
      </c>
      <c r="D1128" s="3" t="str">
        <f>INDEX(PEDIDOS!$A:$D,MATCH(FORNECEDOR!A1128,PEDIDOS!$A:$A,0),3)</f>
        <v>MATRIZ</v>
      </c>
      <c r="E1128" s="3" t="str">
        <f>INDEX(PEDIDOS!$A:$D,MATCH(FORNECEDOR!A1128,PEDIDOS!$A:$A,0),4)</f>
        <v>CD REGIS</v>
      </c>
    </row>
    <row r="1129" spans="1:5" hidden="1" x14ac:dyDescent="0.25">
      <c r="A1129" s="1" t="s">
        <v>1128</v>
      </c>
      <c r="B1129" s="3">
        <f>COUNTIF(PEDIDOS!$A:$A,FORNECEDOR!A1129)</f>
        <v>0</v>
      </c>
      <c r="C1129" s="3" t="e">
        <f>INDEX(PEDIDOS!$A:$D,MATCH(FORNECEDOR!A1129,PEDIDOS!$A:$A,0),2)</f>
        <v>#N/A</v>
      </c>
      <c r="D1129" s="3" t="e">
        <f>INDEX(PEDIDOS!$A:$D,MATCH(FORNECEDOR!A1129,PEDIDOS!$A:$A,0),3)</f>
        <v>#N/A</v>
      </c>
      <c r="E1129" s="3" t="e">
        <f>INDEX(PEDIDOS!$A:$D,MATCH(FORNECEDOR!A1129,PEDIDOS!$A:$A,0),4)</f>
        <v>#N/A</v>
      </c>
    </row>
    <row r="1130" spans="1:5" hidden="1" x14ac:dyDescent="0.25">
      <c r="A1130" s="1" t="s">
        <v>1129</v>
      </c>
      <c r="B1130" s="3">
        <f>COUNTIF(PEDIDOS!$A:$A,FORNECEDOR!A1130)</f>
        <v>0</v>
      </c>
      <c r="C1130" s="3" t="e">
        <f>INDEX(PEDIDOS!$A:$D,MATCH(FORNECEDOR!A1130,PEDIDOS!$A:$A,0),2)</f>
        <v>#N/A</v>
      </c>
      <c r="D1130" s="3" t="e">
        <f>INDEX(PEDIDOS!$A:$D,MATCH(FORNECEDOR!A1130,PEDIDOS!$A:$A,0),3)</f>
        <v>#N/A</v>
      </c>
      <c r="E1130" s="3" t="e">
        <f>INDEX(PEDIDOS!$A:$D,MATCH(FORNECEDOR!A1130,PEDIDOS!$A:$A,0),4)</f>
        <v>#N/A</v>
      </c>
    </row>
    <row r="1131" spans="1:5" hidden="1" x14ac:dyDescent="0.25">
      <c r="A1131" s="1" t="s">
        <v>1130</v>
      </c>
      <c r="B1131" s="3">
        <f>COUNTIF(PEDIDOS!$A:$A,FORNECEDOR!A1131)</f>
        <v>0</v>
      </c>
      <c r="C1131" s="3" t="e">
        <f>INDEX(PEDIDOS!$A:$D,MATCH(FORNECEDOR!A1131,PEDIDOS!$A:$A,0),2)</f>
        <v>#N/A</v>
      </c>
      <c r="D1131" s="3" t="e">
        <f>INDEX(PEDIDOS!$A:$D,MATCH(FORNECEDOR!A1131,PEDIDOS!$A:$A,0),3)</f>
        <v>#N/A</v>
      </c>
      <c r="E1131" s="3" t="e">
        <f>INDEX(PEDIDOS!$A:$D,MATCH(FORNECEDOR!A1131,PEDIDOS!$A:$A,0),4)</f>
        <v>#N/A</v>
      </c>
    </row>
    <row r="1132" spans="1:5" hidden="1" x14ac:dyDescent="0.25">
      <c r="A1132" s="1" t="s">
        <v>1131</v>
      </c>
      <c r="B1132" s="3">
        <f>COUNTIF(PEDIDOS!$A:$A,FORNECEDOR!A1132)</f>
        <v>0</v>
      </c>
      <c r="C1132" s="3" t="e">
        <f>INDEX(PEDIDOS!$A:$D,MATCH(FORNECEDOR!A1132,PEDIDOS!$A:$A,0),2)</f>
        <v>#N/A</v>
      </c>
      <c r="D1132" s="3" t="e">
        <f>INDEX(PEDIDOS!$A:$D,MATCH(FORNECEDOR!A1132,PEDIDOS!$A:$A,0),3)</f>
        <v>#N/A</v>
      </c>
      <c r="E1132" s="3" t="e">
        <f>INDEX(PEDIDOS!$A:$D,MATCH(FORNECEDOR!A1132,PEDIDOS!$A:$A,0),4)</f>
        <v>#N/A</v>
      </c>
    </row>
    <row r="1133" spans="1:5" x14ac:dyDescent="0.25">
      <c r="A1133" s="1" t="s">
        <v>1132</v>
      </c>
      <c r="B1133" s="3">
        <f>COUNTIF(PEDIDOS!$A:$A,FORNECEDOR!A1133)</f>
        <v>1</v>
      </c>
      <c r="C1133" s="3" t="str">
        <f>INDEX(PEDIDOS!$A:$D,MATCH(FORNECEDOR!A1133,PEDIDOS!$A:$A,0),2)</f>
        <v>CD REGIS</v>
      </c>
      <c r="D1133" s="3" t="str">
        <f>INDEX(PEDIDOS!$A:$D,MATCH(FORNECEDOR!A1133,PEDIDOS!$A:$A,0),3)</f>
        <v>MATRIZ</v>
      </c>
      <c r="E1133" s="3" t="str">
        <f>INDEX(PEDIDOS!$A:$D,MATCH(FORNECEDOR!A1133,PEDIDOS!$A:$A,0),4)</f>
        <v>CD REGIS</v>
      </c>
    </row>
    <row r="1134" spans="1:5" x14ac:dyDescent="0.25">
      <c r="A1134" s="1" t="s">
        <v>1133</v>
      </c>
      <c r="B1134" s="3">
        <f>COUNTIF(PEDIDOS!$A:$A,FORNECEDOR!A1134)</f>
        <v>1</v>
      </c>
      <c r="C1134" s="3" t="str">
        <f>INDEX(PEDIDOS!$A:$D,MATCH(FORNECEDOR!A1134,PEDIDOS!$A:$A,0),2)</f>
        <v>CD REGIS</v>
      </c>
      <c r="D1134" s="3" t="str">
        <f>INDEX(PEDIDOS!$A:$D,MATCH(FORNECEDOR!A1134,PEDIDOS!$A:$A,0),3)</f>
        <v>TATUAPE</v>
      </c>
      <c r="E1134" s="3" t="str">
        <f>INDEX(PEDIDOS!$A:$D,MATCH(FORNECEDOR!A1134,PEDIDOS!$A:$A,0),4)</f>
        <v>CD REGIS</v>
      </c>
    </row>
    <row r="1135" spans="1:5" hidden="1" x14ac:dyDescent="0.25">
      <c r="A1135" s="1" t="s">
        <v>1134</v>
      </c>
      <c r="B1135" s="3">
        <f>COUNTIF(PEDIDOS!$A:$A,FORNECEDOR!A1135)</f>
        <v>0</v>
      </c>
      <c r="C1135" s="3" t="e">
        <f>INDEX(PEDIDOS!$A:$D,MATCH(FORNECEDOR!A1135,PEDIDOS!$A:$A,0),2)</f>
        <v>#N/A</v>
      </c>
      <c r="D1135" s="3" t="e">
        <f>INDEX(PEDIDOS!$A:$D,MATCH(FORNECEDOR!A1135,PEDIDOS!$A:$A,0),3)</f>
        <v>#N/A</v>
      </c>
      <c r="E1135" s="3" t="e">
        <f>INDEX(PEDIDOS!$A:$D,MATCH(FORNECEDOR!A1135,PEDIDOS!$A:$A,0),4)</f>
        <v>#N/A</v>
      </c>
    </row>
    <row r="1136" spans="1:5" x14ac:dyDescent="0.25">
      <c r="A1136" s="1" t="s">
        <v>1135</v>
      </c>
      <c r="B1136" s="3">
        <f>COUNTIF(PEDIDOS!$A:$A,FORNECEDOR!A1136)</f>
        <v>1</v>
      </c>
      <c r="C1136" s="3" t="str">
        <f>INDEX(PEDIDOS!$A:$D,MATCH(FORNECEDOR!A1136,PEDIDOS!$A:$A,0),2)</f>
        <v>CD REGIS</v>
      </c>
      <c r="D1136" s="3" t="str">
        <f>INDEX(PEDIDOS!$A:$D,MATCH(FORNECEDOR!A1136,PEDIDOS!$A:$A,0),3)</f>
        <v>MATRIZ</v>
      </c>
      <c r="E1136" s="3" t="str">
        <f>INDEX(PEDIDOS!$A:$D,MATCH(FORNECEDOR!A1136,PEDIDOS!$A:$A,0),4)</f>
        <v>CD REGIS</v>
      </c>
    </row>
    <row r="1137" spans="1:5" hidden="1" x14ac:dyDescent="0.25">
      <c r="A1137" s="1" t="s">
        <v>1136</v>
      </c>
      <c r="B1137" s="3">
        <f>COUNTIF(PEDIDOS!$A:$A,FORNECEDOR!A1137)</f>
        <v>0</v>
      </c>
      <c r="C1137" s="3" t="e">
        <f>INDEX(PEDIDOS!$A:$D,MATCH(FORNECEDOR!A1137,PEDIDOS!$A:$A,0),2)</f>
        <v>#N/A</v>
      </c>
      <c r="D1137" s="3" t="e">
        <f>INDEX(PEDIDOS!$A:$D,MATCH(FORNECEDOR!A1137,PEDIDOS!$A:$A,0),3)</f>
        <v>#N/A</v>
      </c>
      <c r="E1137" s="3" t="e">
        <f>INDEX(PEDIDOS!$A:$D,MATCH(FORNECEDOR!A1137,PEDIDOS!$A:$A,0),4)</f>
        <v>#N/A</v>
      </c>
    </row>
    <row r="1138" spans="1:5" hidden="1" x14ac:dyDescent="0.25">
      <c r="A1138" s="1" t="s">
        <v>1137</v>
      </c>
      <c r="B1138" s="3">
        <f>COUNTIF(PEDIDOS!$A:$A,FORNECEDOR!A1138)</f>
        <v>0</v>
      </c>
      <c r="C1138" s="3" t="e">
        <f>INDEX(PEDIDOS!$A:$D,MATCH(FORNECEDOR!A1138,PEDIDOS!$A:$A,0),2)</f>
        <v>#N/A</v>
      </c>
      <c r="D1138" s="3" t="e">
        <f>INDEX(PEDIDOS!$A:$D,MATCH(FORNECEDOR!A1138,PEDIDOS!$A:$A,0),3)</f>
        <v>#N/A</v>
      </c>
      <c r="E1138" s="3" t="e">
        <f>INDEX(PEDIDOS!$A:$D,MATCH(FORNECEDOR!A1138,PEDIDOS!$A:$A,0),4)</f>
        <v>#N/A</v>
      </c>
    </row>
    <row r="1139" spans="1:5" hidden="1" x14ac:dyDescent="0.25">
      <c r="A1139" s="1" t="s">
        <v>1138</v>
      </c>
      <c r="B1139" s="3">
        <f>COUNTIF(PEDIDOS!$A:$A,FORNECEDOR!A1139)</f>
        <v>0</v>
      </c>
      <c r="C1139" s="3" t="e">
        <f>INDEX(PEDIDOS!$A:$D,MATCH(FORNECEDOR!A1139,PEDIDOS!$A:$A,0),2)</f>
        <v>#N/A</v>
      </c>
      <c r="D1139" s="3" t="e">
        <f>INDEX(PEDIDOS!$A:$D,MATCH(FORNECEDOR!A1139,PEDIDOS!$A:$A,0),3)</f>
        <v>#N/A</v>
      </c>
      <c r="E1139" s="3" t="e">
        <f>INDEX(PEDIDOS!$A:$D,MATCH(FORNECEDOR!A1139,PEDIDOS!$A:$A,0),4)</f>
        <v>#N/A</v>
      </c>
    </row>
    <row r="1140" spans="1:5" hidden="1" x14ac:dyDescent="0.25">
      <c r="A1140" s="1" t="s">
        <v>1139</v>
      </c>
      <c r="B1140" s="3">
        <f>COUNTIF(PEDIDOS!$A:$A,FORNECEDOR!A1140)</f>
        <v>0</v>
      </c>
      <c r="C1140" s="3" t="e">
        <f>INDEX(PEDIDOS!$A:$D,MATCH(FORNECEDOR!A1140,PEDIDOS!$A:$A,0),2)</f>
        <v>#N/A</v>
      </c>
      <c r="D1140" s="3" t="e">
        <f>INDEX(PEDIDOS!$A:$D,MATCH(FORNECEDOR!A1140,PEDIDOS!$A:$A,0),3)</f>
        <v>#N/A</v>
      </c>
      <c r="E1140" s="3" t="e">
        <f>INDEX(PEDIDOS!$A:$D,MATCH(FORNECEDOR!A1140,PEDIDOS!$A:$A,0),4)</f>
        <v>#N/A</v>
      </c>
    </row>
    <row r="1141" spans="1:5" x14ac:dyDescent="0.25">
      <c r="A1141" s="1" t="s">
        <v>1140</v>
      </c>
      <c r="B1141" s="3">
        <f>COUNTIF(PEDIDOS!$A:$A,FORNECEDOR!A1141)</f>
        <v>2</v>
      </c>
      <c r="C1141" s="3" t="str">
        <f>INDEX(PEDIDOS!$A:$D,MATCH(FORNECEDOR!A1141,PEDIDOS!$A:$A,0),2)</f>
        <v>CD REGIS</v>
      </c>
      <c r="D1141" s="3" t="str">
        <f>INDEX(PEDIDOS!$A:$D,MATCH(FORNECEDOR!A1141,PEDIDOS!$A:$A,0),3)</f>
        <v>MATRIZ</v>
      </c>
      <c r="E1141" s="3" t="str">
        <f>INDEX(PEDIDOS!$A:$D,MATCH(FORNECEDOR!A1141,PEDIDOS!$A:$A,0),4)</f>
        <v>CD REGIS</v>
      </c>
    </row>
    <row r="1142" spans="1:5" hidden="1" x14ac:dyDescent="0.25">
      <c r="A1142" s="1" t="s">
        <v>1141</v>
      </c>
      <c r="B1142" s="3">
        <f>COUNTIF(PEDIDOS!$A:$A,FORNECEDOR!A1142)</f>
        <v>0</v>
      </c>
      <c r="C1142" s="3" t="e">
        <f>INDEX(PEDIDOS!$A:$D,MATCH(FORNECEDOR!A1142,PEDIDOS!$A:$A,0),2)</f>
        <v>#N/A</v>
      </c>
      <c r="D1142" s="3" t="e">
        <f>INDEX(PEDIDOS!$A:$D,MATCH(FORNECEDOR!A1142,PEDIDOS!$A:$A,0),3)</f>
        <v>#N/A</v>
      </c>
      <c r="E1142" s="3" t="e">
        <f>INDEX(PEDIDOS!$A:$D,MATCH(FORNECEDOR!A1142,PEDIDOS!$A:$A,0),4)</f>
        <v>#N/A</v>
      </c>
    </row>
    <row r="1143" spans="1:5" hidden="1" x14ac:dyDescent="0.25">
      <c r="A1143" s="1" t="s">
        <v>1142</v>
      </c>
      <c r="B1143" s="3">
        <f>COUNTIF(PEDIDOS!$A:$A,FORNECEDOR!A1143)</f>
        <v>0</v>
      </c>
      <c r="C1143" s="3" t="e">
        <f>INDEX(PEDIDOS!$A:$D,MATCH(FORNECEDOR!A1143,PEDIDOS!$A:$A,0),2)</f>
        <v>#N/A</v>
      </c>
      <c r="D1143" s="3" t="e">
        <f>INDEX(PEDIDOS!$A:$D,MATCH(FORNECEDOR!A1143,PEDIDOS!$A:$A,0),3)</f>
        <v>#N/A</v>
      </c>
      <c r="E1143" s="3" t="e">
        <f>INDEX(PEDIDOS!$A:$D,MATCH(FORNECEDOR!A1143,PEDIDOS!$A:$A,0),4)</f>
        <v>#N/A</v>
      </c>
    </row>
    <row r="1144" spans="1:5" x14ac:dyDescent="0.25">
      <c r="A1144" s="1" t="s">
        <v>1143</v>
      </c>
      <c r="B1144" s="3">
        <f>COUNTIF(PEDIDOS!$A:$A,FORNECEDOR!A1144)</f>
        <v>1</v>
      </c>
      <c r="C1144" s="3" t="str">
        <f>INDEX(PEDIDOS!$A:$D,MATCH(FORNECEDOR!A1144,PEDIDOS!$A:$A,0),2)</f>
        <v>CD REGIS</v>
      </c>
      <c r="D1144" s="3" t="str">
        <f>INDEX(PEDIDOS!$A:$D,MATCH(FORNECEDOR!A1144,PEDIDOS!$A:$A,0),3)</f>
        <v>TATUAPE</v>
      </c>
      <c r="E1144" s="3" t="str">
        <f>INDEX(PEDIDOS!$A:$D,MATCH(FORNECEDOR!A1144,PEDIDOS!$A:$A,0),4)</f>
        <v>CD REGIS</v>
      </c>
    </row>
    <row r="1145" spans="1:5" x14ac:dyDescent="0.25">
      <c r="A1145" s="1" t="s">
        <v>1144</v>
      </c>
      <c r="B1145" s="3">
        <f>COUNTIF(PEDIDOS!$A:$A,FORNECEDOR!A1145)</f>
        <v>1</v>
      </c>
      <c r="C1145" s="3" t="str">
        <f>INDEX(PEDIDOS!$A:$D,MATCH(FORNECEDOR!A1145,PEDIDOS!$A:$A,0),2)</f>
        <v>FERRAZ</v>
      </c>
      <c r="D1145" s="3" t="str">
        <f>INDEX(PEDIDOS!$A:$D,MATCH(FORNECEDOR!A1145,PEDIDOS!$A:$A,0),3)</f>
        <v>FERRAZ</v>
      </c>
      <c r="E1145" s="3" t="str">
        <f>INDEX(PEDIDOS!$A:$D,MATCH(FORNECEDOR!A1145,PEDIDOS!$A:$A,0),4)</f>
        <v>FERRAZ</v>
      </c>
    </row>
    <row r="1146" spans="1:5" x14ac:dyDescent="0.25">
      <c r="A1146" s="1" t="s">
        <v>1145</v>
      </c>
      <c r="B1146" s="3">
        <f>COUNTIF(PEDIDOS!$A:$A,FORNECEDOR!A1146)</f>
        <v>1</v>
      </c>
      <c r="C1146" s="3" t="str">
        <f>INDEX(PEDIDOS!$A:$D,MATCH(FORNECEDOR!A1146,PEDIDOS!$A:$A,0),2)</f>
        <v>CD REGIS</v>
      </c>
      <c r="D1146" s="3" t="str">
        <f>INDEX(PEDIDOS!$A:$D,MATCH(FORNECEDOR!A1146,PEDIDOS!$A:$A,0),3)</f>
        <v>TATUAPE</v>
      </c>
      <c r="E1146" s="3" t="str">
        <f>INDEX(PEDIDOS!$A:$D,MATCH(FORNECEDOR!A1146,PEDIDOS!$A:$A,0),4)</f>
        <v>CD REGIS</v>
      </c>
    </row>
    <row r="1147" spans="1:5" hidden="1" x14ac:dyDescent="0.25">
      <c r="A1147" s="1" t="s">
        <v>1146</v>
      </c>
      <c r="B1147" s="3">
        <f>COUNTIF(PEDIDOS!$A:$A,FORNECEDOR!A1147)</f>
        <v>0</v>
      </c>
      <c r="C1147" s="3" t="e">
        <f>INDEX(PEDIDOS!$A:$D,MATCH(FORNECEDOR!A1147,PEDIDOS!$A:$A,0),2)</f>
        <v>#N/A</v>
      </c>
      <c r="D1147" s="3" t="e">
        <f>INDEX(PEDIDOS!$A:$D,MATCH(FORNECEDOR!A1147,PEDIDOS!$A:$A,0),3)</f>
        <v>#N/A</v>
      </c>
      <c r="E1147" s="3" t="e">
        <f>INDEX(PEDIDOS!$A:$D,MATCH(FORNECEDOR!A1147,PEDIDOS!$A:$A,0),4)</f>
        <v>#N/A</v>
      </c>
    </row>
    <row r="1148" spans="1:5" hidden="1" x14ac:dyDescent="0.25">
      <c r="A1148" s="1" t="s">
        <v>1147</v>
      </c>
      <c r="B1148" s="3">
        <f>COUNTIF(PEDIDOS!$A:$A,FORNECEDOR!A1148)</f>
        <v>0</v>
      </c>
      <c r="C1148" s="3" t="e">
        <f>INDEX(PEDIDOS!$A:$D,MATCH(FORNECEDOR!A1148,PEDIDOS!$A:$A,0),2)</f>
        <v>#N/A</v>
      </c>
      <c r="D1148" s="3" t="e">
        <f>INDEX(PEDIDOS!$A:$D,MATCH(FORNECEDOR!A1148,PEDIDOS!$A:$A,0),3)</f>
        <v>#N/A</v>
      </c>
      <c r="E1148" s="3" t="e">
        <f>INDEX(PEDIDOS!$A:$D,MATCH(FORNECEDOR!A1148,PEDIDOS!$A:$A,0),4)</f>
        <v>#N/A</v>
      </c>
    </row>
    <row r="1149" spans="1:5" hidden="1" x14ac:dyDescent="0.25">
      <c r="A1149" s="1" t="s">
        <v>1148</v>
      </c>
      <c r="B1149" s="3">
        <f>COUNTIF(PEDIDOS!$A:$A,FORNECEDOR!A1149)</f>
        <v>0</v>
      </c>
      <c r="C1149" s="3" t="e">
        <f>INDEX(PEDIDOS!$A:$D,MATCH(FORNECEDOR!A1149,PEDIDOS!$A:$A,0),2)</f>
        <v>#N/A</v>
      </c>
      <c r="D1149" s="3" t="e">
        <f>INDEX(PEDIDOS!$A:$D,MATCH(FORNECEDOR!A1149,PEDIDOS!$A:$A,0),3)</f>
        <v>#N/A</v>
      </c>
      <c r="E1149" s="3" t="e">
        <f>INDEX(PEDIDOS!$A:$D,MATCH(FORNECEDOR!A1149,PEDIDOS!$A:$A,0),4)</f>
        <v>#N/A</v>
      </c>
    </row>
    <row r="1150" spans="1:5" x14ac:dyDescent="0.25">
      <c r="A1150" s="1" t="s">
        <v>1149</v>
      </c>
      <c r="B1150" s="3">
        <f>COUNTIF(PEDIDOS!$A:$A,FORNECEDOR!A1150)</f>
        <v>1</v>
      </c>
      <c r="C1150" s="3" t="str">
        <f>INDEX(PEDIDOS!$A:$D,MATCH(FORNECEDOR!A1150,PEDIDOS!$A:$A,0),2)</f>
        <v>CD REGIS</v>
      </c>
      <c r="D1150" s="3" t="str">
        <f>INDEX(PEDIDOS!$A:$D,MATCH(FORNECEDOR!A1150,PEDIDOS!$A:$A,0),3)</f>
        <v>TATUAPE</v>
      </c>
      <c r="E1150" s="3" t="str">
        <f>INDEX(PEDIDOS!$A:$D,MATCH(FORNECEDOR!A1150,PEDIDOS!$A:$A,0),4)</f>
        <v>CD REGIS</v>
      </c>
    </row>
    <row r="1151" spans="1:5" x14ac:dyDescent="0.25">
      <c r="A1151" s="1" t="s">
        <v>1150</v>
      </c>
      <c r="B1151" s="3">
        <f>COUNTIF(PEDIDOS!$A:$A,FORNECEDOR!A1151)</f>
        <v>1</v>
      </c>
      <c r="C1151" s="3" t="str">
        <f>INDEX(PEDIDOS!$A:$D,MATCH(FORNECEDOR!A1151,PEDIDOS!$A:$A,0),2)</f>
        <v>CD REGIS</v>
      </c>
      <c r="D1151" s="3" t="str">
        <f>INDEX(PEDIDOS!$A:$D,MATCH(FORNECEDOR!A1151,PEDIDOS!$A:$A,0),3)</f>
        <v>MATRIZ</v>
      </c>
      <c r="E1151" s="3" t="str">
        <f>INDEX(PEDIDOS!$A:$D,MATCH(FORNECEDOR!A1151,PEDIDOS!$A:$A,0),4)</f>
        <v>CD REGIS</v>
      </c>
    </row>
    <row r="1152" spans="1:5" x14ac:dyDescent="0.25">
      <c r="A1152" s="1" t="s">
        <v>1151</v>
      </c>
      <c r="B1152" s="3">
        <f>COUNTIF(PEDIDOS!$A:$A,FORNECEDOR!A1152)</f>
        <v>2</v>
      </c>
      <c r="C1152" s="3" t="str">
        <f>INDEX(PEDIDOS!$A:$D,MATCH(FORNECEDOR!A1152,PEDIDOS!$A:$A,0),2)</f>
        <v>CD REGIS</v>
      </c>
      <c r="D1152" s="3" t="str">
        <f>INDEX(PEDIDOS!$A:$D,MATCH(FORNECEDOR!A1152,PEDIDOS!$A:$A,0),3)</f>
        <v>MATRIZ</v>
      </c>
      <c r="E1152" s="3" t="str">
        <f>INDEX(PEDIDOS!$A:$D,MATCH(FORNECEDOR!A1152,PEDIDOS!$A:$A,0),4)</f>
        <v>CD REGIS</v>
      </c>
    </row>
    <row r="1153" spans="1:5" hidden="1" x14ac:dyDescent="0.25">
      <c r="A1153" s="1" t="s">
        <v>1152</v>
      </c>
      <c r="B1153" s="3">
        <f>COUNTIF(PEDIDOS!$A:$A,FORNECEDOR!A1153)</f>
        <v>0</v>
      </c>
      <c r="C1153" s="3" t="e">
        <f>INDEX(PEDIDOS!$A:$D,MATCH(FORNECEDOR!A1153,PEDIDOS!$A:$A,0),2)</f>
        <v>#N/A</v>
      </c>
      <c r="D1153" s="3" t="e">
        <f>INDEX(PEDIDOS!$A:$D,MATCH(FORNECEDOR!A1153,PEDIDOS!$A:$A,0),3)</f>
        <v>#N/A</v>
      </c>
      <c r="E1153" s="3" t="e">
        <f>INDEX(PEDIDOS!$A:$D,MATCH(FORNECEDOR!A1153,PEDIDOS!$A:$A,0),4)</f>
        <v>#N/A</v>
      </c>
    </row>
    <row r="1154" spans="1:5" hidden="1" x14ac:dyDescent="0.25">
      <c r="A1154" s="1" t="s">
        <v>1153</v>
      </c>
      <c r="B1154" s="3">
        <f>COUNTIF(PEDIDOS!$A:$A,FORNECEDOR!A1154)</f>
        <v>0</v>
      </c>
      <c r="C1154" s="3" t="e">
        <f>INDEX(PEDIDOS!$A:$D,MATCH(FORNECEDOR!A1154,PEDIDOS!$A:$A,0),2)</f>
        <v>#N/A</v>
      </c>
      <c r="D1154" s="3" t="e">
        <f>INDEX(PEDIDOS!$A:$D,MATCH(FORNECEDOR!A1154,PEDIDOS!$A:$A,0),3)</f>
        <v>#N/A</v>
      </c>
      <c r="E1154" s="3" t="e">
        <f>INDEX(PEDIDOS!$A:$D,MATCH(FORNECEDOR!A1154,PEDIDOS!$A:$A,0),4)</f>
        <v>#N/A</v>
      </c>
    </row>
    <row r="1155" spans="1:5" hidden="1" x14ac:dyDescent="0.25">
      <c r="A1155" s="1" t="s">
        <v>1154</v>
      </c>
      <c r="B1155" s="3">
        <f>COUNTIF(PEDIDOS!$A:$A,FORNECEDOR!A1155)</f>
        <v>0</v>
      </c>
      <c r="C1155" s="3" t="e">
        <f>INDEX(PEDIDOS!$A:$D,MATCH(FORNECEDOR!A1155,PEDIDOS!$A:$A,0),2)</f>
        <v>#N/A</v>
      </c>
      <c r="D1155" s="3" t="e">
        <f>INDEX(PEDIDOS!$A:$D,MATCH(FORNECEDOR!A1155,PEDIDOS!$A:$A,0),3)</f>
        <v>#N/A</v>
      </c>
      <c r="E1155" s="3" t="e">
        <f>INDEX(PEDIDOS!$A:$D,MATCH(FORNECEDOR!A1155,PEDIDOS!$A:$A,0),4)</f>
        <v>#N/A</v>
      </c>
    </row>
    <row r="1156" spans="1:5" x14ac:dyDescent="0.25">
      <c r="A1156" s="1" t="s">
        <v>1155</v>
      </c>
      <c r="B1156" s="3">
        <f>COUNTIF(PEDIDOS!$A:$A,FORNECEDOR!A1156)</f>
        <v>1</v>
      </c>
      <c r="C1156" s="3" t="str">
        <f>INDEX(PEDIDOS!$A:$D,MATCH(FORNECEDOR!A1156,PEDIDOS!$A:$A,0),2)</f>
        <v>CD REGIS</v>
      </c>
      <c r="D1156" s="3" t="str">
        <f>INDEX(PEDIDOS!$A:$D,MATCH(FORNECEDOR!A1156,PEDIDOS!$A:$A,0),3)</f>
        <v>CD REGIS</v>
      </c>
      <c r="E1156" s="3" t="str">
        <f>INDEX(PEDIDOS!$A:$D,MATCH(FORNECEDOR!A1156,PEDIDOS!$A:$A,0),4)</f>
        <v>CD REGIS</v>
      </c>
    </row>
    <row r="1157" spans="1:5" hidden="1" x14ac:dyDescent="0.25">
      <c r="A1157" s="1" t="s">
        <v>1156</v>
      </c>
      <c r="B1157" s="3">
        <f>COUNTIF(PEDIDOS!$A:$A,FORNECEDOR!A1157)</f>
        <v>0</v>
      </c>
      <c r="C1157" s="3" t="e">
        <f>INDEX(PEDIDOS!$A:$D,MATCH(FORNECEDOR!A1157,PEDIDOS!$A:$A,0),2)</f>
        <v>#N/A</v>
      </c>
      <c r="D1157" s="3" t="e">
        <f>INDEX(PEDIDOS!$A:$D,MATCH(FORNECEDOR!A1157,PEDIDOS!$A:$A,0),3)</f>
        <v>#N/A</v>
      </c>
      <c r="E1157" s="3" t="e">
        <f>INDEX(PEDIDOS!$A:$D,MATCH(FORNECEDOR!A1157,PEDIDOS!$A:$A,0),4)</f>
        <v>#N/A</v>
      </c>
    </row>
    <row r="1158" spans="1:5" hidden="1" x14ac:dyDescent="0.25">
      <c r="A1158" s="1" t="s">
        <v>1157</v>
      </c>
      <c r="B1158" s="3">
        <f>COUNTIF(PEDIDOS!$A:$A,FORNECEDOR!A1158)</f>
        <v>0</v>
      </c>
      <c r="C1158" s="3" t="e">
        <f>INDEX(PEDIDOS!$A:$D,MATCH(FORNECEDOR!A1158,PEDIDOS!$A:$A,0),2)</f>
        <v>#N/A</v>
      </c>
      <c r="D1158" s="3" t="e">
        <f>INDEX(PEDIDOS!$A:$D,MATCH(FORNECEDOR!A1158,PEDIDOS!$A:$A,0),3)</f>
        <v>#N/A</v>
      </c>
      <c r="E1158" s="3" t="e">
        <f>INDEX(PEDIDOS!$A:$D,MATCH(FORNECEDOR!A1158,PEDIDOS!$A:$A,0),4)</f>
        <v>#N/A</v>
      </c>
    </row>
    <row r="1159" spans="1:5" hidden="1" x14ac:dyDescent="0.25">
      <c r="A1159" s="1" t="s">
        <v>1158</v>
      </c>
      <c r="B1159" s="3">
        <f>COUNTIF(PEDIDOS!$A:$A,FORNECEDOR!A1159)</f>
        <v>0</v>
      </c>
      <c r="C1159" s="3" t="e">
        <f>INDEX(PEDIDOS!$A:$D,MATCH(FORNECEDOR!A1159,PEDIDOS!$A:$A,0),2)</f>
        <v>#N/A</v>
      </c>
      <c r="D1159" s="3" t="e">
        <f>INDEX(PEDIDOS!$A:$D,MATCH(FORNECEDOR!A1159,PEDIDOS!$A:$A,0),3)</f>
        <v>#N/A</v>
      </c>
      <c r="E1159" s="3" t="e">
        <f>INDEX(PEDIDOS!$A:$D,MATCH(FORNECEDOR!A1159,PEDIDOS!$A:$A,0),4)</f>
        <v>#N/A</v>
      </c>
    </row>
    <row r="1160" spans="1:5" hidden="1" x14ac:dyDescent="0.25">
      <c r="A1160" s="1" t="s">
        <v>1159</v>
      </c>
      <c r="B1160" s="3">
        <f>COUNTIF(PEDIDOS!$A:$A,FORNECEDOR!A1160)</f>
        <v>0</v>
      </c>
      <c r="C1160" s="3" t="e">
        <f>INDEX(PEDIDOS!$A:$D,MATCH(FORNECEDOR!A1160,PEDIDOS!$A:$A,0),2)</f>
        <v>#N/A</v>
      </c>
      <c r="D1160" s="3" t="e">
        <f>INDEX(PEDIDOS!$A:$D,MATCH(FORNECEDOR!A1160,PEDIDOS!$A:$A,0),3)</f>
        <v>#N/A</v>
      </c>
      <c r="E1160" s="3" t="e">
        <f>INDEX(PEDIDOS!$A:$D,MATCH(FORNECEDOR!A1160,PEDIDOS!$A:$A,0),4)</f>
        <v>#N/A</v>
      </c>
    </row>
    <row r="1161" spans="1:5" x14ac:dyDescent="0.25">
      <c r="A1161" s="1" t="s">
        <v>1160</v>
      </c>
      <c r="B1161" s="3">
        <f>COUNTIF(PEDIDOS!$A:$A,FORNECEDOR!A1161)</f>
        <v>2</v>
      </c>
      <c r="C1161" s="3" t="str">
        <f>INDEX(PEDIDOS!$A:$D,MATCH(FORNECEDOR!A1161,PEDIDOS!$A:$A,0),2)</f>
        <v>CD NAVEGANTES</v>
      </c>
      <c r="D1161" s="3" t="str">
        <f>INDEX(PEDIDOS!$A:$D,MATCH(FORNECEDOR!A1161,PEDIDOS!$A:$A,0),3)</f>
        <v>MATRIZ</v>
      </c>
      <c r="E1161" s="3" t="str">
        <f>INDEX(PEDIDOS!$A:$D,MATCH(FORNECEDOR!A1161,PEDIDOS!$A:$A,0),4)</f>
        <v>CD NAVEGANTES</v>
      </c>
    </row>
    <row r="1162" spans="1:5" hidden="1" x14ac:dyDescent="0.25">
      <c r="A1162" s="1" t="s">
        <v>1161</v>
      </c>
      <c r="B1162" s="3">
        <f>COUNTIF(PEDIDOS!$A:$A,FORNECEDOR!A1162)</f>
        <v>0</v>
      </c>
      <c r="C1162" s="3" t="e">
        <f>INDEX(PEDIDOS!$A:$D,MATCH(FORNECEDOR!A1162,PEDIDOS!$A:$A,0),2)</f>
        <v>#N/A</v>
      </c>
      <c r="D1162" s="3" t="e">
        <f>INDEX(PEDIDOS!$A:$D,MATCH(FORNECEDOR!A1162,PEDIDOS!$A:$A,0),3)</f>
        <v>#N/A</v>
      </c>
      <c r="E1162" s="3" t="e">
        <f>INDEX(PEDIDOS!$A:$D,MATCH(FORNECEDOR!A1162,PEDIDOS!$A:$A,0),4)</f>
        <v>#N/A</v>
      </c>
    </row>
    <row r="1163" spans="1:5" hidden="1" x14ac:dyDescent="0.25">
      <c r="A1163" s="1" t="s">
        <v>1162</v>
      </c>
      <c r="B1163" s="3">
        <f>COUNTIF(PEDIDOS!$A:$A,FORNECEDOR!A1163)</f>
        <v>0</v>
      </c>
      <c r="C1163" s="3" t="e">
        <f>INDEX(PEDIDOS!$A:$D,MATCH(FORNECEDOR!A1163,PEDIDOS!$A:$A,0),2)</f>
        <v>#N/A</v>
      </c>
      <c r="D1163" s="3" t="e">
        <f>INDEX(PEDIDOS!$A:$D,MATCH(FORNECEDOR!A1163,PEDIDOS!$A:$A,0),3)</f>
        <v>#N/A</v>
      </c>
      <c r="E1163" s="3" t="e">
        <f>INDEX(PEDIDOS!$A:$D,MATCH(FORNECEDOR!A1163,PEDIDOS!$A:$A,0),4)</f>
        <v>#N/A</v>
      </c>
    </row>
    <row r="1164" spans="1:5" x14ac:dyDescent="0.25">
      <c r="A1164" s="1" t="s">
        <v>1163</v>
      </c>
      <c r="B1164" s="3">
        <f>COUNTIF(PEDIDOS!$A:$A,FORNECEDOR!A1164)</f>
        <v>1</v>
      </c>
      <c r="C1164" s="3" t="str">
        <f>INDEX(PEDIDOS!$A:$D,MATCH(FORNECEDOR!A1164,PEDIDOS!$A:$A,0),2)</f>
        <v>ANPPLA</v>
      </c>
      <c r="D1164" s="3" t="str">
        <f>INDEX(PEDIDOS!$A:$D,MATCH(FORNECEDOR!A1164,PEDIDOS!$A:$A,0),3)</f>
        <v>ANPPLA</v>
      </c>
      <c r="E1164" s="3" t="str">
        <f>INDEX(PEDIDOS!$A:$D,MATCH(FORNECEDOR!A1164,PEDIDOS!$A:$A,0),4)</f>
        <v>ANPPLA</v>
      </c>
    </row>
    <row r="1165" spans="1:5" hidden="1" x14ac:dyDescent="0.25">
      <c r="A1165" s="1" t="s">
        <v>1164</v>
      </c>
      <c r="B1165" s="3">
        <f>COUNTIF(PEDIDOS!$A:$A,FORNECEDOR!A1165)</f>
        <v>0</v>
      </c>
      <c r="C1165" s="3" t="e">
        <f>INDEX(PEDIDOS!$A:$D,MATCH(FORNECEDOR!A1165,PEDIDOS!$A:$A,0),2)</f>
        <v>#N/A</v>
      </c>
      <c r="D1165" s="3" t="e">
        <f>INDEX(PEDIDOS!$A:$D,MATCH(FORNECEDOR!A1165,PEDIDOS!$A:$A,0),3)</f>
        <v>#N/A</v>
      </c>
      <c r="E1165" s="3" t="e">
        <f>INDEX(PEDIDOS!$A:$D,MATCH(FORNECEDOR!A1165,PEDIDOS!$A:$A,0),4)</f>
        <v>#N/A</v>
      </c>
    </row>
    <row r="1166" spans="1:5" hidden="1" x14ac:dyDescent="0.25">
      <c r="A1166" s="1" t="s">
        <v>1165</v>
      </c>
      <c r="B1166" s="3">
        <f>COUNTIF(PEDIDOS!$A:$A,FORNECEDOR!A1166)</f>
        <v>0</v>
      </c>
      <c r="C1166" s="3" t="e">
        <f>INDEX(PEDIDOS!$A:$D,MATCH(FORNECEDOR!A1166,PEDIDOS!$A:$A,0),2)</f>
        <v>#N/A</v>
      </c>
      <c r="D1166" s="3" t="e">
        <f>INDEX(PEDIDOS!$A:$D,MATCH(FORNECEDOR!A1166,PEDIDOS!$A:$A,0),3)</f>
        <v>#N/A</v>
      </c>
      <c r="E1166" s="3" t="e">
        <f>INDEX(PEDIDOS!$A:$D,MATCH(FORNECEDOR!A1166,PEDIDOS!$A:$A,0),4)</f>
        <v>#N/A</v>
      </c>
    </row>
    <row r="1167" spans="1:5" hidden="1" x14ac:dyDescent="0.25">
      <c r="A1167" s="1" t="s">
        <v>1166</v>
      </c>
      <c r="B1167" s="3">
        <f>COUNTIF(PEDIDOS!$A:$A,FORNECEDOR!A1167)</f>
        <v>0</v>
      </c>
      <c r="C1167" s="3" t="e">
        <f>INDEX(PEDIDOS!$A:$D,MATCH(FORNECEDOR!A1167,PEDIDOS!$A:$A,0),2)</f>
        <v>#N/A</v>
      </c>
      <c r="D1167" s="3" t="e">
        <f>INDEX(PEDIDOS!$A:$D,MATCH(FORNECEDOR!A1167,PEDIDOS!$A:$A,0),3)</f>
        <v>#N/A</v>
      </c>
      <c r="E1167" s="3" t="e">
        <f>INDEX(PEDIDOS!$A:$D,MATCH(FORNECEDOR!A1167,PEDIDOS!$A:$A,0),4)</f>
        <v>#N/A</v>
      </c>
    </row>
    <row r="1168" spans="1:5" hidden="1" x14ac:dyDescent="0.25">
      <c r="A1168" s="1" t="s">
        <v>1167</v>
      </c>
      <c r="B1168" s="3">
        <f>COUNTIF(PEDIDOS!$A:$A,FORNECEDOR!A1168)</f>
        <v>0</v>
      </c>
      <c r="C1168" s="3" t="e">
        <f>INDEX(PEDIDOS!$A:$D,MATCH(FORNECEDOR!A1168,PEDIDOS!$A:$A,0),2)</f>
        <v>#N/A</v>
      </c>
      <c r="D1168" s="3" t="e">
        <f>INDEX(PEDIDOS!$A:$D,MATCH(FORNECEDOR!A1168,PEDIDOS!$A:$A,0),3)</f>
        <v>#N/A</v>
      </c>
      <c r="E1168" s="3" t="e">
        <f>INDEX(PEDIDOS!$A:$D,MATCH(FORNECEDOR!A1168,PEDIDOS!$A:$A,0),4)</f>
        <v>#N/A</v>
      </c>
    </row>
    <row r="1169" spans="1:5" hidden="1" x14ac:dyDescent="0.25">
      <c r="A1169" s="1" t="s">
        <v>1168</v>
      </c>
      <c r="B1169" s="3">
        <f>COUNTIF(PEDIDOS!$A:$A,FORNECEDOR!A1169)</f>
        <v>0</v>
      </c>
      <c r="C1169" s="3" t="e">
        <f>INDEX(PEDIDOS!$A:$D,MATCH(FORNECEDOR!A1169,PEDIDOS!$A:$A,0),2)</f>
        <v>#N/A</v>
      </c>
      <c r="D1169" s="3" t="e">
        <f>INDEX(PEDIDOS!$A:$D,MATCH(FORNECEDOR!A1169,PEDIDOS!$A:$A,0),3)</f>
        <v>#N/A</v>
      </c>
      <c r="E1169" s="3" t="e">
        <f>INDEX(PEDIDOS!$A:$D,MATCH(FORNECEDOR!A1169,PEDIDOS!$A:$A,0),4)</f>
        <v>#N/A</v>
      </c>
    </row>
    <row r="1170" spans="1:5" x14ac:dyDescent="0.25">
      <c r="A1170" s="1" t="s">
        <v>1169</v>
      </c>
      <c r="B1170" s="3">
        <f>COUNTIF(PEDIDOS!$A:$A,FORNECEDOR!A1170)</f>
        <v>1</v>
      </c>
      <c r="C1170" s="3" t="str">
        <f>INDEX(PEDIDOS!$A:$D,MATCH(FORNECEDOR!A1170,PEDIDOS!$A:$A,0),2)</f>
        <v>SP - PARI</v>
      </c>
      <c r="D1170" s="3" t="str">
        <f>INDEX(PEDIDOS!$A:$D,MATCH(FORNECEDOR!A1170,PEDIDOS!$A:$A,0),3)</f>
        <v>SP - PARI</v>
      </c>
      <c r="E1170" s="3" t="str">
        <f>INDEX(PEDIDOS!$A:$D,MATCH(FORNECEDOR!A1170,PEDIDOS!$A:$A,0),4)</f>
        <v>SP - PARI</v>
      </c>
    </row>
    <row r="1171" spans="1:5" x14ac:dyDescent="0.25">
      <c r="A1171" s="1" t="s">
        <v>1170</v>
      </c>
      <c r="B1171" s="3">
        <f>COUNTIF(PEDIDOS!$A:$A,FORNECEDOR!A1171)</f>
        <v>1</v>
      </c>
      <c r="C1171" s="3" t="str">
        <f>INDEX(PEDIDOS!$A:$D,MATCH(FORNECEDOR!A1171,PEDIDOS!$A:$A,0),2)</f>
        <v>CD REGIS</v>
      </c>
      <c r="D1171" s="3" t="str">
        <f>INDEX(PEDIDOS!$A:$D,MATCH(FORNECEDOR!A1171,PEDIDOS!$A:$A,0),3)</f>
        <v>MATRIZ</v>
      </c>
      <c r="E1171" s="3" t="str">
        <f>INDEX(PEDIDOS!$A:$D,MATCH(FORNECEDOR!A1171,PEDIDOS!$A:$A,0),4)</f>
        <v>CD REGIS</v>
      </c>
    </row>
    <row r="1172" spans="1:5" hidden="1" x14ac:dyDescent="0.25">
      <c r="A1172" s="1" t="s">
        <v>1171</v>
      </c>
      <c r="B1172" s="3">
        <f>COUNTIF(PEDIDOS!$A:$A,FORNECEDOR!A1172)</f>
        <v>0</v>
      </c>
      <c r="C1172" s="3" t="e">
        <f>INDEX(PEDIDOS!$A:$D,MATCH(FORNECEDOR!A1172,PEDIDOS!$A:$A,0),2)</f>
        <v>#N/A</v>
      </c>
      <c r="D1172" s="3" t="e">
        <f>INDEX(PEDIDOS!$A:$D,MATCH(FORNECEDOR!A1172,PEDIDOS!$A:$A,0),3)</f>
        <v>#N/A</v>
      </c>
      <c r="E1172" s="3" t="e">
        <f>INDEX(PEDIDOS!$A:$D,MATCH(FORNECEDOR!A1172,PEDIDOS!$A:$A,0),4)</f>
        <v>#N/A</v>
      </c>
    </row>
    <row r="1173" spans="1:5" hidden="1" x14ac:dyDescent="0.25">
      <c r="A1173" s="1" t="s">
        <v>1172</v>
      </c>
      <c r="B1173" s="3">
        <f>COUNTIF(PEDIDOS!$A:$A,FORNECEDOR!A1173)</f>
        <v>0</v>
      </c>
      <c r="C1173" s="3" t="e">
        <f>INDEX(PEDIDOS!$A:$D,MATCH(FORNECEDOR!A1173,PEDIDOS!$A:$A,0),2)</f>
        <v>#N/A</v>
      </c>
      <c r="D1173" s="3" t="e">
        <f>INDEX(PEDIDOS!$A:$D,MATCH(FORNECEDOR!A1173,PEDIDOS!$A:$A,0),3)</f>
        <v>#N/A</v>
      </c>
      <c r="E1173" s="3" t="e">
        <f>INDEX(PEDIDOS!$A:$D,MATCH(FORNECEDOR!A1173,PEDIDOS!$A:$A,0),4)</f>
        <v>#N/A</v>
      </c>
    </row>
    <row r="1174" spans="1:5" hidden="1" x14ac:dyDescent="0.25">
      <c r="A1174" s="1" t="s">
        <v>1173</v>
      </c>
      <c r="B1174" s="3">
        <f>COUNTIF(PEDIDOS!$A:$A,FORNECEDOR!A1174)</f>
        <v>0</v>
      </c>
      <c r="C1174" s="3" t="e">
        <f>INDEX(PEDIDOS!$A:$D,MATCH(FORNECEDOR!A1174,PEDIDOS!$A:$A,0),2)</f>
        <v>#N/A</v>
      </c>
      <c r="D1174" s="3" t="e">
        <f>INDEX(PEDIDOS!$A:$D,MATCH(FORNECEDOR!A1174,PEDIDOS!$A:$A,0),3)</f>
        <v>#N/A</v>
      </c>
      <c r="E1174" s="3" t="e">
        <f>INDEX(PEDIDOS!$A:$D,MATCH(FORNECEDOR!A1174,PEDIDOS!$A:$A,0),4)</f>
        <v>#N/A</v>
      </c>
    </row>
    <row r="1175" spans="1:5" hidden="1" x14ac:dyDescent="0.25">
      <c r="A1175" s="1" t="s">
        <v>1174</v>
      </c>
      <c r="B1175" s="3">
        <f>COUNTIF(PEDIDOS!$A:$A,FORNECEDOR!A1175)</f>
        <v>0</v>
      </c>
      <c r="C1175" s="3" t="e">
        <f>INDEX(PEDIDOS!$A:$D,MATCH(FORNECEDOR!A1175,PEDIDOS!$A:$A,0),2)</f>
        <v>#N/A</v>
      </c>
      <c r="D1175" s="3" t="e">
        <f>INDEX(PEDIDOS!$A:$D,MATCH(FORNECEDOR!A1175,PEDIDOS!$A:$A,0),3)</f>
        <v>#N/A</v>
      </c>
      <c r="E1175" s="3" t="e">
        <f>INDEX(PEDIDOS!$A:$D,MATCH(FORNECEDOR!A1175,PEDIDOS!$A:$A,0),4)</f>
        <v>#N/A</v>
      </c>
    </row>
    <row r="1176" spans="1:5" x14ac:dyDescent="0.25">
      <c r="A1176" s="1" t="s">
        <v>1175</v>
      </c>
      <c r="B1176" s="3">
        <f>COUNTIF(PEDIDOS!$A:$A,FORNECEDOR!A1176)</f>
        <v>10</v>
      </c>
      <c r="C1176" s="3" t="str">
        <f>INDEX(PEDIDOS!$A:$D,MATCH(FORNECEDOR!A1176,PEDIDOS!$A:$A,0),2)</f>
        <v>CIDADE TIRADENTES</v>
      </c>
      <c r="D1176" s="3" t="str">
        <f>INDEX(PEDIDOS!$A:$D,MATCH(FORNECEDOR!A1176,PEDIDOS!$A:$A,0),3)</f>
        <v>CIDADE TIRADENTES</v>
      </c>
      <c r="E1176" s="3" t="str">
        <f>INDEX(PEDIDOS!$A:$D,MATCH(FORNECEDOR!A1176,PEDIDOS!$A:$A,0),4)</f>
        <v>CIDADE TIRADENTES</v>
      </c>
    </row>
    <row r="1177" spans="1:5" hidden="1" x14ac:dyDescent="0.25">
      <c r="A1177" s="1" t="s">
        <v>1176</v>
      </c>
      <c r="B1177" s="3">
        <f>COUNTIF(PEDIDOS!$A:$A,FORNECEDOR!A1177)</f>
        <v>0</v>
      </c>
      <c r="C1177" s="3" t="e">
        <f>INDEX(PEDIDOS!$A:$D,MATCH(FORNECEDOR!A1177,PEDIDOS!$A:$A,0),2)</f>
        <v>#N/A</v>
      </c>
      <c r="D1177" s="3" t="e">
        <f>INDEX(PEDIDOS!$A:$D,MATCH(FORNECEDOR!A1177,PEDIDOS!$A:$A,0),3)</f>
        <v>#N/A</v>
      </c>
      <c r="E1177" s="3" t="e">
        <f>INDEX(PEDIDOS!$A:$D,MATCH(FORNECEDOR!A1177,PEDIDOS!$A:$A,0),4)</f>
        <v>#N/A</v>
      </c>
    </row>
    <row r="1178" spans="1:5" hidden="1" x14ac:dyDescent="0.25">
      <c r="A1178" s="1" t="s">
        <v>1177</v>
      </c>
      <c r="B1178" s="3">
        <f>COUNTIF(PEDIDOS!$A:$A,FORNECEDOR!A1178)</f>
        <v>0</v>
      </c>
      <c r="C1178" s="3" t="e">
        <f>INDEX(PEDIDOS!$A:$D,MATCH(FORNECEDOR!A1178,PEDIDOS!$A:$A,0),2)</f>
        <v>#N/A</v>
      </c>
      <c r="D1178" s="3" t="e">
        <f>INDEX(PEDIDOS!$A:$D,MATCH(FORNECEDOR!A1178,PEDIDOS!$A:$A,0),3)</f>
        <v>#N/A</v>
      </c>
      <c r="E1178" s="3" t="e">
        <f>INDEX(PEDIDOS!$A:$D,MATCH(FORNECEDOR!A1178,PEDIDOS!$A:$A,0),4)</f>
        <v>#N/A</v>
      </c>
    </row>
    <row r="1179" spans="1:5" x14ac:dyDescent="0.25">
      <c r="A1179" s="1" t="s">
        <v>1178</v>
      </c>
      <c r="B1179" s="3">
        <f>COUNTIF(PEDIDOS!$A:$A,FORNECEDOR!A1179)</f>
        <v>2</v>
      </c>
      <c r="C1179" s="3" t="str">
        <f>INDEX(PEDIDOS!$A:$D,MATCH(FORNECEDOR!A1179,PEDIDOS!$A:$A,0),2)</f>
        <v>CD REGIS</v>
      </c>
      <c r="D1179" s="3" t="str">
        <f>INDEX(PEDIDOS!$A:$D,MATCH(FORNECEDOR!A1179,PEDIDOS!$A:$A,0),3)</f>
        <v>MATRIZ</v>
      </c>
      <c r="E1179" s="3" t="str">
        <f>INDEX(PEDIDOS!$A:$D,MATCH(FORNECEDOR!A1179,PEDIDOS!$A:$A,0),4)</f>
        <v>CD REGIS</v>
      </c>
    </row>
    <row r="1180" spans="1:5" hidden="1" x14ac:dyDescent="0.25">
      <c r="A1180" s="1" t="s">
        <v>1179</v>
      </c>
      <c r="B1180" s="3">
        <f>COUNTIF(PEDIDOS!$A:$A,FORNECEDOR!A1180)</f>
        <v>0</v>
      </c>
      <c r="C1180" s="3" t="e">
        <f>INDEX(PEDIDOS!$A:$D,MATCH(FORNECEDOR!A1180,PEDIDOS!$A:$A,0),2)</f>
        <v>#N/A</v>
      </c>
      <c r="D1180" s="3" t="e">
        <f>INDEX(PEDIDOS!$A:$D,MATCH(FORNECEDOR!A1180,PEDIDOS!$A:$A,0),3)</f>
        <v>#N/A</v>
      </c>
      <c r="E1180" s="3" t="e">
        <f>INDEX(PEDIDOS!$A:$D,MATCH(FORNECEDOR!A1180,PEDIDOS!$A:$A,0),4)</f>
        <v>#N/A</v>
      </c>
    </row>
    <row r="1181" spans="1:5" hidden="1" x14ac:dyDescent="0.25">
      <c r="A1181" s="1" t="s">
        <v>1180</v>
      </c>
      <c r="B1181" s="3">
        <f>COUNTIF(PEDIDOS!$A:$A,FORNECEDOR!A1181)</f>
        <v>0</v>
      </c>
      <c r="C1181" s="3" t="e">
        <f>INDEX(PEDIDOS!$A:$D,MATCH(FORNECEDOR!A1181,PEDIDOS!$A:$A,0),2)</f>
        <v>#N/A</v>
      </c>
      <c r="D1181" s="3" t="e">
        <f>INDEX(PEDIDOS!$A:$D,MATCH(FORNECEDOR!A1181,PEDIDOS!$A:$A,0),3)</f>
        <v>#N/A</v>
      </c>
      <c r="E1181" s="3" t="e">
        <f>INDEX(PEDIDOS!$A:$D,MATCH(FORNECEDOR!A1181,PEDIDOS!$A:$A,0),4)</f>
        <v>#N/A</v>
      </c>
    </row>
    <row r="1182" spans="1:5" hidden="1" x14ac:dyDescent="0.25">
      <c r="A1182" s="1" t="s">
        <v>1181</v>
      </c>
      <c r="B1182" s="3">
        <f>COUNTIF(PEDIDOS!$A:$A,FORNECEDOR!A1182)</f>
        <v>0</v>
      </c>
      <c r="C1182" s="3" t="e">
        <f>INDEX(PEDIDOS!$A:$D,MATCH(FORNECEDOR!A1182,PEDIDOS!$A:$A,0),2)</f>
        <v>#N/A</v>
      </c>
      <c r="D1182" s="3" t="e">
        <f>INDEX(PEDIDOS!$A:$D,MATCH(FORNECEDOR!A1182,PEDIDOS!$A:$A,0),3)</f>
        <v>#N/A</v>
      </c>
      <c r="E1182" s="3" t="e">
        <f>INDEX(PEDIDOS!$A:$D,MATCH(FORNECEDOR!A1182,PEDIDOS!$A:$A,0),4)</f>
        <v>#N/A</v>
      </c>
    </row>
    <row r="1183" spans="1:5" hidden="1" x14ac:dyDescent="0.25">
      <c r="A1183" s="1" t="s">
        <v>1182</v>
      </c>
      <c r="B1183" s="3">
        <f>COUNTIF(PEDIDOS!$A:$A,FORNECEDOR!A1183)</f>
        <v>0</v>
      </c>
      <c r="C1183" s="3" t="e">
        <f>INDEX(PEDIDOS!$A:$D,MATCH(FORNECEDOR!A1183,PEDIDOS!$A:$A,0),2)</f>
        <v>#N/A</v>
      </c>
      <c r="D1183" s="3" t="e">
        <f>INDEX(PEDIDOS!$A:$D,MATCH(FORNECEDOR!A1183,PEDIDOS!$A:$A,0),3)</f>
        <v>#N/A</v>
      </c>
      <c r="E1183" s="3" t="e">
        <f>INDEX(PEDIDOS!$A:$D,MATCH(FORNECEDOR!A1183,PEDIDOS!$A:$A,0),4)</f>
        <v>#N/A</v>
      </c>
    </row>
    <row r="1184" spans="1:5" hidden="1" x14ac:dyDescent="0.25">
      <c r="A1184" s="1" t="s">
        <v>1183</v>
      </c>
      <c r="B1184" s="3">
        <f>COUNTIF(PEDIDOS!$A:$A,FORNECEDOR!A1184)</f>
        <v>0</v>
      </c>
      <c r="C1184" s="3" t="e">
        <f>INDEX(PEDIDOS!$A:$D,MATCH(FORNECEDOR!A1184,PEDIDOS!$A:$A,0),2)</f>
        <v>#N/A</v>
      </c>
      <c r="D1184" s="3" t="e">
        <f>INDEX(PEDIDOS!$A:$D,MATCH(FORNECEDOR!A1184,PEDIDOS!$A:$A,0),3)</f>
        <v>#N/A</v>
      </c>
      <c r="E1184" s="3" t="e">
        <f>INDEX(PEDIDOS!$A:$D,MATCH(FORNECEDOR!A1184,PEDIDOS!$A:$A,0),4)</f>
        <v>#N/A</v>
      </c>
    </row>
    <row r="1185" spans="1:5" hidden="1" x14ac:dyDescent="0.25">
      <c r="A1185" s="1" t="s">
        <v>1184</v>
      </c>
      <c r="B1185" s="3">
        <f>COUNTIF(PEDIDOS!$A:$A,FORNECEDOR!A1185)</f>
        <v>0</v>
      </c>
      <c r="C1185" s="3" t="e">
        <f>INDEX(PEDIDOS!$A:$D,MATCH(FORNECEDOR!A1185,PEDIDOS!$A:$A,0),2)</f>
        <v>#N/A</v>
      </c>
      <c r="D1185" s="3" t="e">
        <f>INDEX(PEDIDOS!$A:$D,MATCH(FORNECEDOR!A1185,PEDIDOS!$A:$A,0),3)</f>
        <v>#N/A</v>
      </c>
      <c r="E1185" s="3" t="e">
        <f>INDEX(PEDIDOS!$A:$D,MATCH(FORNECEDOR!A1185,PEDIDOS!$A:$A,0),4)</f>
        <v>#N/A</v>
      </c>
    </row>
    <row r="1186" spans="1:5" hidden="1" x14ac:dyDescent="0.25">
      <c r="A1186" s="1" t="s">
        <v>1185</v>
      </c>
      <c r="B1186" s="3">
        <f>COUNTIF(PEDIDOS!$A:$A,FORNECEDOR!A1186)</f>
        <v>0</v>
      </c>
      <c r="C1186" s="3" t="e">
        <f>INDEX(PEDIDOS!$A:$D,MATCH(FORNECEDOR!A1186,PEDIDOS!$A:$A,0),2)</f>
        <v>#N/A</v>
      </c>
      <c r="D1186" s="3" t="e">
        <f>INDEX(PEDIDOS!$A:$D,MATCH(FORNECEDOR!A1186,PEDIDOS!$A:$A,0),3)</f>
        <v>#N/A</v>
      </c>
      <c r="E1186" s="3" t="e">
        <f>INDEX(PEDIDOS!$A:$D,MATCH(FORNECEDOR!A1186,PEDIDOS!$A:$A,0),4)</f>
        <v>#N/A</v>
      </c>
    </row>
    <row r="1187" spans="1:5" x14ac:dyDescent="0.25">
      <c r="A1187" s="1" t="s">
        <v>1186</v>
      </c>
      <c r="B1187" s="3">
        <f>COUNTIF(PEDIDOS!$A:$A,FORNECEDOR!A1187)</f>
        <v>1</v>
      </c>
      <c r="C1187" s="3" t="str">
        <f>INDEX(PEDIDOS!$A:$D,MATCH(FORNECEDOR!A1187,PEDIDOS!$A:$A,0),2)</f>
        <v>CD REGIS</v>
      </c>
      <c r="D1187" s="3" t="str">
        <f>INDEX(PEDIDOS!$A:$D,MATCH(FORNECEDOR!A1187,PEDIDOS!$A:$A,0),3)</f>
        <v>CD REGIS</v>
      </c>
      <c r="E1187" s="3" t="str">
        <f>INDEX(PEDIDOS!$A:$D,MATCH(FORNECEDOR!A1187,PEDIDOS!$A:$A,0),4)</f>
        <v>CD REGIS</v>
      </c>
    </row>
    <row r="1188" spans="1:5" hidden="1" x14ac:dyDescent="0.25">
      <c r="A1188" s="1" t="s">
        <v>1187</v>
      </c>
      <c r="B1188" s="3">
        <f>COUNTIF(PEDIDOS!$A:$A,FORNECEDOR!A1188)</f>
        <v>0</v>
      </c>
      <c r="C1188" s="3" t="e">
        <f>INDEX(PEDIDOS!$A:$D,MATCH(FORNECEDOR!A1188,PEDIDOS!$A:$A,0),2)</f>
        <v>#N/A</v>
      </c>
      <c r="D1188" s="3" t="e">
        <f>INDEX(PEDIDOS!$A:$D,MATCH(FORNECEDOR!A1188,PEDIDOS!$A:$A,0),3)</f>
        <v>#N/A</v>
      </c>
      <c r="E1188" s="3" t="e">
        <f>INDEX(PEDIDOS!$A:$D,MATCH(FORNECEDOR!A1188,PEDIDOS!$A:$A,0),4)</f>
        <v>#N/A</v>
      </c>
    </row>
    <row r="1189" spans="1:5" hidden="1" x14ac:dyDescent="0.25">
      <c r="A1189" s="1" t="s">
        <v>1188</v>
      </c>
      <c r="B1189" s="3">
        <f>COUNTIF(PEDIDOS!$A:$A,FORNECEDOR!A1189)</f>
        <v>0</v>
      </c>
      <c r="C1189" s="3" t="e">
        <f>INDEX(PEDIDOS!$A:$D,MATCH(FORNECEDOR!A1189,PEDIDOS!$A:$A,0),2)</f>
        <v>#N/A</v>
      </c>
      <c r="D1189" s="3" t="e">
        <f>INDEX(PEDIDOS!$A:$D,MATCH(FORNECEDOR!A1189,PEDIDOS!$A:$A,0),3)</f>
        <v>#N/A</v>
      </c>
      <c r="E1189" s="3" t="e">
        <f>INDEX(PEDIDOS!$A:$D,MATCH(FORNECEDOR!A1189,PEDIDOS!$A:$A,0),4)</f>
        <v>#N/A</v>
      </c>
    </row>
    <row r="1190" spans="1:5" x14ac:dyDescent="0.25">
      <c r="A1190" s="1" t="s">
        <v>1189</v>
      </c>
      <c r="B1190" s="3">
        <f>COUNTIF(PEDIDOS!$A:$A,FORNECEDOR!A1190)</f>
        <v>1</v>
      </c>
      <c r="C1190" s="3" t="str">
        <f>INDEX(PEDIDOS!$A:$D,MATCH(FORNECEDOR!A1190,PEDIDOS!$A:$A,0),2)</f>
        <v>CD REGIS</v>
      </c>
      <c r="D1190" s="3" t="str">
        <f>INDEX(PEDIDOS!$A:$D,MATCH(FORNECEDOR!A1190,PEDIDOS!$A:$A,0),3)</f>
        <v>TATUAPE</v>
      </c>
      <c r="E1190" s="3" t="str">
        <f>INDEX(PEDIDOS!$A:$D,MATCH(FORNECEDOR!A1190,PEDIDOS!$A:$A,0),4)</f>
        <v>CD REGIS</v>
      </c>
    </row>
    <row r="1191" spans="1:5" hidden="1" x14ac:dyDescent="0.25">
      <c r="A1191" s="1" t="s">
        <v>1190</v>
      </c>
      <c r="B1191" s="3">
        <f>COUNTIF(PEDIDOS!$A:$A,FORNECEDOR!A1191)</f>
        <v>0</v>
      </c>
      <c r="C1191" s="3" t="e">
        <f>INDEX(PEDIDOS!$A:$D,MATCH(FORNECEDOR!A1191,PEDIDOS!$A:$A,0),2)</f>
        <v>#N/A</v>
      </c>
      <c r="D1191" s="3" t="e">
        <f>INDEX(PEDIDOS!$A:$D,MATCH(FORNECEDOR!A1191,PEDIDOS!$A:$A,0),3)</f>
        <v>#N/A</v>
      </c>
      <c r="E1191" s="3" t="e">
        <f>INDEX(PEDIDOS!$A:$D,MATCH(FORNECEDOR!A1191,PEDIDOS!$A:$A,0),4)</f>
        <v>#N/A</v>
      </c>
    </row>
    <row r="1192" spans="1:5" hidden="1" x14ac:dyDescent="0.25">
      <c r="A1192" s="1" t="s">
        <v>1191</v>
      </c>
      <c r="B1192" s="3">
        <f>COUNTIF(PEDIDOS!$A:$A,FORNECEDOR!A1192)</f>
        <v>0</v>
      </c>
      <c r="C1192" s="3" t="e">
        <f>INDEX(PEDIDOS!$A:$D,MATCH(FORNECEDOR!A1192,PEDIDOS!$A:$A,0),2)</f>
        <v>#N/A</v>
      </c>
      <c r="D1192" s="3" t="e">
        <f>INDEX(PEDIDOS!$A:$D,MATCH(FORNECEDOR!A1192,PEDIDOS!$A:$A,0),3)</f>
        <v>#N/A</v>
      </c>
      <c r="E1192" s="3" t="e">
        <f>INDEX(PEDIDOS!$A:$D,MATCH(FORNECEDOR!A1192,PEDIDOS!$A:$A,0),4)</f>
        <v>#N/A</v>
      </c>
    </row>
    <row r="1193" spans="1:5" hidden="1" x14ac:dyDescent="0.25">
      <c r="A1193" s="1" t="s">
        <v>1192</v>
      </c>
      <c r="B1193" s="3">
        <f>COUNTIF(PEDIDOS!$A:$A,FORNECEDOR!A1193)</f>
        <v>0</v>
      </c>
      <c r="C1193" s="3" t="e">
        <f>INDEX(PEDIDOS!$A:$D,MATCH(FORNECEDOR!A1193,PEDIDOS!$A:$A,0),2)</f>
        <v>#N/A</v>
      </c>
      <c r="D1193" s="3" t="e">
        <f>INDEX(PEDIDOS!$A:$D,MATCH(FORNECEDOR!A1193,PEDIDOS!$A:$A,0),3)</f>
        <v>#N/A</v>
      </c>
      <c r="E1193" s="3" t="e">
        <f>INDEX(PEDIDOS!$A:$D,MATCH(FORNECEDOR!A1193,PEDIDOS!$A:$A,0),4)</f>
        <v>#N/A</v>
      </c>
    </row>
    <row r="1194" spans="1:5" hidden="1" x14ac:dyDescent="0.25">
      <c r="A1194" s="1" t="s">
        <v>1193</v>
      </c>
      <c r="B1194" s="3">
        <f>COUNTIF(PEDIDOS!$A:$A,FORNECEDOR!A1194)</f>
        <v>0</v>
      </c>
      <c r="C1194" s="3" t="e">
        <f>INDEX(PEDIDOS!$A:$D,MATCH(FORNECEDOR!A1194,PEDIDOS!$A:$A,0),2)</f>
        <v>#N/A</v>
      </c>
      <c r="D1194" s="3" t="e">
        <f>INDEX(PEDIDOS!$A:$D,MATCH(FORNECEDOR!A1194,PEDIDOS!$A:$A,0),3)</f>
        <v>#N/A</v>
      </c>
      <c r="E1194" s="3" t="e">
        <f>INDEX(PEDIDOS!$A:$D,MATCH(FORNECEDOR!A1194,PEDIDOS!$A:$A,0),4)</f>
        <v>#N/A</v>
      </c>
    </row>
    <row r="1195" spans="1:5" x14ac:dyDescent="0.25">
      <c r="A1195" s="1" t="s">
        <v>1194</v>
      </c>
      <c r="B1195" s="3">
        <f>COUNTIF(PEDIDOS!$A:$A,FORNECEDOR!A1195)</f>
        <v>8</v>
      </c>
      <c r="C1195" s="3" t="str">
        <f>INDEX(PEDIDOS!$A:$D,MATCH(FORNECEDOR!A1195,PEDIDOS!$A:$A,0),2)</f>
        <v>CIDADE OCIAN</v>
      </c>
      <c r="D1195" s="3" t="str">
        <f>INDEX(PEDIDOS!$A:$D,MATCH(FORNECEDOR!A1195,PEDIDOS!$A:$A,0),3)</f>
        <v>CIDADE OCIAN</v>
      </c>
      <c r="E1195" s="3" t="str">
        <f>INDEX(PEDIDOS!$A:$D,MATCH(FORNECEDOR!A1195,PEDIDOS!$A:$A,0),4)</f>
        <v>CIDADE OCIAN</v>
      </c>
    </row>
    <row r="1196" spans="1:5" x14ac:dyDescent="0.25">
      <c r="A1196" s="1" t="s">
        <v>1195</v>
      </c>
      <c r="B1196" s="3">
        <f>COUNTIF(PEDIDOS!$A:$A,FORNECEDOR!A1196)</f>
        <v>2</v>
      </c>
      <c r="C1196" s="3" t="str">
        <f>INDEX(PEDIDOS!$A:$D,MATCH(FORNECEDOR!A1196,PEDIDOS!$A:$A,0),2)</f>
        <v>CD NAVEGANTES</v>
      </c>
      <c r="D1196" s="3" t="str">
        <f>INDEX(PEDIDOS!$A:$D,MATCH(FORNECEDOR!A1196,PEDIDOS!$A:$A,0),3)</f>
        <v>MATRIZ</v>
      </c>
      <c r="E1196" s="3" t="str">
        <f>INDEX(PEDIDOS!$A:$D,MATCH(FORNECEDOR!A1196,PEDIDOS!$A:$A,0),4)</f>
        <v>CD NAVEGANTES</v>
      </c>
    </row>
    <row r="1197" spans="1:5" hidden="1" x14ac:dyDescent="0.25">
      <c r="A1197" s="1" t="s">
        <v>1196</v>
      </c>
      <c r="B1197" s="3">
        <f>COUNTIF(PEDIDOS!$A:$A,FORNECEDOR!A1197)</f>
        <v>0</v>
      </c>
      <c r="C1197" s="3" t="e">
        <f>INDEX(PEDIDOS!$A:$D,MATCH(FORNECEDOR!A1197,PEDIDOS!$A:$A,0),2)</f>
        <v>#N/A</v>
      </c>
      <c r="D1197" s="3" t="e">
        <f>INDEX(PEDIDOS!$A:$D,MATCH(FORNECEDOR!A1197,PEDIDOS!$A:$A,0),3)</f>
        <v>#N/A</v>
      </c>
      <c r="E1197" s="3" t="e">
        <f>INDEX(PEDIDOS!$A:$D,MATCH(FORNECEDOR!A1197,PEDIDOS!$A:$A,0),4)</f>
        <v>#N/A</v>
      </c>
    </row>
    <row r="1198" spans="1:5" hidden="1" x14ac:dyDescent="0.25">
      <c r="A1198" s="1" t="s">
        <v>1197</v>
      </c>
      <c r="B1198" s="3">
        <f>COUNTIF(PEDIDOS!$A:$A,FORNECEDOR!A1198)</f>
        <v>0</v>
      </c>
      <c r="C1198" s="3" t="e">
        <f>INDEX(PEDIDOS!$A:$D,MATCH(FORNECEDOR!A1198,PEDIDOS!$A:$A,0),2)</f>
        <v>#N/A</v>
      </c>
      <c r="D1198" s="3" t="e">
        <f>INDEX(PEDIDOS!$A:$D,MATCH(FORNECEDOR!A1198,PEDIDOS!$A:$A,0),3)</f>
        <v>#N/A</v>
      </c>
      <c r="E1198" s="3" t="e">
        <f>INDEX(PEDIDOS!$A:$D,MATCH(FORNECEDOR!A1198,PEDIDOS!$A:$A,0),4)</f>
        <v>#N/A</v>
      </c>
    </row>
    <row r="1199" spans="1:5" x14ac:dyDescent="0.25">
      <c r="A1199" s="1" t="s">
        <v>1198</v>
      </c>
      <c r="B1199" s="3">
        <f>COUNTIF(PEDIDOS!$A:$A,FORNECEDOR!A1199)</f>
        <v>1</v>
      </c>
      <c r="C1199" s="3" t="str">
        <f>INDEX(PEDIDOS!$A:$D,MATCH(FORNECEDOR!A1199,PEDIDOS!$A:$A,0),2)</f>
        <v>FRANCO DA ROCHA</v>
      </c>
      <c r="D1199" s="3" t="str">
        <f>INDEX(PEDIDOS!$A:$D,MATCH(FORNECEDOR!A1199,PEDIDOS!$A:$A,0),3)</f>
        <v>FRANCO DA ROCHA</v>
      </c>
      <c r="E1199" s="3" t="str">
        <f>INDEX(PEDIDOS!$A:$D,MATCH(FORNECEDOR!A1199,PEDIDOS!$A:$A,0),4)</f>
        <v>FRANCO DA ROCHA</v>
      </c>
    </row>
    <row r="1200" spans="1:5" hidden="1" x14ac:dyDescent="0.25">
      <c r="A1200" s="1" t="s">
        <v>1199</v>
      </c>
      <c r="B1200" s="3">
        <f>COUNTIF(PEDIDOS!$A:$A,FORNECEDOR!A1200)</f>
        <v>0</v>
      </c>
      <c r="C1200" s="3" t="e">
        <f>INDEX(PEDIDOS!$A:$D,MATCH(FORNECEDOR!A1200,PEDIDOS!$A:$A,0),2)</f>
        <v>#N/A</v>
      </c>
      <c r="D1200" s="3" t="e">
        <f>INDEX(PEDIDOS!$A:$D,MATCH(FORNECEDOR!A1200,PEDIDOS!$A:$A,0),3)</f>
        <v>#N/A</v>
      </c>
      <c r="E1200" s="3" t="e">
        <f>INDEX(PEDIDOS!$A:$D,MATCH(FORNECEDOR!A1200,PEDIDOS!$A:$A,0),4)</f>
        <v>#N/A</v>
      </c>
    </row>
    <row r="1201" spans="1:5" hidden="1" x14ac:dyDescent="0.25">
      <c r="A1201" s="1" t="s">
        <v>1200</v>
      </c>
      <c r="B1201" s="3">
        <f>COUNTIF(PEDIDOS!$A:$A,FORNECEDOR!A1201)</f>
        <v>0</v>
      </c>
      <c r="C1201" s="3" t="e">
        <f>INDEX(PEDIDOS!$A:$D,MATCH(FORNECEDOR!A1201,PEDIDOS!$A:$A,0),2)</f>
        <v>#N/A</v>
      </c>
      <c r="D1201" s="3" t="e">
        <f>INDEX(PEDIDOS!$A:$D,MATCH(FORNECEDOR!A1201,PEDIDOS!$A:$A,0),3)</f>
        <v>#N/A</v>
      </c>
      <c r="E1201" s="3" t="e">
        <f>INDEX(PEDIDOS!$A:$D,MATCH(FORNECEDOR!A1201,PEDIDOS!$A:$A,0),4)</f>
        <v>#N/A</v>
      </c>
    </row>
    <row r="1202" spans="1:5" hidden="1" x14ac:dyDescent="0.25">
      <c r="A1202" s="1" t="s">
        <v>1201</v>
      </c>
      <c r="B1202" s="3">
        <f>COUNTIF(PEDIDOS!$A:$A,FORNECEDOR!A1202)</f>
        <v>0</v>
      </c>
      <c r="C1202" s="3" t="e">
        <f>INDEX(PEDIDOS!$A:$D,MATCH(FORNECEDOR!A1202,PEDIDOS!$A:$A,0),2)</f>
        <v>#N/A</v>
      </c>
      <c r="D1202" s="3" t="e">
        <f>INDEX(PEDIDOS!$A:$D,MATCH(FORNECEDOR!A1202,PEDIDOS!$A:$A,0),3)</f>
        <v>#N/A</v>
      </c>
      <c r="E1202" s="3" t="e">
        <f>INDEX(PEDIDOS!$A:$D,MATCH(FORNECEDOR!A1202,PEDIDOS!$A:$A,0),4)</f>
        <v>#N/A</v>
      </c>
    </row>
    <row r="1203" spans="1:5" hidden="1" x14ac:dyDescent="0.25">
      <c r="A1203" s="1" t="s">
        <v>1202</v>
      </c>
      <c r="B1203" s="3">
        <f>COUNTIF(PEDIDOS!$A:$A,FORNECEDOR!A1203)</f>
        <v>0</v>
      </c>
      <c r="C1203" s="3" t="e">
        <f>INDEX(PEDIDOS!$A:$D,MATCH(FORNECEDOR!A1203,PEDIDOS!$A:$A,0),2)</f>
        <v>#N/A</v>
      </c>
      <c r="D1203" s="3" t="e">
        <f>INDEX(PEDIDOS!$A:$D,MATCH(FORNECEDOR!A1203,PEDIDOS!$A:$A,0),3)</f>
        <v>#N/A</v>
      </c>
      <c r="E1203" s="3" t="e">
        <f>INDEX(PEDIDOS!$A:$D,MATCH(FORNECEDOR!A1203,PEDIDOS!$A:$A,0),4)</f>
        <v>#N/A</v>
      </c>
    </row>
    <row r="1204" spans="1:5" x14ac:dyDescent="0.25">
      <c r="A1204" s="1" t="s">
        <v>1203</v>
      </c>
      <c r="B1204" s="3">
        <f>COUNTIF(PEDIDOS!$A:$A,FORNECEDOR!A1204)</f>
        <v>4</v>
      </c>
      <c r="C1204" s="3" t="str">
        <f>INDEX(PEDIDOS!$A:$D,MATCH(FORNECEDOR!A1204,PEDIDOS!$A:$A,0),2)</f>
        <v>CD ARAQUARI</v>
      </c>
      <c r="D1204" s="3" t="str">
        <f>INDEX(PEDIDOS!$A:$D,MATCH(FORNECEDOR!A1204,PEDIDOS!$A:$A,0),3)</f>
        <v>MATRIZ</v>
      </c>
      <c r="E1204" s="3" t="str">
        <f>INDEX(PEDIDOS!$A:$D,MATCH(FORNECEDOR!A1204,PEDIDOS!$A:$A,0),4)</f>
        <v>CD ARAQUARI</v>
      </c>
    </row>
    <row r="1205" spans="1:5" hidden="1" x14ac:dyDescent="0.25">
      <c r="A1205" s="1" t="s">
        <v>1204</v>
      </c>
      <c r="B1205" s="3">
        <f>COUNTIF(PEDIDOS!$A:$A,FORNECEDOR!A1205)</f>
        <v>0</v>
      </c>
      <c r="C1205" s="3" t="e">
        <f>INDEX(PEDIDOS!$A:$D,MATCH(FORNECEDOR!A1205,PEDIDOS!$A:$A,0),2)</f>
        <v>#N/A</v>
      </c>
      <c r="D1205" s="3" t="e">
        <f>INDEX(PEDIDOS!$A:$D,MATCH(FORNECEDOR!A1205,PEDIDOS!$A:$A,0),3)</f>
        <v>#N/A</v>
      </c>
      <c r="E1205" s="3" t="e">
        <f>INDEX(PEDIDOS!$A:$D,MATCH(FORNECEDOR!A1205,PEDIDOS!$A:$A,0),4)</f>
        <v>#N/A</v>
      </c>
    </row>
    <row r="1206" spans="1:5" hidden="1" x14ac:dyDescent="0.25">
      <c r="A1206" s="1" t="s">
        <v>1205</v>
      </c>
      <c r="B1206" s="3">
        <f>COUNTIF(PEDIDOS!$A:$A,FORNECEDOR!A1206)</f>
        <v>0</v>
      </c>
      <c r="C1206" s="3" t="e">
        <f>INDEX(PEDIDOS!$A:$D,MATCH(FORNECEDOR!A1206,PEDIDOS!$A:$A,0),2)</f>
        <v>#N/A</v>
      </c>
      <c r="D1206" s="3" t="e">
        <f>INDEX(PEDIDOS!$A:$D,MATCH(FORNECEDOR!A1206,PEDIDOS!$A:$A,0),3)</f>
        <v>#N/A</v>
      </c>
      <c r="E1206" s="3" t="e">
        <f>INDEX(PEDIDOS!$A:$D,MATCH(FORNECEDOR!A1206,PEDIDOS!$A:$A,0),4)</f>
        <v>#N/A</v>
      </c>
    </row>
    <row r="1207" spans="1:5" hidden="1" x14ac:dyDescent="0.25">
      <c r="A1207" s="1" t="s">
        <v>1206</v>
      </c>
      <c r="B1207" s="3">
        <f>COUNTIF(PEDIDOS!$A:$A,FORNECEDOR!A1207)</f>
        <v>0</v>
      </c>
      <c r="C1207" s="3" t="e">
        <f>INDEX(PEDIDOS!$A:$D,MATCH(FORNECEDOR!A1207,PEDIDOS!$A:$A,0),2)</f>
        <v>#N/A</v>
      </c>
      <c r="D1207" s="3" t="e">
        <f>INDEX(PEDIDOS!$A:$D,MATCH(FORNECEDOR!A1207,PEDIDOS!$A:$A,0),3)</f>
        <v>#N/A</v>
      </c>
      <c r="E1207" s="3" t="e">
        <f>INDEX(PEDIDOS!$A:$D,MATCH(FORNECEDOR!A1207,PEDIDOS!$A:$A,0),4)</f>
        <v>#N/A</v>
      </c>
    </row>
    <row r="1208" spans="1:5" hidden="1" x14ac:dyDescent="0.25">
      <c r="A1208" s="1" t="s">
        <v>1207</v>
      </c>
      <c r="B1208" s="3">
        <f>COUNTIF(PEDIDOS!$A:$A,FORNECEDOR!A1208)</f>
        <v>0</v>
      </c>
      <c r="C1208" s="3" t="e">
        <f>INDEX(PEDIDOS!$A:$D,MATCH(FORNECEDOR!A1208,PEDIDOS!$A:$A,0),2)</f>
        <v>#N/A</v>
      </c>
      <c r="D1208" s="3" t="e">
        <f>INDEX(PEDIDOS!$A:$D,MATCH(FORNECEDOR!A1208,PEDIDOS!$A:$A,0),3)</f>
        <v>#N/A</v>
      </c>
      <c r="E1208" s="3" t="e">
        <f>INDEX(PEDIDOS!$A:$D,MATCH(FORNECEDOR!A1208,PEDIDOS!$A:$A,0),4)</f>
        <v>#N/A</v>
      </c>
    </row>
    <row r="1209" spans="1:5" hidden="1" x14ac:dyDescent="0.25">
      <c r="A1209" s="1" t="s">
        <v>1208</v>
      </c>
      <c r="B1209" s="3">
        <f>COUNTIF(PEDIDOS!$A:$A,FORNECEDOR!A1209)</f>
        <v>0</v>
      </c>
      <c r="C1209" s="3" t="e">
        <f>INDEX(PEDIDOS!$A:$D,MATCH(FORNECEDOR!A1209,PEDIDOS!$A:$A,0),2)</f>
        <v>#N/A</v>
      </c>
      <c r="D1209" s="3" t="e">
        <f>INDEX(PEDIDOS!$A:$D,MATCH(FORNECEDOR!A1209,PEDIDOS!$A:$A,0),3)</f>
        <v>#N/A</v>
      </c>
      <c r="E1209" s="3" t="e">
        <f>INDEX(PEDIDOS!$A:$D,MATCH(FORNECEDOR!A1209,PEDIDOS!$A:$A,0),4)</f>
        <v>#N/A</v>
      </c>
    </row>
    <row r="1210" spans="1:5" hidden="1" x14ac:dyDescent="0.25">
      <c r="A1210" s="1" t="s">
        <v>1209</v>
      </c>
      <c r="B1210" s="3">
        <f>COUNTIF(PEDIDOS!$A:$A,FORNECEDOR!A1210)</f>
        <v>0</v>
      </c>
      <c r="C1210" s="3" t="e">
        <f>INDEX(PEDIDOS!$A:$D,MATCH(FORNECEDOR!A1210,PEDIDOS!$A:$A,0),2)</f>
        <v>#N/A</v>
      </c>
      <c r="D1210" s="3" t="e">
        <f>INDEX(PEDIDOS!$A:$D,MATCH(FORNECEDOR!A1210,PEDIDOS!$A:$A,0),3)</f>
        <v>#N/A</v>
      </c>
      <c r="E1210" s="3" t="e">
        <f>INDEX(PEDIDOS!$A:$D,MATCH(FORNECEDOR!A1210,PEDIDOS!$A:$A,0),4)</f>
        <v>#N/A</v>
      </c>
    </row>
    <row r="1211" spans="1:5" hidden="1" x14ac:dyDescent="0.25">
      <c r="A1211" s="1" t="s">
        <v>1210</v>
      </c>
      <c r="B1211" s="3">
        <f>COUNTIF(PEDIDOS!$A:$A,FORNECEDOR!A1211)</f>
        <v>0</v>
      </c>
      <c r="C1211" s="3" t="e">
        <f>INDEX(PEDIDOS!$A:$D,MATCH(FORNECEDOR!A1211,PEDIDOS!$A:$A,0),2)</f>
        <v>#N/A</v>
      </c>
      <c r="D1211" s="3" t="e">
        <f>INDEX(PEDIDOS!$A:$D,MATCH(FORNECEDOR!A1211,PEDIDOS!$A:$A,0),3)</f>
        <v>#N/A</v>
      </c>
      <c r="E1211" s="3" t="e">
        <f>INDEX(PEDIDOS!$A:$D,MATCH(FORNECEDOR!A1211,PEDIDOS!$A:$A,0),4)</f>
        <v>#N/A</v>
      </c>
    </row>
    <row r="1212" spans="1:5" hidden="1" x14ac:dyDescent="0.25">
      <c r="A1212" s="1" t="s">
        <v>1211</v>
      </c>
      <c r="B1212" s="3">
        <f>COUNTIF(PEDIDOS!$A:$A,FORNECEDOR!A1212)</f>
        <v>0</v>
      </c>
      <c r="C1212" s="3" t="e">
        <f>INDEX(PEDIDOS!$A:$D,MATCH(FORNECEDOR!A1212,PEDIDOS!$A:$A,0),2)</f>
        <v>#N/A</v>
      </c>
      <c r="D1212" s="3" t="e">
        <f>INDEX(PEDIDOS!$A:$D,MATCH(FORNECEDOR!A1212,PEDIDOS!$A:$A,0),3)</f>
        <v>#N/A</v>
      </c>
      <c r="E1212" s="3" t="e">
        <f>INDEX(PEDIDOS!$A:$D,MATCH(FORNECEDOR!A1212,PEDIDOS!$A:$A,0),4)</f>
        <v>#N/A</v>
      </c>
    </row>
    <row r="1213" spans="1:5" hidden="1" x14ac:dyDescent="0.25">
      <c r="A1213" s="1" t="s">
        <v>1212</v>
      </c>
      <c r="B1213" s="3">
        <f>COUNTIF(PEDIDOS!$A:$A,FORNECEDOR!A1213)</f>
        <v>0</v>
      </c>
      <c r="C1213" s="3" t="e">
        <f>INDEX(PEDIDOS!$A:$D,MATCH(FORNECEDOR!A1213,PEDIDOS!$A:$A,0),2)</f>
        <v>#N/A</v>
      </c>
      <c r="D1213" s="3" t="e">
        <f>INDEX(PEDIDOS!$A:$D,MATCH(FORNECEDOR!A1213,PEDIDOS!$A:$A,0),3)</f>
        <v>#N/A</v>
      </c>
      <c r="E1213" s="3" t="e">
        <f>INDEX(PEDIDOS!$A:$D,MATCH(FORNECEDOR!A1213,PEDIDOS!$A:$A,0),4)</f>
        <v>#N/A</v>
      </c>
    </row>
    <row r="1214" spans="1:5" hidden="1" x14ac:dyDescent="0.25">
      <c r="A1214" s="1" t="s">
        <v>1213</v>
      </c>
      <c r="B1214" s="3">
        <f>COUNTIF(PEDIDOS!$A:$A,FORNECEDOR!A1214)</f>
        <v>0</v>
      </c>
      <c r="C1214" s="3" t="e">
        <f>INDEX(PEDIDOS!$A:$D,MATCH(FORNECEDOR!A1214,PEDIDOS!$A:$A,0),2)</f>
        <v>#N/A</v>
      </c>
      <c r="D1214" s="3" t="e">
        <f>INDEX(PEDIDOS!$A:$D,MATCH(FORNECEDOR!A1214,PEDIDOS!$A:$A,0),3)</f>
        <v>#N/A</v>
      </c>
      <c r="E1214" s="3" t="e">
        <f>INDEX(PEDIDOS!$A:$D,MATCH(FORNECEDOR!A1214,PEDIDOS!$A:$A,0),4)</f>
        <v>#N/A</v>
      </c>
    </row>
    <row r="1215" spans="1:5" hidden="1" x14ac:dyDescent="0.25">
      <c r="A1215" s="1" t="s">
        <v>1214</v>
      </c>
      <c r="B1215" s="3">
        <f>COUNTIF(PEDIDOS!$A:$A,FORNECEDOR!A1215)</f>
        <v>0</v>
      </c>
      <c r="C1215" s="3" t="e">
        <f>INDEX(PEDIDOS!$A:$D,MATCH(FORNECEDOR!A1215,PEDIDOS!$A:$A,0),2)</f>
        <v>#N/A</v>
      </c>
      <c r="D1215" s="3" t="e">
        <f>INDEX(PEDIDOS!$A:$D,MATCH(FORNECEDOR!A1215,PEDIDOS!$A:$A,0),3)</f>
        <v>#N/A</v>
      </c>
      <c r="E1215" s="3" t="e">
        <f>INDEX(PEDIDOS!$A:$D,MATCH(FORNECEDOR!A1215,PEDIDOS!$A:$A,0),4)</f>
        <v>#N/A</v>
      </c>
    </row>
    <row r="1216" spans="1:5" hidden="1" x14ac:dyDescent="0.25">
      <c r="A1216" s="1" t="s">
        <v>1215</v>
      </c>
      <c r="B1216" s="3">
        <f>COUNTIF(PEDIDOS!$A:$A,FORNECEDOR!A1216)</f>
        <v>0</v>
      </c>
      <c r="C1216" s="3" t="e">
        <f>INDEX(PEDIDOS!$A:$D,MATCH(FORNECEDOR!A1216,PEDIDOS!$A:$A,0),2)</f>
        <v>#N/A</v>
      </c>
      <c r="D1216" s="3" t="e">
        <f>INDEX(PEDIDOS!$A:$D,MATCH(FORNECEDOR!A1216,PEDIDOS!$A:$A,0),3)</f>
        <v>#N/A</v>
      </c>
      <c r="E1216" s="3" t="e">
        <f>INDEX(PEDIDOS!$A:$D,MATCH(FORNECEDOR!A1216,PEDIDOS!$A:$A,0),4)</f>
        <v>#N/A</v>
      </c>
    </row>
    <row r="1217" spans="1:5" hidden="1" x14ac:dyDescent="0.25">
      <c r="A1217" s="1" t="s">
        <v>1216</v>
      </c>
      <c r="B1217" s="3">
        <f>COUNTIF(PEDIDOS!$A:$A,FORNECEDOR!A1217)</f>
        <v>0</v>
      </c>
      <c r="C1217" s="3" t="e">
        <f>INDEX(PEDIDOS!$A:$D,MATCH(FORNECEDOR!A1217,PEDIDOS!$A:$A,0),2)</f>
        <v>#N/A</v>
      </c>
      <c r="D1217" s="3" t="e">
        <f>INDEX(PEDIDOS!$A:$D,MATCH(FORNECEDOR!A1217,PEDIDOS!$A:$A,0),3)</f>
        <v>#N/A</v>
      </c>
      <c r="E1217" s="3" t="e">
        <f>INDEX(PEDIDOS!$A:$D,MATCH(FORNECEDOR!A1217,PEDIDOS!$A:$A,0),4)</f>
        <v>#N/A</v>
      </c>
    </row>
    <row r="1218" spans="1:5" hidden="1" x14ac:dyDescent="0.25">
      <c r="A1218" s="1" t="s">
        <v>1217</v>
      </c>
      <c r="B1218" s="3">
        <f>COUNTIF(PEDIDOS!$A:$A,FORNECEDOR!A1218)</f>
        <v>0</v>
      </c>
      <c r="C1218" s="3" t="e">
        <f>INDEX(PEDIDOS!$A:$D,MATCH(FORNECEDOR!A1218,PEDIDOS!$A:$A,0),2)</f>
        <v>#N/A</v>
      </c>
      <c r="D1218" s="3" t="e">
        <f>INDEX(PEDIDOS!$A:$D,MATCH(FORNECEDOR!A1218,PEDIDOS!$A:$A,0),3)</f>
        <v>#N/A</v>
      </c>
      <c r="E1218" s="3" t="e">
        <f>INDEX(PEDIDOS!$A:$D,MATCH(FORNECEDOR!A1218,PEDIDOS!$A:$A,0),4)</f>
        <v>#N/A</v>
      </c>
    </row>
    <row r="1219" spans="1:5" hidden="1" x14ac:dyDescent="0.25">
      <c r="A1219" s="1" t="s">
        <v>1218</v>
      </c>
      <c r="B1219" s="3">
        <f>COUNTIF(PEDIDOS!$A:$A,FORNECEDOR!A1219)</f>
        <v>0</v>
      </c>
      <c r="C1219" s="3" t="e">
        <f>INDEX(PEDIDOS!$A:$D,MATCH(FORNECEDOR!A1219,PEDIDOS!$A:$A,0),2)</f>
        <v>#N/A</v>
      </c>
      <c r="D1219" s="3" t="e">
        <f>INDEX(PEDIDOS!$A:$D,MATCH(FORNECEDOR!A1219,PEDIDOS!$A:$A,0),3)</f>
        <v>#N/A</v>
      </c>
      <c r="E1219" s="3" t="e">
        <f>INDEX(PEDIDOS!$A:$D,MATCH(FORNECEDOR!A1219,PEDIDOS!$A:$A,0),4)</f>
        <v>#N/A</v>
      </c>
    </row>
    <row r="1220" spans="1:5" hidden="1" x14ac:dyDescent="0.25">
      <c r="A1220" s="1" t="s">
        <v>1219</v>
      </c>
      <c r="B1220" s="3">
        <f>COUNTIF(PEDIDOS!$A:$A,FORNECEDOR!A1220)</f>
        <v>0</v>
      </c>
      <c r="C1220" s="3" t="e">
        <f>INDEX(PEDIDOS!$A:$D,MATCH(FORNECEDOR!A1220,PEDIDOS!$A:$A,0),2)</f>
        <v>#N/A</v>
      </c>
      <c r="D1220" s="3" t="e">
        <f>INDEX(PEDIDOS!$A:$D,MATCH(FORNECEDOR!A1220,PEDIDOS!$A:$A,0),3)</f>
        <v>#N/A</v>
      </c>
      <c r="E1220" s="3" t="e">
        <f>INDEX(PEDIDOS!$A:$D,MATCH(FORNECEDOR!A1220,PEDIDOS!$A:$A,0),4)</f>
        <v>#N/A</v>
      </c>
    </row>
    <row r="1221" spans="1:5" hidden="1" x14ac:dyDescent="0.25">
      <c r="A1221" s="1" t="s">
        <v>1220</v>
      </c>
      <c r="B1221" s="3">
        <f>COUNTIF(PEDIDOS!$A:$A,FORNECEDOR!A1221)</f>
        <v>0</v>
      </c>
      <c r="C1221" s="3" t="e">
        <f>INDEX(PEDIDOS!$A:$D,MATCH(FORNECEDOR!A1221,PEDIDOS!$A:$A,0),2)</f>
        <v>#N/A</v>
      </c>
      <c r="D1221" s="3" t="e">
        <f>INDEX(PEDIDOS!$A:$D,MATCH(FORNECEDOR!A1221,PEDIDOS!$A:$A,0),3)</f>
        <v>#N/A</v>
      </c>
      <c r="E1221" s="3" t="e">
        <f>INDEX(PEDIDOS!$A:$D,MATCH(FORNECEDOR!A1221,PEDIDOS!$A:$A,0),4)</f>
        <v>#N/A</v>
      </c>
    </row>
    <row r="1222" spans="1:5" hidden="1" x14ac:dyDescent="0.25">
      <c r="A1222" s="1" t="s">
        <v>1221</v>
      </c>
      <c r="B1222" s="3">
        <f>COUNTIF(PEDIDOS!$A:$A,FORNECEDOR!A1222)</f>
        <v>0</v>
      </c>
      <c r="C1222" s="3" t="e">
        <f>INDEX(PEDIDOS!$A:$D,MATCH(FORNECEDOR!A1222,PEDIDOS!$A:$A,0),2)</f>
        <v>#N/A</v>
      </c>
      <c r="D1222" s="3" t="e">
        <f>INDEX(PEDIDOS!$A:$D,MATCH(FORNECEDOR!A1222,PEDIDOS!$A:$A,0),3)</f>
        <v>#N/A</v>
      </c>
      <c r="E1222" s="3" t="e">
        <f>INDEX(PEDIDOS!$A:$D,MATCH(FORNECEDOR!A1222,PEDIDOS!$A:$A,0),4)</f>
        <v>#N/A</v>
      </c>
    </row>
    <row r="1223" spans="1:5" x14ac:dyDescent="0.25">
      <c r="A1223" s="1" t="s">
        <v>1222</v>
      </c>
      <c r="B1223" s="3">
        <f>COUNTIF(PEDIDOS!$A:$A,FORNECEDOR!A1223)</f>
        <v>1</v>
      </c>
      <c r="C1223" s="3" t="str">
        <f>INDEX(PEDIDOS!$A:$D,MATCH(FORNECEDOR!A1223,PEDIDOS!$A:$A,0),2)</f>
        <v>CD REGIS</v>
      </c>
      <c r="D1223" s="3" t="str">
        <f>INDEX(PEDIDOS!$A:$D,MATCH(FORNECEDOR!A1223,PEDIDOS!$A:$A,0),3)</f>
        <v>MATRIZ</v>
      </c>
      <c r="E1223" s="3" t="str">
        <f>INDEX(PEDIDOS!$A:$D,MATCH(FORNECEDOR!A1223,PEDIDOS!$A:$A,0),4)</f>
        <v>CD REGIS</v>
      </c>
    </row>
    <row r="1224" spans="1:5" x14ac:dyDescent="0.25">
      <c r="A1224" s="1" t="s">
        <v>1223</v>
      </c>
      <c r="B1224" s="3">
        <f>COUNTIF(PEDIDOS!$A:$A,FORNECEDOR!A1224)</f>
        <v>1</v>
      </c>
      <c r="C1224" s="3" t="str">
        <f>INDEX(PEDIDOS!$A:$D,MATCH(FORNECEDOR!A1224,PEDIDOS!$A:$A,0),2)</f>
        <v>MATRIZ</v>
      </c>
      <c r="D1224" s="3" t="str">
        <f>INDEX(PEDIDOS!$A:$D,MATCH(FORNECEDOR!A1224,PEDIDOS!$A:$A,0),3)</f>
        <v>MATRIZ</v>
      </c>
      <c r="E1224" s="3" t="str">
        <f>INDEX(PEDIDOS!$A:$D,MATCH(FORNECEDOR!A1224,PEDIDOS!$A:$A,0),4)</f>
        <v>MATRIZ</v>
      </c>
    </row>
    <row r="1225" spans="1:5" hidden="1" x14ac:dyDescent="0.25">
      <c r="A1225" s="1" t="s">
        <v>1224</v>
      </c>
      <c r="B1225" s="3">
        <f>COUNTIF(PEDIDOS!$A:$A,FORNECEDOR!A1225)</f>
        <v>0</v>
      </c>
      <c r="C1225" s="3" t="e">
        <f>INDEX(PEDIDOS!$A:$D,MATCH(FORNECEDOR!A1225,PEDIDOS!$A:$A,0),2)</f>
        <v>#N/A</v>
      </c>
      <c r="D1225" s="3" t="e">
        <f>INDEX(PEDIDOS!$A:$D,MATCH(FORNECEDOR!A1225,PEDIDOS!$A:$A,0),3)</f>
        <v>#N/A</v>
      </c>
      <c r="E1225" s="3" t="e">
        <f>INDEX(PEDIDOS!$A:$D,MATCH(FORNECEDOR!A1225,PEDIDOS!$A:$A,0),4)</f>
        <v>#N/A</v>
      </c>
    </row>
    <row r="1226" spans="1:5" hidden="1" x14ac:dyDescent="0.25">
      <c r="A1226" s="1" t="s">
        <v>1225</v>
      </c>
      <c r="B1226" s="3">
        <f>COUNTIF(PEDIDOS!$A:$A,FORNECEDOR!A1226)</f>
        <v>0</v>
      </c>
      <c r="C1226" s="3" t="e">
        <f>INDEX(PEDIDOS!$A:$D,MATCH(FORNECEDOR!A1226,PEDIDOS!$A:$A,0),2)</f>
        <v>#N/A</v>
      </c>
      <c r="D1226" s="3" t="e">
        <f>INDEX(PEDIDOS!$A:$D,MATCH(FORNECEDOR!A1226,PEDIDOS!$A:$A,0),3)</f>
        <v>#N/A</v>
      </c>
      <c r="E1226" s="3" t="e">
        <f>INDEX(PEDIDOS!$A:$D,MATCH(FORNECEDOR!A1226,PEDIDOS!$A:$A,0),4)</f>
        <v>#N/A</v>
      </c>
    </row>
    <row r="1227" spans="1:5" hidden="1" x14ac:dyDescent="0.25">
      <c r="A1227" s="1" t="s">
        <v>1226</v>
      </c>
      <c r="B1227" s="3">
        <f>COUNTIF(PEDIDOS!$A:$A,FORNECEDOR!A1227)</f>
        <v>0</v>
      </c>
      <c r="C1227" s="3" t="e">
        <f>INDEX(PEDIDOS!$A:$D,MATCH(FORNECEDOR!A1227,PEDIDOS!$A:$A,0),2)</f>
        <v>#N/A</v>
      </c>
      <c r="D1227" s="3" t="e">
        <f>INDEX(PEDIDOS!$A:$D,MATCH(FORNECEDOR!A1227,PEDIDOS!$A:$A,0),3)</f>
        <v>#N/A</v>
      </c>
      <c r="E1227" s="3" t="e">
        <f>INDEX(PEDIDOS!$A:$D,MATCH(FORNECEDOR!A1227,PEDIDOS!$A:$A,0),4)</f>
        <v>#N/A</v>
      </c>
    </row>
    <row r="1228" spans="1:5" hidden="1" x14ac:dyDescent="0.25">
      <c r="A1228" s="1" t="s">
        <v>1227</v>
      </c>
      <c r="B1228" s="3">
        <f>COUNTIF(PEDIDOS!$A:$A,FORNECEDOR!A1228)</f>
        <v>0</v>
      </c>
      <c r="C1228" s="3" t="e">
        <f>INDEX(PEDIDOS!$A:$D,MATCH(FORNECEDOR!A1228,PEDIDOS!$A:$A,0),2)</f>
        <v>#N/A</v>
      </c>
      <c r="D1228" s="3" t="e">
        <f>INDEX(PEDIDOS!$A:$D,MATCH(FORNECEDOR!A1228,PEDIDOS!$A:$A,0),3)</f>
        <v>#N/A</v>
      </c>
      <c r="E1228" s="3" t="e">
        <f>INDEX(PEDIDOS!$A:$D,MATCH(FORNECEDOR!A1228,PEDIDOS!$A:$A,0),4)</f>
        <v>#N/A</v>
      </c>
    </row>
    <row r="1229" spans="1:5" hidden="1" x14ac:dyDescent="0.25">
      <c r="A1229" s="1" t="s">
        <v>1228</v>
      </c>
      <c r="B1229" s="3">
        <f>COUNTIF(PEDIDOS!$A:$A,FORNECEDOR!A1229)</f>
        <v>0</v>
      </c>
      <c r="C1229" s="3" t="e">
        <f>INDEX(PEDIDOS!$A:$D,MATCH(FORNECEDOR!A1229,PEDIDOS!$A:$A,0),2)</f>
        <v>#N/A</v>
      </c>
      <c r="D1229" s="3" t="e">
        <f>INDEX(PEDIDOS!$A:$D,MATCH(FORNECEDOR!A1229,PEDIDOS!$A:$A,0),3)</f>
        <v>#N/A</v>
      </c>
      <c r="E1229" s="3" t="e">
        <f>INDEX(PEDIDOS!$A:$D,MATCH(FORNECEDOR!A1229,PEDIDOS!$A:$A,0),4)</f>
        <v>#N/A</v>
      </c>
    </row>
    <row r="1230" spans="1:5" hidden="1" x14ac:dyDescent="0.25">
      <c r="A1230" s="1" t="s">
        <v>1229</v>
      </c>
      <c r="B1230" s="3">
        <f>COUNTIF(PEDIDOS!$A:$A,FORNECEDOR!A1230)</f>
        <v>0</v>
      </c>
      <c r="C1230" s="3" t="e">
        <f>INDEX(PEDIDOS!$A:$D,MATCH(FORNECEDOR!A1230,PEDIDOS!$A:$A,0),2)</f>
        <v>#N/A</v>
      </c>
      <c r="D1230" s="3" t="e">
        <f>INDEX(PEDIDOS!$A:$D,MATCH(FORNECEDOR!A1230,PEDIDOS!$A:$A,0),3)</f>
        <v>#N/A</v>
      </c>
      <c r="E1230" s="3" t="e">
        <f>INDEX(PEDIDOS!$A:$D,MATCH(FORNECEDOR!A1230,PEDIDOS!$A:$A,0),4)</f>
        <v>#N/A</v>
      </c>
    </row>
    <row r="1231" spans="1:5" hidden="1" x14ac:dyDescent="0.25">
      <c r="A1231" s="1" t="s">
        <v>1230</v>
      </c>
      <c r="B1231" s="3">
        <f>COUNTIF(PEDIDOS!$A:$A,FORNECEDOR!A1231)</f>
        <v>0</v>
      </c>
      <c r="C1231" s="3" t="e">
        <f>INDEX(PEDIDOS!$A:$D,MATCH(FORNECEDOR!A1231,PEDIDOS!$A:$A,0),2)</f>
        <v>#N/A</v>
      </c>
      <c r="D1231" s="3" t="e">
        <f>INDEX(PEDIDOS!$A:$D,MATCH(FORNECEDOR!A1231,PEDIDOS!$A:$A,0),3)</f>
        <v>#N/A</v>
      </c>
      <c r="E1231" s="3" t="e">
        <f>INDEX(PEDIDOS!$A:$D,MATCH(FORNECEDOR!A1231,PEDIDOS!$A:$A,0),4)</f>
        <v>#N/A</v>
      </c>
    </row>
    <row r="1232" spans="1:5" hidden="1" x14ac:dyDescent="0.25">
      <c r="A1232" s="1" t="s">
        <v>1231</v>
      </c>
      <c r="B1232" s="3">
        <f>COUNTIF(PEDIDOS!$A:$A,FORNECEDOR!A1232)</f>
        <v>0</v>
      </c>
      <c r="C1232" s="3" t="e">
        <f>INDEX(PEDIDOS!$A:$D,MATCH(FORNECEDOR!A1232,PEDIDOS!$A:$A,0),2)</f>
        <v>#N/A</v>
      </c>
      <c r="D1232" s="3" t="e">
        <f>INDEX(PEDIDOS!$A:$D,MATCH(FORNECEDOR!A1232,PEDIDOS!$A:$A,0),3)</f>
        <v>#N/A</v>
      </c>
      <c r="E1232" s="3" t="e">
        <f>INDEX(PEDIDOS!$A:$D,MATCH(FORNECEDOR!A1232,PEDIDOS!$A:$A,0),4)</f>
        <v>#N/A</v>
      </c>
    </row>
    <row r="1233" spans="1:5" hidden="1" x14ac:dyDescent="0.25">
      <c r="A1233" s="1" t="s">
        <v>1232</v>
      </c>
      <c r="B1233" s="3">
        <f>COUNTIF(PEDIDOS!$A:$A,FORNECEDOR!A1233)</f>
        <v>0</v>
      </c>
      <c r="C1233" s="3" t="e">
        <f>INDEX(PEDIDOS!$A:$D,MATCH(FORNECEDOR!A1233,PEDIDOS!$A:$A,0),2)</f>
        <v>#N/A</v>
      </c>
      <c r="D1233" s="3" t="e">
        <f>INDEX(PEDIDOS!$A:$D,MATCH(FORNECEDOR!A1233,PEDIDOS!$A:$A,0),3)</f>
        <v>#N/A</v>
      </c>
      <c r="E1233" s="3" t="e">
        <f>INDEX(PEDIDOS!$A:$D,MATCH(FORNECEDOR!A1233,PEDIDOS!$A:$A,0),4)</f>
        <v>#N/A</v>
      </c>
    </row>
    <row r="1234" spans="1:5" x14ac:dyDescent="0.25">
      <c r="A1234" s="1" t="s">
        <v>1233</v>
      </c>
      <c r="B1234" s="3">
        <f>COUNTIF(PEDIDOS!$A:$A,FORNECEDOR!A1234)</f>
        <v>1</v>
      </c>
      <c r="C1234" s="3" t="str">
        <f>INDEX(PEDIDOS!$A:$D,MATCH(FORNECEDOR!A1234,PEDIDOS!$A:$A,0),2)</f>
        <v>CD REGIS</v>
      </c>
      <c r="D1234" s="3" t="str">
        <f>INDEX(PEDIDOS!$A:$D,MATCH(FORNECEDOR!A1234,PEDIDOS!$A:$A,0),3)</f>
        <v>MATRIZ</v>
      </c>
      <c r="E1234" s="3" t="str">
        <f>INDEX(PEDIDOS!$A:$D,MATCH(FORNECEDOR!A1234,PEDIDOS!$A:$A,0),4)</f>
        <v>CD REGIS</v>
      </c>
    </row>
    <row r="1235" spans="1:5" x14ac:dyDescent="0.25">
      <c r="A1235" s="1" t="s">
        <v>1234</v>
      </c>
      <c r="B1235" s="3">
        <f>COUNTIF(PEDIDOS!$A:$A,FORNECEDOR!A1235)</f>
        <v>2</v>
      </c>
      <c r="C1235" s="3" t="str">
        <f>INDEX(PEDIDOS!$A:$D,MATCH(FORNECEDOR!A1235,PEDIDOS!$A:$A,0),2)</f>
        <v>CD REGIS</v>
      </c>
      <c r="D1235" s="3" t="str">
        <f>INDEX(PEDIDOS!$A:$D,MATCH(FORNECEDOR!A1235,PEDIDOS!$A:$A,0),3)</f>
        <v>MATRIZ</v>
      </c>
      <c r="E1235" s="3" t="str">
        <f>INDEX(PEDIDOS!$A:$D,MATCH(FORNECEDOR!A1235,PEDIDOS!$A:$A,0),4)</f>
        <v>CD REGIS</v>
      </c>
    </row>
    <row r="1236" spans="1:5" hidden="1" x14ac:dyDescent="0.25">
      <c r="A1236" s="1" t="s">
        <v>1235</v>
      </c>
      <c r="B1236" s="3">
        <f>COUNTIF(PEDIDOS!$A:$A,FORNECEDOR!A1236)</f>
        <v>0</v>
      </c>
      <c r="C1236" s="3" t="e">
        <f>INDEX(PEDIDOS!$A:$D,MATCH(FORNECEDOR!A1236,PEDIDOS!$A:$A,0),2)</f>
        <v>#N/A</v>
      </c>
      <c r="D1236" s="3" t="e">
        <f>INDEX(PEDIDOS!$A:$D,MATCH(FORNECEDOR!A1236,PEDIDOS!$A:$A,0),3)</f>
        <v>#N/A</v>
      </c>
      <c r="E1236" s="3" t="e">
        <f>INDEX(PEDIDOS!$A:$D,MATCH(FORNECEDOR!A1236,PEDIDOS!$A:$A,0),4)</f>
        <v>#N/A</v>
      </c>
    </row>
    <row r="1237" spans="1:5" x14ac:dyDescent="0.25">
      <c r="A1237" s="1" t="s">
        <v>1236</v>
      </c>
      <c r="B1237" s="3">
        <f>COUNTIF(PEDIDOS!$A:$A,FORNECEDOR!A1237)</f>
        <v>4</v>
      </c>
      <c r="C1237" s="3" t="str">
        <f>INDEX(PEDIDOS!$A:$D,MATCH(FORNECEDOR!A1237,PEDIDOS!$A:$A,0),2)</f>
        <v>CD ARAQUARI</v>
      </c>
      <c r="D1237" s="3" t="str">
        <f>INDEX(PEDIDOS!$A:$D,MATCH(FORNECEDOR!A1237,PEDIDOS!$A:$A,0),3)</f>
        <v>MATRIZ</v>
      </c>
      <c r="E1237" s="3" t="str">
        <f>INDEX(PEDIDOS!$A:$D,MATCH(FORNECEDOR!A1237,PEDIDOS!$A:$A,0),4)</f>
        <v>CD ARAQUARI</v>
      </c>
    </row>
    <row r="1238" spans="1:5" hidden="1" x14ac:dyDescent="0.25">
      <c r="A1238" s="1" t="s">
        <v>1237</v>
      </c>
      <c r="B1238" s="3">
        <f>COUNTIF(PEDIDOS!$A:$A,FORNECEDOR!A1238)</f>
        <v>0</v>
      </c>
      <c r="C1238" s="3" t="e">
        <f>INDEX(PEDIDOS!$A:$D,MATCH(FORNECEDOR!A1238,PEDIDOS!$A:$A,0),2)</f>
        <v>#N/A</v>
      </c>
      <c r="D1238" s="3" t="e">
        <f>INDEX(PEDIDOS!$A:$D,MATCH(FORNECEDOR!A1238,PEDIDOS!$A:$A,0),3)</f>
        <v>#N/A</v>
      </c>
      <c r="E1238" s="3" t="e">
        <f>INDEX(PEDIDOS!$A:$D,MATCH(FORNECEDOR!A1238,PEDIDOS!$A:$A,0),4)</f>
        <v>#N/A</v>
      </c>
    </row>
    <row r="1239" spans="1:5" hidden="1" x14ac:dyDescent="0.25">
      <c r="A1239" s="1" t="s">
        <v>1238</v>
      </c>
      <c r="B1239" s="3">
        <f>COUNTIF(PEDIDOS!$A:$A,FORNECEDOR!A1239)</f>
        <v>0</v>
      </c>
      <c r="C1239" s="3" t="e">
        <f>INDEX(PEDIDOS!$A:$D,MATCH(FORNECEDOR!A1239,PEDIDOS!$A:$A,0),2)</f>
        <v>#N/A</v>
      </c>
      <c r="D1239" s="3" t="e">
        <f>INDEX(PEDIDOS!$A:$D,MATCH(FORNECEDOR!A1239,PEDIDOS!$A:$A,0),3)</f>
        <v>#N/A</v>
      </c>
      <c r="E1239" s="3" t="e">
        <f>INDEX(PEDIDOS!$A:$D,MATCH(FORNECEDOR!A1239,PEDIDOS!$A:$A,0),4)</f>
        <v>#N/A</v>
      </c>
    </row>
    <row r="1240" spans="1:5" hidden="1" x14ac:dyDescent="0.25">
      <c r="A1240" s="1" t="s">
        <v>1239</v>
      </c>
      <c r="B1240" s="3">
        <f>COUNTIF(PEDIDOS!$A:$A,FORNECEDOR!A1240)</f>
        <v>0</v>
      </c>
      <c r="C1240" s="3" t="e">
        <f>INDEX(PEDIDOS!$A:$D,MATCH(FORNECEDOR!A1240,PEDIDOS!$A:$A,0),2)</f>
        <v>#N/A</v>
      </c>
      <c r="D1240" s="3" t="e">
        <f>INDEX(PEDIDOS!$A:$D,MATCH(FORNECEDOR!A1240,PEDIDOS!$A:$A,0),3)</f>
        <v>#N/A</v>
      </c>
      <c r="E1240" s="3" t="e">
        <f>INDEX(PEDIDOS!$A:$D,MATCH(FORNECEDOR!A1240,PEDIDOS!$A:$A,0),4)</f>
        <v>#N/A</v>
      </c>
    </row>
    <row r="1241" spans="1:5" hidden="1" x14ac:dyDescent="0.25">
      <c r="A1241" s="1" t="s">
        <v>1240</v>
      </c>
      <c r="B1241" s="3">
        <f>COUNTIF(PEDIDOS!$A:$A,FORNECEDOR!A1241)</f>
        <v>0</v>
      </c>
      <c r="C1241" s="3" t="e">
        <f>INDEX(PEDIDOS!$A:$D,MATCH(FORNECEDOR!A1241,PEDIDOS!$A:$A,0),2)</f>
        <v>#N/A</v>
      </c>
      <c r="D1241" s="3" t="e">
        <f>INDEX(PEDIDOS!$A:$D,MATCH(FORNECEDOR!A1241,PEDIDOS!$A:$A,0),3)</f>
        <v>#N/A</v>
      </c>
      <c r="E1241" s="3" t="e">
        <f>INDEX(PEDIDOS!$A:$D,MATCH(FORNECEDOR!A1241,PEDIDOS!$A:$A,0),4)</f>
        <v>#N/A</v>
      </c>
    </row>
    <row r="1242" spans="1:5" hidden="1" x14ac:dyDescent="0.25">
      <c r="A1242" s="1" t="s">
        <v>1241</v>
      </c>
      <c r="B1242" s="3">
        <f>COUNTIF(PEDIDOS!$A:$A,FORNECEDOR!A1242)</f>
        <v>0</v>
      </c>
      <c r="C1242" s="3" t="e">
        <f>INDEX(PEDIDOS!$A:$D,MATCH(FORNECEDOR!A1242,PEDIDOS!$A:$A,0),2)</f>
        <v>#N/A</v>
      </c>
      <c r="D1242" s="3" t="e">
        <f>INDEX(PEDIDOS!$A:$D,MATCH(FORNECEDOR!A1242,PEDIDOS!$A:$A,0),3)</f>
        <v>#N/A</v>
      </c>
      <c r="E1242" s="3" t="e">
        <f>INDEX(PEDIDOS!$A:$D,MATCH(FORNECEDOR!A1242,PEDIDOS!$A:$A,0),4)</f>
        <v>#N/A</v>
      </c>
    </row>
    <row r="1243" spans="1:5" hidden="1" x14ac:dyDescent="0.25">
      <c r="A1243" s="1" t="s">
        <v>1242</v>
      </c>
      <c r="B1243" s="3">
        <f>COUNTIF(PEDIDOS!$A:$A,FORNECEDOR!A1243)</f>
        <v>0</v>
      </c>
      <c r="C1243" s="3" t="e">
        <f>INDEX(PEDIDOS!$A:$D,MATCH(FORNECEDOR!A1243,PEDIDOS!$A:$A,0),2)</f>
        <v>#N/A</v>
      </c>
      <c r="D1243" s="3" t="e">
        <f>INDEX(PEDIDOS!$A:$D,MATCH(FORNECEDOR!A1243,PEDIDOS!$A:$A,0),3)</f>
        <v>#N/A</v>
      </c>
      <c r="E1243" s="3" t="e">
        <f>INDEX(PEDIDOS!$A:$D,MATCH(FORNECEDOR!A1243,PEDIDOS!$A:$A,0),4)</f>
        <v>#N/A</v>
      </c>
    </row>
    <row r="1244" spans="1:5" x14ac:dyDescent="0.25">
      <c r="A1244" s="1" t="s">
        <v>1243</v>
      </c>
      <c r="B1244" s="3">
        <f>COUNTIF(PEDIDOS!$A:$A,FORNECEDOR!A1244)</f>
        <v>3</v>
      </c>
      <c r="C1244" s="3" t="str">
        <f>INDEX(PEDIDOS!$A:$D,MATCH(FORNECEDOR!A1244,PEDIDOS!$A:$A,0),2)</f>
        <v>CD ARAQUARI</v>
      </c>
      <c r="D1244" s="3" t="str">
        <f>INDEX(PEDIDOS!$A:$D,MATCH(FORNECEDOR!A1244,PEDIDOS!$A:$A,0),3)</f>
        <v>MATRIZ</v>
      </c>
      <c r="E1244" s="3" t="str">
        <f>INDEX(PEDIDOS!$A:$D,MATCH(FORNECEDOR!A1244,PEDIDOS!$A:$A,0),4)</f>
        <v>CD ARAQUARI</v>
      </c>
    </row>
    <row r="1245" spans="1:5" hidden="1" x14ac:dyDescent="0.25">
      <c r="A1245" s="1" t="s">
        <v>1244</v>
      </c>
      <c r="B1245" s="3">
        <f>COUNTIF(PEDIDOS!$A:$A,FORNECEDOR!A1245)</f>
        <v>0</v>
      </c>
      <c r="C1245" s="3" t="e">
        <f>INDEX(PEDIDOS!$A:$D,MATCH(FORNECEDOR!A1245,PEDIDOS!$A:$A,0),2)</f>
        <v>#N/A</v>
      </c>
      <c r="D1245" s="3" t="e">
        <f>INDEX(PEDIDOS!$A:$D,MATCH(FORNECEDOR!A1245,PEDIDOS!$A:$A,0),3)</f>
        <v>#N/A</v>
      </c>
      <c r="E1245" s="3" t="e">
        <f>INDEX(PEDIDOS!$A:$D,MATCH(FORNECEDOR!A1245,PEDIDOS!$A:$A,0),4)</f>
        <v>#N/A</v>
      </c>
    </row>
    <row r="1246" spans="1:5" hidden="1" x14ac:dyDescent="0.25">
      <c r="A1246" s="1" t="s">
        <v>1245</v>
      </c>
      <c r="B1246" s="3">
        <f>COUNTIF(PEDIDOS!$A:$A,FORNECEDOR!A1246)</f>
        <v>0</v>
      </c>
      <c r="C1246" s="3" t="e">
        <f>INDEX(PEDIDOS!$A:$D,MATCH(FORNECEDOR!A1246,PEDIDOS!$A:$A,0),2)</f>
        <v>#N/A</v>
      </c>
      <c r="D1246" s="3" t="e">
        <f>INDEX(PEDIDOS!$A:$D,MATCH(FORNECEDOR!A1246,PEDIDOS!$A:$A,0),3)</f>
        <v>#N/A</v>
      </c>
      <c r="E1246" s="3" t="e">
        <f>INDEX(PEDIDOS!$A:$D,MATCH(FORNECEDOR!A1246,PEDIDOS!$A:$A,0),4)</f>
        <v>#N/A</v>
      </c>
    </row>
    <row r="1247" spans="1:5" x14ac:dyDescent="0.25">
      <c r="A1247" s="1" t="s">
        <v>1246</v>
      </c>
      <c r="B1247" s="3">
        <f>COUNTIF(PEDIDOS!$A:$A,FORNECEDOR!A1247)</f>
        <v>9</v>
      </c>
      <c r="C1247" s="3" t="str">
        <f>INDEX(PEDIDOS!$A:$D,MATCH(FORNECEDOR!A1247,PEDIDOS!$A:$A,0),2)</f>
        <v>CD ARAQUARI</v>
      </c>
      <c r="D1247" s="3" t="str">
        <f>INDEX(PEDIDOS!$A:$D,MATCH(FORNECEDOR!A1247,PEDIDOS!$A:$A,0),3)</f>
        <v>CD REGIS</v>
      </c>
      <c r="E1247" s="3" t="str">
        <f>INDEX(PEDIDOS!$A:$D,MATCH(FORNECEDOR!A1247,PEDIDOS!$A:$A,0),4)</f>
        <v>CD ARAQUARI</v>
      </c>
    </row>
    <row r="1248" spans="1:5" hidden="1" x14ac:dyDescent="0.25">
      <c r="A1248" s="1" t="s">
        <v>1247</v>
      </c>
      <c r="B1248" s="3">
        <f>COUNTIF(PEDIDOS!$A:$A,FORNECEDOR!A1248)</f>
        <v>0</v>
      </c>
      <c r="C1248" s="3" t="e">
        <f>INDEX(PEDIDOS!$A:$D,MATCH(FORNECEDOR!A1248,PEDIDOS!$A:$A,0),2)</f>
        <v>#N/A</v>
      </c>
      <c r="D1248" s="3" t="e">
        <f>INDEX(PEDIDOS!$A:$D,MATCH(FORNECEDOR!A1248,PEDIDOS!$A:$A,0),3)</f>
        <v>#N/A</v>
      </c>
      <c r="E1248" s="3" t="e">
        <f>INDEX(PEDIDOS!$A:$D,MATCH(FORNECEDOR!A1248,PEDIDOS!$A:$A,0),4)</f>
        <v>#N/A</v>
      </c>
    </row>
    <row r="1249" spans="1:5" hidden="1" x14ac:dyDescent="0.25">
      <c r="A1249" s="1" t="s">
        <v>1248</v>
      </c>
      <c r="B1249" s="3">
        <f>COUNTIF(PEDIDOS!$A:$A,FORNECEDOR!A1249)</f>
        <v>0</v>
      </c>
      <c r="C1249" s="3" t="e">
        <f>INDEX(PEDIDOS!$A:$D,MATCH(FORNECEDOR!A1249,PEDIDOS!$A:$A,0),2)</f>
        <v>#N/A</v>
      </c>
      <c r="D1249" s="3" t="e">
        <f>INDEX(PEDIDOS!$A:$D,MATCH(FORNECEDOR!A1249,PEDIDOS!$A:$A,0),3)</f>
        <v>#N/A</v>
      </c>
      <c r="E1249" s="3" t="e">
        <f>INDEX(PEDIDOS!$A:$D,MATCH(FORNECEDOR!A1249,PEDIDOS!$A:$A,0),4)</f>
        <v>#N/A</v>
      </c>
    </row>
    <row r="1250" spans="1:5" hidden="1" x14ac:dyDescent="0.25">
      <c r="A1250" s="1" t="s">
        <v>1249</v>
      </c>
      <c r="B1250" s="3">
        <f>COUNTIF(PEDIDOS!$A:$A,FORNECEDOR!A1250)</f>
        <v>0</v>
      </c>
      <c r="C1250" s="3" t="e">
        <f>INDEX(PEDIDOS!$A:$D,MATCH(FORNECEDOR!A1250,PEDIDOS!$A:$A,0),2)</f>
        <v>#N/A</v>
      </c>
      <c r="D1250" s="3" t="e">
        <f>INDEX(PEDIDOS!$A:$D,MATCH(FORNECEDOR!A1250,PEDIDOS!$A:$A,0),3)</f>
        <v>#N/A</v>
      </c>
      <c r="E1250" s="3" t="e">
        <f>INDEX(PEDIDOS!$A:$D,MATCH(FORNECEDOR!A1250,PEDIDOS!$A:$A,0),4)</f>
        <v>#N/A</v>
      </c>
    </row>
    <row r="1251" spans="1:5" hidden="1" x14ac:dyDescent="0.25">
      <c r="A1251" s="1" t="s">
        <v>1250</v>
      </c>
      <c r="B1251" s="3">
        <f>COUNTIF(PEDIDOS!$A:$A,FORNECEDOR!A1251)</f>
        <v>0</v>
      </c>
      <c r="C1251" s="3" t="e">
        <f>INDEX(PEDIDOS!$A:$D,MATCH(FORNECEDOR!A1251,PEDIDOS!$A:$A,0),2)</f>
        <v>#N/A</v>
      </c>
      <c r="D1251" s="3" t="e">
        <f>INDEX(PEDIDOS!$A:$D,MATCH(FORNECEDOR!A1251,PEDIDOS!$A:$A,0),3)</f>
        <v>#N/A</v>
      </c>
      <c r="E1251" s="3" t="e">
        <f>INDEX(PEDIDOS!$A:$D,MATCH(FORNECEDOR!A1251,PEDIDOS!$A:$A,0),4)</f>
        <v>#N/A</v>
      </c>
    </row>
    <row r="1252" spans="1:5" hidden="1" x14ac:dyDescent="0.25">
      <c r="A1252" s="1" t="s">
        <v>1251</v>
      </c>
      <c r="B1252" s="3">
        <f>COUNTIF(PEDIDOS!$A:$A,FORNECEDOR!A1252)</f>
        <v>0</v>
      </c>
      <c r="C1252" s="3" t="e">
        <f>INDEX(PEDIDOS!$A:$D,MATCH(FORNECEDOR!A1252,PEDIDOS!$A:$A,0),2)</f>
        <v>#N/A</v>
      </c>
      <c r="D1252" s="3" t="e">
        <f>INDEX(PEDIDOS!$A:$D,MATCH(FORNECEDOR!A1252,PEDIDOS!$A:$A,0),3)</f>
        <v>#N/A</v>
      </c>
      <c r="E1252" s="3" t="e">
        <f>INDEX(PEDIDOS!$A:$D,MATCH(FORNECEDOR!A1252,PEDIDOS!$A:$A,0),4)</f>
        <v>#N/A</v>
      </c>
    </row>
    <row r="1253" spans="1:5" hidden="1" x14ac:dyDescent="0.25">
      <c r="A1253" s="1" t="s">
        <v>1252</v>
      </c>
      <c r="B1253" s="3">
        <f>COUNTIF(PEDIDOS!$A:$A,FORNECEDOR!A1253)</f>
        <v>0</v>
      </c>
      <c r="C1253" s="3" t="e">
        <f>INDEX(PEDIDOS!$A:$D,MATCH(FORNECEDOR!A1253,PEDIDOS!$A:$A,0),2)</f>
        <v>#N/A</v>
      </c>
      <c r="D1253" s="3" t="e">
        <f>INDEX(PEDIDOS!$A:$D,MATCH(FORNECEDOR!A1253,PEDIDOS!$A:$A,0),3)</f>
        <v>#N/A</v>
      </c>
      <c r="E1253" s="3" t="e">
        <f>INDEX(PEDIDOS!$A:$D,MATCH(FORNECEDOR!A1253,PEDIDOS!$A:$A,0),4)</f>
        <v>#N/A</v>
      </c>
    </row>
    <row r="1254" spans="1:5" x14ac:dyDescent="0.25">
      <c r="A1254" s="1" t="s">
        <v>1253</v>
      </c>
      <c r="B1254" s="3">
        <f>COUNTIF(PEDIDOS!$A:$A,FORNECEDOR!A1254)</f>
        <v>2</v>
      </c>
      <c r="C1254" s="3" t="str">
        <f>INDEX(PEDIDOS!$A:$D,MATCH(FORNECEDOR!A1254,PEDIDOS!$A:$A,0),2)</f>
        <v>CD REGIS</v>
      </c>
      <c r="D1254" s="3" t="str">
        <f>INDEX(PEDIDOS!$A:$D,MATCH(FORNECEDOR!A1254,PEDIDOS!$A:$A,0),3)</f>
        <v>MATRIZ</v>
      </c>
      <c r="E1254" s="3" t="str">
        <f>INDEX(PEDIDOS!$A:$D,MATCH(FORNECEDOR!A1254,PEDIDOS!$A:$A,0),4)</f>
        <v>CD REGIS</v>
      </c>
    </row>
    <row r="1255" spans="1:5" x14ac:dyDescent="0.25">
      <c r="A1255" s="1" t="s">
        <v>1254</v>
      </c>
      <c r="B1255" s="3">
        <f>COUNTIF(PEDIDOS!$A:$A,FORNECEDOR!A1255)</f>
        <v>2</v>
      </c>
      <c r="C1255" s="3" t="str">
        <f>INDEX(PEDIDOS!$A:$D,MATCH(FORNECEDOR!A1255,PEDIDOS!$A:$A,0),2)</f>
        <v>CD REGIS</v>
      </c>
      <c r="D1255" s="3" t="str">
        <f>INDEX(PEDIDOS!$A:$D,MATCH(FORNECEDOR!A1255,PEDIDOS!$A:$A,0),3)</f>
        <v>CD REGIS</v>
      </c>
      <c r="E1255" s="3" t="str">
        <f>INDEX(PEDIDOS!$A:$D,MATCH(FORNECEDOR!A1255,PEDIDOS!$A:$A,0),4)</f>
        <v>CD REGIS</v>
      </c>
    </row>
    <row r="1256" spans="1:5" x14ac:dyDescent="0.25">
      <c r="A1256" s="1" t="s">
        <v>1255</v>
      </c>
      <c r="B1256" s="3">
        <f>COUNTIF(PEDIDOS!$A:$A,FORNECEDOR!A1256)</f>
        <v>1</v>
      </c>
      <c r="C1256" s="3" t="str">
        <f>INDEX(PEDIDOS!$A:$D,MATCH(FORNECEDOR!A1256,PEDIDOS!$A:$A,0),2)</f>
        <v>MATRIZ</v>
      </c>
      <c r="D1256" s="3" t="str">
        <f>INDEX(PEDIDOS!$A:$D,MATCH(FORNECEDOR!A1256,PEDIDOS!$A:$A,0),3)</f>
        <v>MATRIZ</v>
      </c>
      <c r="E1256" s="3" t="str">
        <f>INDEX(PEDIDOS!$A:$D,MATCH(FORNECEDOR!A1256,PEDIDOS!$A:$A,0),4)</f>
        <v>MATRIZ</v>
      </c>
    </row>
    <row r="1257" spans="1:5" hidden="1" x14ac:dyDescent="0.25">
      <c r="A1257" s="1" t="s">
        <v>1256</v>
      </c>
      <c r="B1257" s="3">
        <f>COUNTIF(PEDIDOS!$A:$A,FORNECEDOR!A1257)</f>
        <v>0</v>
      </c>
      <c r="C1257" s="3" t="e">
        <f>INDEX(PEDIDOS!$A:$D,MATCH(FORNECEDOR!A1257,PEDIDOS!$A:$A,0),2)</f>
        <v>#N/A</v>
      </c>
      <c r="D1257" s="3" t="e">
        <f>INDEX(PEDIDOS!$A:$D,MATCH(FORNECEDOR!A1257,PEDIDOS!$A:$A,0),3)</f>
        <v>#N/A</v>
      </c>
      <c r="E1257" s="3" t="e">
        <f>INDEX(PEDIDOS!$A:$D,MATCH(FORNECEDOR!A1257,PEDIDOS!$A:$A,0),4)</f>
        <v>#N/A</v>
      </c>
    </row>
    <row r="1258" spans="1:5" hidden="1" x14ac:dyDescent="0.25">
      <c r="A1258" s="1" t="s">
        <v>1257</v>
      </c>
      <c r="B1258" s="3">
        <f>COUNTIF(PEDIDOS!$A:$A,FORNECEDOR!A1258)</f>
        <v>0</v>
      </c>
      <c r="C1258" s="3" t="e">
        <f>INDEX(PEDIDOS!$A:$D,MATCH(FORNECEDOR!A1258,PEDIDOS!$A:$A,0),2)</f>
        <v>#N/A</v>
      </c>
      <c r="D1258" s="3" t="e">
        <f>INDEX(PEDIDOS!$A:$D,MATCH(FORNECEDOR!A1258,PEDIDOS!$A:$A,0),3)</f>
        <v>#N/A</v>
      </c>
      <c r="E1258" s="3" t="e">
        <f>INDEX(PEDIDOS!$A:$D,MATCH(FORNECEDOR!A1258,PEDIDOS!$A:$A,0),4)</f>
        <v>#N/A</v>
      </c>
    </row>
    <row r="1259" spans="1:5" hidden="1" x14ac:dyDescent="0.25">
      <c r="A1259" s="1" t="s">
        <v>1258</v>
      </c>
      <c r="B1259" s="3">
        <f>COUNTIF(PEDIDOS!$A:$A,FORNECEDOR!A1259)</f>
        <v>0</v>
      </c>
      <c r="C1259" s="3" t="e">
        <f>INDEX(PEDIDOS!$A:$D,MATCH(FORNECEDOR!A1259,PEDIDOS!$A:$A,0),2)</f>
        <v>#N/A</v>
      </c>
      <c r="D1259" s="3" t="e">
        <f>INDEX(PEDIDOS!$A:$D,MATCH(FORNECEDOR!A1259,PEDIDOS!$A:$A,0),3)</f>
        <v>#N/A</v>
      </c>
      <c r="E1259" s="3" t="e">
        <f>INDEX(PEDIDOS!$A:$D,MATCH(FORNECEDOR!A1259,PEDIDOS!$A:$A,0),4)</f>
        <v>#N/A</v>
      </c>
    </row>
    <row r="1260" spans="1:5" hidden="1" x14ac:dyDescent="0.25">
      <c r="A1260" s="1" t="s">
        <v>1259</v>
      </c>
      <c r="B1260" s="3">
        <f>COUNTIF(PEDIDOS!$A:$A,FORNECEDOR!A1260)</f>
        <v>0</v>
      </c>
      <c r="C1260" s="3" t="e">
        <f>INDEX(PEDIDOS!$A:$D,MATCH(FORNECEDOR!A1260,PEDIDOS!$A:$A,0),2)</f>
        <v>#N/A</v>
      </c>
      <c r="D1260" s="3" t="e">
        <f>INDEX(PEDIDOS!$A:$D,MATCH(FORNECEDOR!A1260,PEDIDOS!$A:$A,0),3)</f>
        <v>#N/A</v>
      </c>
      <c r="E1260" s="3" t="e">
        <f>INDEX(PEDIDOS!$A:$D,MATCH(FORNECEDOR!A1260,PEDIDOS!$A:$A,0),4)</f>
        <v>#N/A</v>
      </c>
    </row>
    <row r="1261" spans="1:5" hidden="1" x14ac:dyDescent="0.25">
      <c r="A1261" s="1" t="s">
        <v>1260</v>
      </c>
      <c r="B1261" s="3">
        <f>COUNTIF(PEDIDOS!$A:$A,FORNECEDOR!A1261)</f>
        <v>0</v>
      </c>
      <c r="C1261" s="3" t="e">
        <f>INDEX(PEDIDOS!$A:$D,MATCH(FORNECEDOR!A1261,PEDIDOS!$A:$A,0),2)</f>
        <v>#N/A</v>
      </c>
      <c r="D1261" s="3" t="e">
        <f>INDEX(PEDIDOS!$A:$D,MATCH(FORNECEDOR!A1261,PEDIDOS!$A:$A,0),3)</f>
        <v>#N/A</v>
      </c>
      <c r="E1261" s="3" t="e">
        <f>INDEX(PEDIDOS!$A:$D,MATCH(FORNECEDOR!A1261,PEDIDOS!$A:$A,0),4)</f>
        <v>#N/A</v>
      </c>
    </row>
    <row r="1262" spans="1:5" hidden="1" x14ac:dyDescent="0.25">
      <c r="A1262" s="1" t="s">
        <v>1261</v>
      </c>
      <c r="B1262" s="3">
        <f>COUNTIF(PEDIDOS!$A:$A,FORNECEDOR!A1262)</f>
        <v>0</v>
      </c>
      <c r="C1262" s="3" t="e">
        <f>INDEX(PEDIDOS!$A:$D,MATCH(FORNECEDOR!A1262,PEDIDOS!$A:$A,0),2)</f>
        <v>#N/A</v>
      </c>
      <c r="D1262" s="3" t="e">
        <f>INDEX(PEDIDOS!$A:$D,MATCH(FORNECEDOR!A1262,PEDIDOS!$A:$A,0),3)</f>
        <v>#N/A</v>
      </c>
      <c r="E1262" s="3" t="e">
        <f>INDEX(PEDIDOS!$A:$D,MATCH(FORNECEDOR!A1262,PEDIDOS!$A:$A,0),4)</f>
        <v>#N/A</v>
      </c>
    </row>
    <row r="1263" spans="1:5" x14ac:dyDescent="0.25">
      <c r="A1263" s="1" t="s">
        <v>1262</v>
      </c>
      <c r="B1263" s="3">
        <f>COUNTIF(PEDIDOS!$A:$A,FORNECEDOR!A1263)</f>
        <v>2</v>
      </c>
      <c r="C1263" s="3" t="str">
        <f>INDEX(PEDIDOS!$A:$D,MATCH(FORNECEDOR!A1263,PEDIDOS!$A:$A,0),2)</f>
        <v>CD REGIS</v>
      </c>
      <c r="D1263" s="3" t="str">
        <f>INDEX(PEDIDOS!$A:$D,MATCH(FORNECEDOR!A1263,PEDIDOS!$A:$A,0),3)</f>
        <v>MATRIZ</v>
      </c>
      <c r="E1263" s="3" t="str">
        <f>INDEX(PEDIDOS!$A:$D,MATCH(FORNECEDOR!A1263,PEDIDOS!$A:$A,0),4)</f>
        <v>CD REGIS</v>
      </c>
    </row>
    <row r="1264" spans="1:5" hidden="1" x14ac:dyDescent="0.25">
      <c r="A1264" s="1" t="s">
        <v>1263</v>
      </c>
      <c r="B1264" s="3">
        <f>COUNTIF(PEDIDOS!$A:$A,FORNECEDOR!A1264)</f>
        <v>0</v>
      </c>
      <c r="C1264" s="3" t="e">
        <f>INDEX(PEDIDOS!$A:$D,MATCH(FORNECEDOR!A1264,PEDIDOS!$A:$A,0),2)</f>
        <v>#N/A</v>
      </c>
      <c r="D1264" s="3" t="e">
        <f>INDEX(PEDIDOS!$A:$D,MATCH(FORNECEDOR!A1264,PEDIDOS!$A:$A,0),3)</f>
        <v>#N/A</v>
      </c>
      <c r="E1264" s="3" t="e">
        <f>INDEX(PEDIDOS!$A:$D,MATCH(FORNECEDOR!A1264,PEDIDOS!$A:$A,0),4)</f>
        <v>#N/A</v>
      </c>
    </row>
    <row r="1265" spans="1:5" x14ac:dyDescent="0.25">
      <c r="A1265" s="1" t="s">
        <v>1264</v>
      </c>
      <c r="B1265" s="3">
        <f>COUNTIF(PEDIDOS!$A:$A,FORNECEDOR!A1265)</f>
        <v>5</v>
      </c>
      <c r="C1265" s="3" t="str">
        <f>INDEX(PEDIDOS!$A:$D,MATCH(FORNECEDOR!A1265,PEDIDOS!$A:$A,0),2)</f>
        <v>CD ARAQUARI</v>
      </c>
      <c r="D1265" s="3" t="str">
        <f>INDEX(PEDIDOS!$A:$D,MATCH(FORNECEDOR!A1265,PEDIDOS!$A:$A,0),3)</f>
        <v>CD ARAQUARI</v>
      </c>
      <c r="E1265" s="3" t="str">
        <f>INDEX(PEDIDOS!$A:$D,MATCH(FORNECEDOR!A1265,PEDIDOS!$A:$A,0),4)</f>
        <v>CD ARAQUARI</v>
      </c>
    </row>
    <row r="1266" spans="1:5" hidden="1" x14ac:dyDescent="0.25">
      <c r="A1266" s="1" t="s">
        <v>1265</v>
      </c>
      <c r="B1266" s="3">
        <f>COUNTIF(PEDIDOS!$A:$A,FORNECEDOR!A1266)</f>
        <v>0</v>
      </c>
      <c r="C1266" s="3" t="e">
        <f>INDEX(PEDIDOS!$A:$D,MATCH(FORNECEDOR!A1266,PEDIDOS!$A:$A,0),2)</f>
        <v>#N/A</v>
      </c>
      <c r="D1266" s="3" t="e">
        <f>INDEX(PEDIDOS!$A:$D,MATCH(FORNECEDOR!A1266,PEDIDOS!$A:$A,0),3)</f>
        <v>#N/A</v>
      </c>
      <c r="E1266" s="3" t="e">
        <f>INDEX(PEDIDOS!$A:$D,MATCH(FORNECEDOR!A1266,PEDIDOS!$A:$A,0),4)</f>
        <v>#N/A</v>
      </c>
    </row>
    <row r="1267" spans="1:5" hidden="1" x14ac:dyDescent="0.25">
      <c r="A1267" s="1" t="s">
        <v>1266</v>
      </c>
      <c r="B1267" s="3">
        <f>COUNTIF(PEDIDOS!$A:$A,FORNECEDOR!A1267)</f>
        <v>0</v>
      </c>
      <c r="C1267" s="3" t="e">
        <f>INDEX(PEDIDOS!$A:$D,MATCH(FORNECEDOR!A1267,PEDIDOS!$A:$A,0),2)</f>
        <v>#N/A</v>
      </c>
      <c r="D1267" s="3" t="e">
        <f>INDEX(PEDIDOS!$A:$D,MATCH(FORNECEDOR!A1267,PEDIDOS!$A:$A,0),3)</f>
        <v>#N/A</v>
      </c>
      <c r="E1267" s="3" t="e">
        <f>INDEX(PEDIDOS!$A:$D,MATCH(FORNECEDOR!A1267,PEDIDOS!$A:$A,0),4)</f>
        <v>#N/A</v>
      </c>
    </row>
    <row r="1268" spans="1:5" hidden="1" x14ac:dyDescent="0.25">
      <c r="A1268" s="1" t="s">
        <v>1267</v>
      </c>
      <c r="B1268" s="3">
        <f>COUNTIF(PEDIDOS!$A:$A,FORNECEDOR!A1268)</f>
        <v>0</v>
      </c>
      <c r="C1268" s="3" t="e">
        <f>INDEX(PEDIDOS!$A:$D,MATCH(FORNECEDOR!A1268,PEDIDOS!$A:$A,0),2)</f>
        <v>#N/A</v>
      </c>
      <c r="D1268" s="3" t="e">
        <f>INDEX(PEDIDOS!$A:$D,MATCH(FORNECEDOR!A1268,PEDIDOS!$A:$A,0),3)</f>
        <v>#N/A</v>
      </c>
      <c r="E1268" s="3" t="e">
        <f>INDEX(PEDIDOS!$A:$D,MATCH(FORNECEDOR!A1268,PEDIDOS!$A:$A,0),4)</f>
        <v>#N/A</v>
      </c>
    </row>
    <row r="1269" spans="1:5" x14ac:dyDescent="0.25">
      <c r="A1269" s="1" t="s">
        <v>1268</v>
      </c>
      <c r="B1269" s="3">
        <f>COUNTIF(PEDIDOS!$A:$A,FORNECEDOR!A1269)</f>
        <v>1</v>
      </c>
      <c r="C1269" s="3" t="str">
        <f>INDEX(PEDIDOS!$A:$D,MATCH(FORNECEDOR!A1269,PEDIDOS!$A:$A,0),2)</f>
        <v>CD REGIS</v>
      </c>
      <c r="D1269" s="3" t="str">
        <f>INDEX(PEDIDOS!$A:$D,MATCH(FORNECEDOR!A1269,PEDIDOS!$A:$A,0),3)</f>
        <v>MATRIZ</v>
      </c>
      <c r="E1269" s="3" t="str">
        <f>INDEX(PEDIDOS!$A:$D,MATCH(FORNECEDOR!A1269,PEDIDOS!$A:$A,0),4)</f>
        <v>CD REGIS</v>
      </c>
    </row>
    <row r="1270" spans="1:5" x14ac:dyDescent="0.25">
      <c r="A1270" s="1" t="s">
        <v>1269</v>
      </c>
      <c r="B1270" s="3">
        <f>COUNTIF(PEDIDOS!$A:$A,FORNECEDOR!A1270)</f>
        <v>1</v>
      </c>
      <c r="C1270" s="3" t="str">
        <f>INDEX(PEDIDOS!$A:$D,MATCH(FORNECEDOR!A1270,PEDIDOS!$A:$A,0),2)</f>
        <v>CD REGIS</v>
      </c>
      <c r="D1270" s="3" t="str">
        <f>INDEX(PEDIDOS!$A:$D,MATCH(FORNECEDOR!A1270,PEDIDOS!$A:$A,0),3)</f>
        <v>TATUAPE</v>
      </c>
      <c r="E1270" s="3" t="str">
        <f>INDEX(PEDIDOS!$A:$D,MATCH(FORNECEDOR!A1270,PEDIDOS!$A:$A,0),4)</f>
        <v>CD REGIS</v>
      </c>
    </row>
    <row r="1271" spans="1:5" hidden="1" x14ac:dyDescent="0.25">
      <c r="A1271" s="1" t="s">
        <v>1270</v>
      </c>
      <c r="B1271" s="3">
        <f>COUNTIF(PEDIDOS!$A:$A,FORNECEDOR!A1271)</f>
        <v>0</v>
      </c>
      <c r="C1271" s="3" t="e">
        <f>INDEX(PEDIDOS!$A:$D,MATCH(FORNECEDOR!A1271,PEDIDOS!$A:$A,0),2)</f>
        <v>#N/A</v>
      </c>
      <c r="D1271" s="3" t="e">
        <f>INDEX(PEDIDOS!$A:$D,MATCH(FORNECEDOR!A1271,PEDIDOS!$A:$A,0),3)</f>
        <v>#N/A</v>
      </c>
      <c r="E1271" s="3" t="e">
        <f>INDEX(PEDIDOS!$A:$D,MATCH(FORNECEDOR!A1271,PEDIDOS!$A:$A,0),4)</f>
        <v>#N/A</v>
      </c>
    </row>
    <row r="1272" spans="1:5" x14ac:dyDescent="0.25">
      <c r="A1272" s="1" t="s">
        <v>1271</v>
      </c>
      <c r="B1272" s="3">
        <f>COUNTIF(PEDIDOS!$A:$A,FORNECEDOR!A1272)</f>
        <v>2</v>
      </c>
      <c r="C1272" s="3" t="str">
        <f>INDEX(PEDIDOS!$A:$D,MATCH(FORNECEDOR!A1272,PEDIDOS!$A:$A,0),2)</f>
        <v>CD REGIS</v>
      </c>
      <c r="D1272" s="3" t="str">
        <f>INDEX(PEDIDOS!$A:$D,MATCH(FORNECEDOR!A1272,PEDIDOS!$A:$A,0),3)</f>
        <v>MATRIZ</v>
      </c>
      <c r="E1272" s="3" t="str">
        <f>INDEX(PEDIDOS!$A:$D,MATCH(FORNECEDOR!A1272,PEDIDOS!$A:$A,0),4)</f>
        <v>CD REGIS</v>
      </c>
    </row>
    <row r="1273" spans="1:5" hidden="1" x14ac:dyDescent="0.25">
      <c r="A1273" s="1" t="s">
        <v>1272</v>
      </c>
      <c r="B1273" s="3">
        <f>COUNTIF(PEDIDOS!$A:$A,FORNECEDOR!A1273)</f>
        <v>0</v>
      </c>
      <c r="C1273" s="3" t="e">
        <f>INDEX(PEDIDOS!$A:$D,MATCH(FORNECEDOR!A1273,PEDIDOS!$A:$A,0),2)</f>
        <v>#N/A</v>
      </c>
      <c r="D1273" s="3" t="e">
        <f>INDEX(PEDIDOS!$A:$D,MATCH(FORNECEDOR!A1273,PEDIDOS!$A:$A,0),3)</f>
        <v>#N/A</v>
      </c>
      <c r="E1273" s="3" t="e">
        <f>INDEX(PEDIDOS!$A:$D,MATCH(FORNECEDOR!A1273,PEDIDOS!$A:$A,0),4)</f>
        <v>#N/A</v>
      </c>
    </row>
    <row r="1274" spans="1:5" hidden="1" x14ac:dyDescent="0.25">
      <c r="A1274" s="1" t="s">
        <v>1273</v>
      </c>
      <c r="B1274" s="3">
        <f>COUNTIF(PEDIDOS!$A:$A,FORNECEDOR!A1274)</f>
        <v>0</v>
      </c>
      <c r="C1274" s="3" t="e">
        <f>INDEX(PEDIDOS!$A:$D,MATCH(FORNECEDOR!A1274,PEDIDOS!$A:$A,0),2)</f>
        <v>#N/A</v>
      </c>
      <c r="D1274" s="3" t="e">
        <f>INDEX(PEDIDOS!$A:$D,MATCH(FORNECEDOR!A1274,PEDIDOS!$A:$A,0),3)</f>
        <v>#N/A</v>
      </c>
      <c r="E1274" s="3" t="e">
        <f>INDEX(PEDIDOS!$A:$D,MATCH(FORNECEDOR!A1274,PEDIDOS!$A:$A,0),4)</f>
        <v>#N/A</v>
      </c>
    </row>
    <row r="1275" spans="1:5" hidden="1" x14ac:dyDescent="0.25">
      <c r="A1275" s="1" t="s">
        <v>1274</v>
      </c>
      <c r="B1275" s="3">
        <f>COUNTIF(PEDIDOS!$A:$A,FORNECEDOR!A1275)</f>
        <v>0</v>
      </c>
      <c r="C1275" s="3" t="e">
        <f>INDEX(PEDIDOS!$A:$D,MATCH(FORNECEDOR!A1275,PEDIDOS!$A:$A,0),2)</f>
        <v>#N/A</v>
      </c>
      <c r="D1275" s="3" t="e">
        <f>INDEX(PEDIDOS!$A:$D,MATCH(FORNECEDOR!A1275,PEDIDOS!$A:$A,0),3)</f>
        <v>#N/A</v>
      </c>
      <c r="E1275" s="3" t="e">
        <f>INDEX(PEDIDOS!$A:$D,MATCH(FORNECEDOR!A1275,PEDIDOS!$A:$A,0),4)</f>
        <v>#N/A</v>
      </c>
    </row>
    <row r="1276" spans="1:5" hidden="1" x14ac:dyDescent="0.25">
      <c r="A1276" s="1" t="s">
        <v>1275</v>
      </c>
      <c r="B1276" s="3">
        <f>COUNTIF(PEDIDOS!$A:$A,FORNECEDOR!A1276)</f>
        <v>0</v>
      </c>
      <c r="C1276" s="3" t="e">
        <f>INDEX(PEDIDOS!$A:$D,MATCH(FORNECEDOR!A1276,PEDIDOS!$A:$A,0),2)</f>
        <v>#N/A</v>
      </c>
      <c r="D1276" s="3" t="e">
        <f>INDEX(PEDIDOS!$A:$D,MATCH(FORNECEDOR!A1276,PEDIDOS!$A:$A,0),3)</f>
        <v>#N/A</v>
      </c>
      <c r="E1276" s="3" t="e">
        <f>INDEX(PEDIDOS!$A:$D,MATCH(FORNECEDOR!A1276,PEDIDOS!$A:$A,0),4)</f>
        <v>#N/A</v>
      </c>
    </row>
    <row r="1277" spans="1:5" hidden="1" x14ac:dyDescent="0.25">
      <c r="A1277" s="1" t="s">
        <v>1276</v>
      </c>
      <c r="B1277" s="3">
        <f>COUNTIF(PEDIDOS!$A:$A,FORNECEDOR!A1277)</f>
        <v>0</v>
      </c>
      <c r="C1277" s="3" t="e">
        <f>INDEX(PEDIDOS!$A:$D,MATCH(FORNECEDOR!A1277,PEDIDOS!$A:$A,0),2)</f>
        <v>#N/A</v>
      </c>
      <c r="D1277" s="3" t="e">
        <f>INDEX(PEDIDOS!$A:$D,MATCH(FORNECEDOR!A1277,PEDIDOS!$A:$A,0),3)</f>
        <v>#N/A</v>
      </c>
      <c r="E1277" s="3" t="e">
        <f>INDEX(PEDIDOS!$A:$D,MATCH(FORNECEDOR!A1277,PEDIDOS!$A:$A,0),4)</f>
        <v>#N/A</v>
      </c>
    </row>
    <row r="1278" spans="1:5" hidden="1" x14ac:dyDescent="0.25">
      <c r="A1278" s="1" t="s">
        <v>1277</v>
      </c>
      <c r="B1278" s="3">
        <f>COUNTIF(PEDIDOS!$A:$A,FORNECEDOR!A1278)</f>
        <v>0</v>
      </c>
      <c r="C1278" s="3" t="e">
        <f>INDEX(PEDIDOS!$A:$D,MATCH(FORNECEDOR!A1278,PEDIDOS!$A:$A,0),2)</f>
        <v>#N/A</v>
      </c>
      <c r="D1278" s="3" t="e">
        <f>INDEX(PEDIDOS!$A:$D,MATCH(FORNECEDOR!A1278,PEDIDOS!$A:$A,0),3)</f>
        <v>#N/A</v>
      </c>
      <c r="E1278" s="3" t="e">
        <f>INDEX(PEDIDOS!$A:$D,MATCH(FORNECEDOR!A1278,PEDIDOS!$A:$A,0),4)</f>
        <v>#N/A</v>
      </c>
    </row>
    <row r="1279" spans="1:5" hidden="1" x14ac:dyDescent="0.25">
      <c r="A1279" s="1" t="s">
        <v>1278</v>
      </c>
      <c r="B1279" s="3">
        <f>COUNTIF(PEDIDOS!$A:$A,FORNECEDOR!A1279)</f>
        <v>0</v>
      </c>
      <c r="C1279" s="3" t="e">
        <f>INDEX(PEDIDOS!$A:$D,MATCH(FORNECEDOR!A1279,PEDIDOS!$A:$A,0),2)</f>
        <v>#N/A</v>
      </c>
      <c r="D1279" s="3" t="e">
        <f>INDEX(PEDIDOS!$A:$D,MATCH(FORNECEDOR!A1279,PEDIDOS!$A:$A,0),3)</f>
        <v>#N/A</v>
      </c>
      <c r="E1279" s="3" t="e">
        <f>INDEX(PEDIDOS!$A:$D,MATCH(FORNECEDOR!A1279,PEDIDOS!$A:$A,0),4)</f>
        <v>#N/A</v>
      </c>
    </row>
    <row r="1280" spans="1:5" hidden="1" x14ac:dyDescent="0.25">
      <c r="A1280" s="1" t="s">
        <v>1279</v>
      </c>
      <c r="B1280" s="3">
        <f>COUNTIF(PEDIDOS!$A:$A,FORNECEDOR!A1280)</f>
        <v>0</v>
      </c>
      <c r="C1280" s="3" t="e">
        <f>INDEX(PEDIDOS!$A:$D,MATCH(FORNECEDOR!A1280,PEDIDOS!$A:$A,0),2)</f>
        <v>#N/A</v>
      </c>
      <c r="D1280" s="3" t="e">
        <f>INDEX(PEDIDOS!$A:$D,MATCH(FORNECEDOR!A1280,PEDIDOS!$A:$A,0),3)</f>
        <v>#N/A</v>
      </c>
      <c r="E1280" s="3" t="e">
        <f>INDEX(PEDIDOS!$A:$D,MATCH(FORNECEDOR!A1280,PEDIDOS!$A:$A,0),4)</f>
        <v>#N/A</v>
      </c>
    </row>
    <row r="1281" spans="1:5" hidden="1" x14ac:dyDescent="0.25">
      <c r="A1281" s="1" t="s">
        <v>1280</v>
      </c>
      <c r="B1281" s="3">
        <f>COUNTIF(PEDIDOS!$A:$A,FORNECEDOR!A1281)</f>
        <v>0</v>
      </c>
      <c r="C1281" s="3" t="e">
        <f>INDEX(PEDIDOS!$A:$D,MATCH(FORNECEDOR!A1281,PEDIDOS!$A:$A,0),2)</f>
        <v>#N/A</v>
      </c>
      <c r="D1281" s="3" t="e">
        <f>INDEX(PEDIDOS!$A:$D,MATCH(FORNECEDOR!A1281,PEDIDOS!$A:$A,0),3)</f>
        <v>#N/A</v>
      </c>
      <c r="E1281" s="3" t="e">
        <f>INDEX(PEDIDOS!$A:$D,MATCH(FORNECEDOR!A1281,PEDIDOS!$A:$A,0),4)</f>
        <v>#N/A</v>
      </c>
    </row>
    <row r="1282" spans="1:5" x14ac:dyDescent="0.25">
      <c r="A1282" s="1" t="s">
        <v>1281</v>
      </c>
      <c r="B1282" s="3">
        <f>COUNTIF(PEDIDOS!$A:$A,FORNECEDOR!A1282)</f>
        <v>2</v>
      </c>
      <c r="C1282" s="3" t="str">
        <f>INDEX(PEDIDOS!$A:$D,MATCH(FORNECEDOR!A1282,PEDIDOS!$A:$A,0),2)</f>
        <v>CD REGIS</v>
      </c>
      <c r="D1282" s="3" t="str">
        <f>INDEX(PEDIDOS!$A:$D,MATCH(FORNECEDOR!A1282,PEDIDOS!$A:$A,0),3)</f>
        <v>MATRIZ</v>
      </c>
      <c r="E1282" s="3" t="str">
        <f>INDEX(PEDIDOS!$A:$D,MATCH(FORNECEDOR!A1282,PEDIDOS!$A:$A,0),4)</f>
        <v>CD REGIS</v>
      </c>
    </row>
    <row r="1283" spans="1:5" hidden="1" x14ac:dyDescent="0.25">
      <c r="A1283" s="1" t="s">
        <v>1282</v>
      </c>
      <c r="B1283" s="3">
        <f>COUNTIF(PEDIDOS!$A:$A,FORNECEDOR!A1283)</f>
        <v>0</v>
      </c>
      <c r="C1283" s="3" t="e">
        <f>INDEX(PEDIDOS!$A:$D,MATCH(FORNECEDOR!A1283,PEDIDOS!$A:$A,0),2)</f>
        <v>#N/A</v>
      </c>
      <c r="D1283" s="3" t="e">
        <f>INDEX(PEDIDOS!$A:$D,MATCH(FORNECEDOR!A1283,PEDIDOS!$A:$A,0),3)</f>
        <v>#N/A</v>
      </c>
      <c r="E1283" s="3" t="e">
        <f>INDEX(PEDIDOS!$A:$D,MATCH(FORNECEDOR!A1283,PEDIDOS!$A:$A,0),4)</f>
        <v>#N/A</v>
      </c>
    </row>
    <row r="1284" spans="1:5" hidden="1" x14ac:dyDescent="0.25">
      <c r="A1284" s="1" t="s">
        <v>1283</v>
      </c>
      <c r="B1284" s="3">
        <f>COUNTIF(PEDIDOS!$A:$A,FORNECEDOR!A1284)</f>
        <v>0</v>
      </c>
      <c r="C1284" s="3" t="e">
        <f>INDEX(PEDIDOS!$A:$D,MATCH(FORNECEDOR!A1284,PEDIDOS!$A:$A,0),2)</f>
        <v>#N/A</v>
      </c>
      <c r="D1284" s="3" t="e">
        <f>INDEX(PEDIDOS!$A:$D,MATCH(FORNECEDOR!A1284,PEDIDOS!$A:$A,0),3)</f>
        <v>#N/A</v>
      </c>
      <c r="E1284" s="3" t="e">
        <f>INDEX(PEDIDOS!$A:$D,MATCH(FORNECEDOR!A1284,PEDIDOS!$A:$A,0),4)</f>
        <v>#N/A</v>
      </c>
    </row>
    <row r="1285" spans="1:5" hidden="1" x14ac:dyDescent="0.25">
      <c r="A1285" s="1" t="s">
        <v>1284</v>
      </c>
      <c r="B1285" s="3">
        <f>COUNTIF(PEDIDOS!$A:$A,FORNECEDOR!A1285)</f>
        <v>0</v>
      </c>
      <c r="C1285" s="3" t="e">
        <f>INDEX(PEDIDOS!$A:$D,MATCH(FORNECEDOR!A1285,PEDIDOS!$A:$A,0),2)</f>
        <v>#N/A</v>
      </c>
      <c r="D1285" s="3" t="e">
        <f>INDEX(PEDIDOS!$A:$D,MATCH(FORNECEDOR!A1285,PEDIDOS!$A:$A,0),3)</f>
        <v>#N/A</v>
      </c>
      <c r="E1285" s="3" t="e">
        <f>INDEX(PEDIDOS!$A:$D,MATCH(FORNECEDOR!A1285,PEDIDOS!$A:$A,0),4)</f>
        <v>#N/A</v>
      </c>
    </row>
    <row r="1286" spans="1:5" hidden="1" x14ac:dyDescent="0.25">
      <c r="A1286" s="1" t="s">
        <v>1285</v>
      </c>
      <c r="B1286" s="3">
        <f>COUNTIF(PEDIDOS!$A:$A,FORNECEDOR!A1286)</f>
        <v>0</v>
      </c>
      <c r="C1286" s="3" t="e">
        <f>INDEX(PEDIDOS!$A:$D,MATCH(FORNECEDOR!A1286,PEDIDOS!$A:$A,0),2)</f>
        <v>#N/A</v>
      </c>
      <c r="D1286" s="3" t="e">
        <f>INDEX(PEDIDOS!$A:$D,MATCH(FORNECEDOR!A1286,PEDIDOS!$A:$A,0),3)</f>
        <v>#N/A</v>
      </c>
      <c r="E1286" s="3" t="e">
        <f>INDEX(PEDIDOS!$A:$D,MATCH(FORNECEDOR!A1286,PEDIDOS!$A:$A,0),4)</f>
        <v>#N/A</v>
      </c>
    </row>
    <row r="1287" spans="1:5" hidden="1" x14ac:dyDescent="0.25">
      <c r="A1287" s="1" t="s">
        <v>1286</v>
      </c>
      <c r="B1287" s="3">
        <f>COUNTIF(PEDIDOS!$A:$A,FORNECEDOR!A1287)</f>
        <v>0</v>
      </c>
      <c r="C1287" s="3" t="e">
        <f>INDEX(PEDIDOS!$A:$D,MATCH(FORNECEDOR!A1287,PEDIDOS!$A:$A,0),2)</f>
        <v>#N/A</v>
      </c>
      <c r="D1287" s="3" t="e">
        <f>INDEX(PEDIDOS!$A:$D,MATCH(FORNECEDOR!A1287,PEDIDOS!$A:$A,0),3)</f>
        <v>#N/A</v>
      </c>
      <c r="E1287" s="3" t="e">
        <f>INDEX(PEDIDOS!$A:$D,MATCH(FORNECEDOR!A1287,PEDIDOS!$A:$A,0),4)</f>
        <v>#N/A</v>
      </c>
    </row>
    <row r="1288" spans="1:5" hidden="1" x14ac:dyDescent="0.25">
      <c r="A1288" s="1" t="s">
        <v>1287</v>
      </c>
      <c r="B1288" s="3">
        <f>COUNTIF(PEDIDOS!$A:$A,FORNECEDOR!A1288)</f>
        <v>0</v>
      </c>
      <c r="C1288" s="3" t="e">
        <f>INDEX(PEDIDOS!$A:$D,MATCH(FORNECEDOR!A1288,PEDIDOS!$A:$A,0),2)</f>
        <v>#N/A</v>
      </c>
      <c r="D1288" s="3" t="e">
        <f>INDEX(PEDIDOS!$A:$D,MATCH(FORNECEDOR!A1288,PEDIDOS!$A:$A,0),3)</f>
        <v>#N/A</v>
      </c>
      <c r="E1288" s="3" t="e">
        <f>INDEX(PEDIDOS!$A:$D,MATCH(FORNECEDOR!A1288,PEDIDOS!$A:$A,0),4)</f>
        <v>#N/A</v>
      </c>
    </row>
    <row r="1289" spans="1:5" hidden="1" x14ac:dyDescent="0.25">
      <c r="A1289" s="1" t="s">
        <v>1288</v>
      </c>
      <c r="B1289" s="3">
        <f>COUNTIF(PEDIDOS!$A:$A,FORNECEDOR!A1289)</f>
        <v>0</v>
      </c>
      <c r="C1289" s="3" t="e">
        <f>INDEX(PEDIDOS!$A:$D,MATCH(FORNECEDOR!A1289,PEDIDOS!$A:$A,0),2)</f>
        <v>#N/A</v>
      </c>
      <c r="D1289" s="3" t="e">
        <f>INDEX(PEDIDOS!$A:$D,MATCH(FORNECEDOR!A1289,PEDIDOS!$A:$A,0),3)</f>
        <v>#N/A</v>
      </c>
      <c r="E1289" s="3" t="e">
        <f>INDEX(PEDIDOS!$A:$D,MATCH(FORNECEDOR!A1289,PEDIDOS!$A:$A,0),4)</f>
        <v>#N/A</v>
      </c>
    </row>
    <row r="1290" spans="1:5" hidden="1" x14ac:dyDescent="0.25">
      <c r="A1290" s="1" t="s">
        <v>1289</v>
      </c>
      <c r="B1290" s="3">
        <f>COUNTIF(PEDIDOS!$A:$A,FORNECEDOR!A1290)</f>
        <v>0</v>
      </c>
      <c r="C1290" s="3" t="e">
        <f>INDEX(PEDIDOS!$A:$D,MATCH(FORNECEDOR!A1290,PEDIDOS!$A:$A,0),2)</f>
        <v>#N/A</v>
      </c>
      <c r="D1290" s="3" t="e">
        <f>INDEX(PEDIDOS!$A:$D,MATCH(FORNECEDOR!A1290,PEDIDOS!$A:$A,0),3)</f>
        <v>#N/A</v>
      </c>
      <c r="E1290" s="3" t="e">
        <f>INDEX(PEDIDOS!$A:$D,MATCH(FORNECEDOR!A1290,PEDIDOS!$A:$A,0),4)</f>
        <v>#N/A</v>
      </c>
    </row>
    <row r="1291" spans="1:5" hidden="1" x14ac:dyDescent="0.25">
      <c r="A1291" s="1" t="s">
        <v>1290</v>
      </c>
      <c r="B1291" s="3">
        <f>COUNTIF(PEDIDOS!$A:$A,FORNECEDOR!A1291)</f>
        <v>0</v>
      </c>
      <c r="C1291" s="3" t="e">
        <f>INDEX(PEDIDOS!$A:$D,MATCH(FORNECEDOR!A1291,PEDIDOS!$A:$A,0),2)</f>
        <v>#N/A</v>
      </c>
      <c r="D1291" s="3" t="e">
        <f>INDEX(PEDIDOS!$A:$D,MATCH(FORNECEDOR!A1291,PEDIDOS!$A:$A,0),3)</f>
        <v>#N/A</v>
      </c>
      <c r="E1291" s="3" t="e">
        <f>INDEX(PEDIDOS!$A:$D,MATCH(FORNECEDOR!A1291,PEDIDOS!$A:$A,0),4)</f>
        <v>#N/A</v>
      </c>
    </row>
    <row r="1292" spans="1:5" hidden="1" x14ac:dyDescent="0.25">
      <c r="A1292" s="1" t="s">
        <v>1291</v>
      </c>
      <c r="B1292" s="3">
        <f>COUNTIF(PEDIDOS!$A:$A,FORNECEDOR!A1292)</f>
        <v>0</v>
      </c>
      <c r="C1292" s="3" t="e">
        <f>INDEX(PEDIDOS!$A:$D,MATCH(FORNECEDOR!A1292,PEDIDOS!$A:$A,0),2)</f>
        <v>#N/A</v>
      </c>
      <c r="D1292" s="3" t="e">
        <f>INDEX(PEDIDOS!$A:$D,MATCH(FORNECEDOR!A1292,PEDIDOS!$A:$A,0),3)</f>
        <v>#N/A</v>
      </c>
      <c r="E1292" s="3" t="e">
        <f>INDEX(PEDIDOS!$A:$D,MATCH(FORNECEDOR!A1292,PEDIDOS!$A:$A,0),4)</f>
        <v>#N/A</v>
      </c>
    </row>
    <row r="1293" spans="1:5" hidden="1" x14ac:dyDescent="0.25">
      <c r="A1293" s="1" t="s">
        <v>1292</v>
      </c>
      <c r="B1293" s="3">
        <f>COUNTIF(PEDIDOS!$A:$A,FORNECEDOR!A1293)</f>
        <v>0</v>
      </c>
      <c r="C1293" s="3" t="e">
        <f>INDEX(PEDIDOS!$A:$D,MATCH(FORNECEDOR!A1293,PEDIDOS!$A:$A,0),2)</f>
        <v>#N/A</v>
      </c>
      <c r="D1293" s="3" t="e">
        <f>INDEX(PEDIDOS!$A:$D,MATCH(FORNECEDOR!A1293,PEDIDOS!$A:$A,0),3)</f>
        <v>#N/A</v>
      </c>
      <c r="E1293" s="3" t="e">
        <f>INDEX(PEDIDOS!$A:$D,MATCH(FORNECEDOR!A1293,PEDIDOS!$A:$A,0),4)</f>
        <v>#N/A</v>
      </c>
    </row>
    <row r="1294" spans="1:5" hidden="1" x14ac:dyDescent="0.25">
      <c r="A1294" s="1" t="s">
        <v>1293</v>
      </c>
      <c r="B1294" s="3">
        <f>COUNTIF(PEDIDOS!$A:$A,FORNECEDOR!A1294)</f>
        <v>0</v>
      </c>
      <c r="C1294" s="3" t="e">
        <f>INDEX(PEDIDOS!$A:$D,MATCH(FORNECEDOR!A1294,PEDIDOS!$A:$A,0),2)</f>
        <v>#N/A</v>
      </c>
      <c r="D1294" s="3" t="e">
        <f>INDEX(PEDIDOS!$A:$D,MATCH(FORNECEDOR!A1294,PEDIDOS!$A:$A,0),3)</f>
        <v>#N/A</v>
      </c>
      <c r="E1294" s="3" t="e">
        <f>INDEX(PEDIDOS!$A:$D,MATCH(FORNECEDOR!A1294,PEDIDOS!$A:$A,0),4)</f>
        <v>#N/A</v>
      </c>
    </row>
    <row r="1295" spans="1:5" hidden="1" x14ac:dyDescent="0.25">
      <c r="A1295" s="1" t="s">
        <v>1294</v>
      </c>
      <c r="B1295" s="3">
        <f>COUNTIF(PEDIDOS!$A:$A,FORNECEDOR!A1295)</f>
        <v>0</v>
      </c>
      <c r="C1295" s="3" t="e">
        <f>INDEX(PEDIDOS!$A:$D,MATCH(FORNECEDOR!A1295,PEDIDOS!$A:$A,0),2)</f>
        <v>#N/A</v>
      </c>
      <c r="D1295" s="3" t="e">
        <f>INDEX(PEDIDOS!$A:$D,MATCH(FORNECEDOR!A1295,PEDIDOS!$A:$A,0),3)</f>
        <v>#N/A</v>
      </c>
      <c r="E1295" s="3" t="e">
        <f>INDEX(PEDIDOS!$A:$D,MATCH(FORNECEDOR!A1295,PEDIDOS!$A:$A,0),4)</f>
        <v>#N/A</v>
      </c>
    </row>
    <row r="1296" spans="1:5" x14ac:dyDescent="0.25">
      <c r="A1296" s="1" t="s">
        <v>1295</v>
      </c>
      <c r="B1296" s="3">
        <f>COUNTIF(PEDIDOS!$A:$A,FORNECEDOR!A1296)</f>
        <v>1</v>
      </c>
      <c r="C1296" s="3" t="str">
        <f>INDEX(PEDIDOS!$A:$D,MATCH(FORNECEDOR!A1296,PEDIDOS!$A:$A,0),2)</f>
        <v>SP - PARI</v>
      </c>
      <c r="D1296" s="3" t="str">
        <f>INDEX(PEDIDOS!$A:$D,MATCH(FORNECEDOR!A1296,PEDIDOS!$A:$A,0),3)</f>
        <v>SP - PARI</v>
      </c>
      <c r="E1296" s="3" t="str">
        <f>INDEX(PEDIDOS!$A:$D,MATCH(FORNECEDOR!A1296,PEDIDOS!$A:$A,0),4)</f>
        <v>SP - PARI</v>
      </c>
    </row>
    <row r="1297" spans="1:5" x14ac:dyDescent="0.25">
      <c r="A1297" s="1" t="s">
        <v>1296</v>
      </c>
      <c r="B1297" s="3">
        <f>COUNTIF(PEDIDOS!$A:$A,FORNECEDOR!A1297)</f>
        <v>1</v>
      </c>
      <c r="C1297" s="3" t="str">
        <f>INDEX(PEDIDOS!$A:$D,MATCH(FORNECEDOR!A1297,PEDIDOS!$A:$A,0),2)</f>
        <v>CD REGIS</v>
      </c>
      <c r="D1297" s="3" t="str">
        <f>INDEX(PEDIDOS!$A:$D,MATCH(FORNECEDOR!A1297,PEDIDOS!$A:$A,0),3)</f>
        <v>MATRIZ</v>
      </c>
      <c r="E1297" s="3" t="str">
        <f>INDEX(PEDIDOS!$A:$D,MATCH(FORNECEDOR!A1297,PEDIDOS!$A:$A,0),4)</f>
        <v>CD REGIS</v>
      </c>
    </row>
    <row r="1298" spans="1:5" hidden="1" x14ac:dyDescent="0.25">
      <c r="A1298" s="1" t="s">
        <v>1297</v>
      </c>
      <c r="B1298" s="3">
        <f>COUNTIF(PEDIDOS!$A:$A,FORNECEDOR!A1298)</f>
        <v>0</v>
      </c>
      <c r="C1298" s="3" t="e">
        <f>INDEX(PEDIDOS!$A:$D,MATCH(FORNECEDOR!A1298,PEDIDOS!$A:$A,0),2)</f>
        <v>#N/A</v>
      </c>
      <c r="D1298" s="3" t="e">
        <f>INDEX(PEDIDOS!$A:$D,MATCH(FORNECEDOR!A1298,PEDIDOS!$A:$A,0),3)</f>
        <v>#N/A</v>
      </c>
      <c r="E1298" s="3" t="e">
        <f>INDEX(PEDIDOS!$A:$D,MATCH(FORNECEDOR!A1298,PEDIDOS!$A:$A,0),4)</f>
        <v>#N/A</v>
      </c>
    </row>
    <row r="1299" spans="1:5" hidden="1" x14ac:dyDescent="0.25">
      <c r="A1299" s="1" t="s">
        <v>1298</v>
      </c>
      <c r="B1299" s="3">
        <f>COUNTIF(PEDIDOS!$A:$A,FORNECEDOR!A1299)</f>
        <v>0</v>
      </c>
      <c r="C1299" s="3" t="e">
        <f>INDEX(PEDIDOS!$A:$D,MATCH(FORNECEDOR!A1299,PEDIDOS!$A:$A,0),2)</f>
        <v>#N/A</v>
      </c>
      <c r="D1299" s="3" t="e">
        <f>INDEX(PEDIDOS!$A:$D,MATCH(FORNECEDOR!A1299,PEDIDOS!$A:$A,0),3)</f>
        <v>#N/A</v>
      </c>
      <c r="E1299" s="3" t="e">
        <f>INDEX(PEDIDOS!$A:$D,MATCH(FORNECEDOR!A1299,PEDIDOS!$A:$A,0),4)</f>
        <v>#N/A</v>
      </c>
    </row>
    <row r="1300" spans="1:5" hidden="1" x14ac:dyDescent="0.25">
      <c r="A1300" s="1" t="s">
        <v>1299</v>
      </c>
      <c r="B1300" s="3">
        <f>COUNTIF(PEDIDOS!$A:$A,FORNECEDOR!A1300)</f>
        <v>0</v>
      </c>
      <c r="C1300" s="3" t="e">
        <f>INDEX(PEDIDOS!$A:$D,MATCH(FORNECEDOR!A1300,PEDIDOS!$A:$A,0),2)</f>
        <v>#N/A</v>
      </c>
      <c r="D1300" s="3" t="e">
        <f>INDEX(PEDIDOS!$A:$D,MATCH(FORNECEDOR!A1300,PEDIDOS!$A:$A,0),3)</f>
        <v>#N/A</v>
      </c>
      <c r="E1300" s="3" t="e">
        <f>INDEX(PEDIDOS!$A:$D,MATCH(FORNECEDOR!A1300,PEDIDOS!$A:$A,0),4)</f>
        <v>#N/A</v>
      </c>
    </row>
    <row r="1301" spans="1:5" hidden="1" x14ac:dyDescent="0.25">
      <c r="A1301" s="1" t="s">
        <v>1300</v>
      </c>
      <c r="B1301" s="3">
        <f>COUNTIF(PEDIDOS!$A:$A,FORNECEDOR!A1301)</f>
        <v>0</v>
      </c>
      <c r="C1301" s="3" t="e">
        <f>INDEX(PEDIDOS!$A:$D,MATCH(FORNECEDOR!A1301,PEDIDOS!$A:$A,0),2)</f>
        <v>#N/A</v>
      </c>
      <c r="D1301" s="3" t="e">
        <f>INDEX(PEDIDOS!$A:$D,MATCH(FORNECEDOR!A1301,PEDIDOS!$A:$A,0),3)</f>
        <v>#N/A</v>
      </c>
      <c r="E1301" s="3" t="e">
        <f>INDEX(PEDIDOS!$A:$D,MATCH(FORNECEDOR!A1301,PEDIDOS!$A:$A,0),4)</f>
        <v>#N/A</v>
      </c>
    </row>
    <row r="1302" spans="1:5" hidden="1" x14ac:dyDescent="0.25">
      <c r="A1302" s="1" t="s">
        <v>1301</v>
      </c>
      <c r="B1302" s="3">
        <f>COUNTIF(PEDIDOS!$A:$A,FORNECEDOR!A1302)</f>
        <v>0</v>
      </c>
      <c r="C1302" s="3" t="e">
        <f>INDEX(PEDIDOS!$A:$D,MATCH(FORNECEDOR!A1302,PEDIDOS!$A:$A,0),2)</f>
        <v>#N/A</v>
      </c>
      <c r="D1302" s="3" t="e">
        <f>INDEX(PEDIDOS!$A:$D,MATCH(FORNECEDOR!A1302,PEDIDOS!$A:$A,0),3)</f>
        <v>#N/A</v>
      </c>
      <c r="E1302" s="3" t="e">
        <f>INDEX(PEDIDOS!$A:$D,MATCH(FORNECEDOR!A1302,PEDIDOS!$A:$A,0),4)</f>
        <v>#N/A</v>
      </c>
    </row>
    <row r="1303" spans="1:5" x14ac:dyDescent="0.25">
      <c r="A1303" s="1" t="s">
        <v>1302</v>
      </c>
      <c r="B1303" s="3">
        <f>COUNTIF(PEDIDOS!$A:$A,FORNECEDOR!A1303)</f>
        <v>1</v>
      </c>
      <c r="C1303" s="3" t="str">
        <f>INDEX(PEDIDOS!$A:$D,MATCH(FORNECEDOR!A1303,PEDIDOS!$A:$A,0),2)</f>
        <v>CD REGIS</v>
      </c>
      <c r="D1303" s="3" t="str">
        <f>INDEX(PEDIDOS!$A:$D,MATCH(FORNECEDOR!A1303,PEDIDOS!$A:$A,0),3)</f>
        <v>CD REGIS</v>
      </c>
      <c r="E1303" s="3" t="str">
        <f>INDEX(PEDIDOS!$A:$D,MATCH(FORNECEDOR!A1303,PEDIDOS!$A:$A,0),4)</f>
        <v>CD REGIS</v>
      </c>
    </row>
    <row r="1304" spans="1:5" x14ac:dyDescent="0.25">
      <c r="A1304" s="1" t="s">
        <v>1303</v>
      </c>
      <c r="B1304" s="3">
        <f>COUNTIF(PEDIDOS!$A:$A,FORNECEDOR!A1304)</f>
        <v>1</v>
      </c>
      <c r="C1304" s="3" t="str">
        <f>INDEX(PEDIDOS!$A:$D,MATCH(FORNECEDOR!A1304,PEDIDOS!$A:$A,0),2)</f>
        <v>CD REGIS</v>
      </c>
      <c r="D1304" s="3" t="str">
        <f>INDEX(PEDIDOS!$A:$D,MATCH(FORNECEDOR!A1304,PEDIDOS!$A:$A,0),3)</f>
        <v>CD REGIS</v>
      </c>
      <c r="E1304" s="3" t="str">
        <f>INDEX(PEDIDOS!$A:$D,MATCH(FORNECEDOR!A1304,PEDIDOS!$A:$A,0),4)</f>
        <v>CD REGIS</v>
      </c>
    </row>
    <row r="1305" spans="1:5" hidden="1" x14ac:dyDescent="0.25">
      <c r="A1305" s="1" t="s">
        <v>1304</v>
      </c>
      <c r="B1305" s="3">
        <f>COUNTIF(PEDIDOS!$A:$A,FORNECEDOR!A1305)</f>
        <v>0</v>
      </c>
      <c r="C1305" s="3" t="e">
        <f>INDEX(PEDIDOS!$A:$D,MATCH(FORNECEDOR!A1305,PEDIDOS!$A:$A,0),2)</f>
        <v>#N/A</v>
      </c>
      <c r="D1305" s="3" t="e">
        <f>INDEX(PEDIDOS!$A:$D,MATCH(FORNECEDOR!A1305,PEDIDOS!$A:$A,0),3)</f>
        <v>#N/A</v>
      </c>
      <c r="E1305" s="3" t="e">
        <f>INDEX(PEDIDOS!$A:$D,MATCH(FORNECEDOR!A1305,PEDIDOS!$A:$A,0),4)</f>
        <v>#N/A</v>
      </c>
    </row>
    <row r="1306" spans="1:5" hidden="1" x14ac:dyDescent="0.25">
      <c r="A1306" s="1" t="s">
        <v>1305</v>
      </c>
      <c r="B1306" s="3">
        <f>COUNTIF(PEDIDOS!$A:$A,FORNECEDOR!A1306)</f>
        <v>0</v>
      </c>
      <c r="C1306" s="3" t="e">
        <f>INDEX(PEDIDOS!$A:$D,MATCH(FORNECEDOR!A1306,PEDIDOS!$A:$A,0),2)</f>
        <v>#N/A</v>
      </c>
      <c r="D1306" s="3" t="e">
        <f>INDEX(PEDIDOS!$A:$D,MATCH(FORNECEDOR!A1306,PEDIDOS!$A:$A,0),3)</f>
        <v>#N/A</v>
      </c>
      <c r="E1306" s="3" t="e">
        <f>INDEX(PEDIDOS!$A:$D,MATCH(FORNECEDOR!A1306,PEDIDOS!$A:$A,0),4)</f>
        <v>#N/A</v>
      </c>
    </row>
    <row r="1307" spans="1:5" x14ac:dyDescent="0.25">
      <c r="A1307" s="1" t="s">
        <v>1306</v>
      </c>
      <c r="B1307" s="3">
        <f>COUNTIF(PEDIDOS!$A:$A,FORNECEDOR!A1307)</f>
        <v>1</v>
      </c>
      <c r="C1307" s="3" t="str">
        <f>INDEX(PEDIDOS!$A:$D,MATCH(FORNECEDOR!A1307,PEDIDOS!$A:$A,0),2)</f>
        <v>CD REGIS</v>
      </c>
      <c r="D1307" s="3" t="str">
        <f>INDEX(PEDIDOS!$A:$D,MATCH(FORNECEDOR!A1307,PEDIDOS!$A:$A,0),3)</f>
        <v>TATUAPE</v>
      </c>
      <c r="E1307" s="3" t="str">
        <f>INDEX(PEDIDOS!$A:$D,MATCH(FORNECEDOR!A1307,PEDIDOS!$A:$A,0),4)</f>
        <v>CD REGIS</v>
      </c>
    </row>
    <row r="1308" spans="1:5" hidden="1" x14ac:dyDescent="0.25">
      <c r="A1308" s="1" t="s">
        <v>1307</v>
      </c>
      <c r="B1308" s="3">
        <f>COUNTIF(PEDIDOS!$A:$A,FORNECEDOR!A1308)</f>
        <v>0</v>
      </c>
      <c r="C1308" s="3" t="e">
        <f>INDEX(PEDIDOS!$A:$D,MATCH(FORNECEDOR!A1308,PEDIDOS!$A:$A,0),2)</f>
        <v>#N/A</v>
      </c>
      <c r="D1308" s="3" t="e">
        <f>INDEX(PEDIDOS!$A:$D,MATCH(FORNECEDOR!A1308,PEDIDOS!$A:$A,0),3)</f>
        <v>#N/A</v>
      </c>
      <c r="E1308" s="3" t="e">
        <f>INDEX(PEDIDOS!$A:$D,MATCH(FORNECEDOR!A1308,PEDIDOS!$A:$A,0),4)</f>
        <v>#N/A</v>
      </c>
    </row>
    <row r="1309" spans="1:5" hidden="1" x14ac:dyDescent="0.25">
      <c r="A1309" s="1" t="s">
        <v>1308</v>
      </c>
      <c r="B1309" s="3">
        <f>COUNTIF(PEDIDOS!$A:$A,FORNECEDOR!A1309)</f>
        <v>0</v>
      </c>
      <c r="C1309" s="3" t="e">
        <f>INDEX(PEDIDOS!$A:$D,MATCH(FORNECEDOR!A1309,PEDIDOS!$A:$A,0),2)</f>
        <v>#N/A</v>
      </c>
      <c r="D1309" s="3" t="e">
        <f>INDEX(PEDIDOS!$A:$D,MATCH(FORNECEDOR!A1309,PEDIDOS!$A:$A,0),3)</f>
        <v>#N/A</v>
      </c>
      <c r="E1309" s="3" t="e">
        <f>INDEX(PEDIDOS!$A:$D,MATCH(FORNECEDOR!A1309,PEDIDOS!$A:$A,0),4)</f>
        <v>#N/A</v>
      </c>
    </row>
    <row r="1310" spans="1:5" hidden="1" x14ac:dyDescent="0.25">
      <c r="A1310" s="1" t="s">
        <v>1309</v>
      </c>
      <c r="B1310" s="3">
        <f>COUNTIF(PEDIDOS!$A:$A,FORNECEDOR!A1310)</f>
        <v>0</v>
      </c>
      <c r="C1310" s="3" t="e">
        <f>INDEX(PEDIDOS!$A:$D,MATCH(FORNECEDOR!A1310,PEDIDOS!$A:$A,0),2)</f>
        <v>#N/A</v>
      </c>
      <c r="D1310" s="3" t="e">
        <f>INDEX(PEDIDOS!$A:$D,MATCH(FORNECEDOR!A1310,PEDIDOS!$A:$A,0),3)</f>
        <v>#N/A</v>
      </c>
      <c r="E1310" s="3" t="e">
        <f>INDEX(PEDIDOS!$A:$D,MATCH(FORNECEDOR!A1310,PEDIDOS!$A:$A,0),4)</f>
        <v>#N/A</v>
      </c>
    </row>
    <row r="1311" spans="1:5" hidden="1" x14ac:dyDescent="0.25">
      <c r="A1311" s="1" t="s">
        <v>1310</v>
      </c>
      <c r="B1311" s="3">
        <f>COUNTIF(PEDIDOS!$A:$A,FORNECEDOR!A1311)</f>
        <v>0</v>
      </c>
      <c r="C1311" s="3" t="e">
        <f>INDEX(PEDIDOS!$A:$D,MATCH(FORNECEDOR!A1311,PEDIDOS!$A:$A,0),2)</f>
        <v>#N/A</v>
      </c>
      <c r="D1311" s="3" t="e">
        <f>INDEX(PEDIDOS!$A:$D,MATCH(FORNECEDOR!A1311,PEDIDOS!$A:$A,0),3)</f>
        <v>#N/A</v>
      </c>
      <c r="E1311" s="3" t="e">
        <f>INDEX(PEDIDOS!$A:$D,MATCH(FORNECEDOR!A1311,PEDIDOS!$A:$A,0),4)</f>
        <v>#N/A</v>
      </c>
    </row>
    <row r="1312" spans="1:5" x14ac:dyDescent="0.25">
      <c r="A1312" s="1" t="s">
        <v>1311</v>
      </c>
      <c r="B1312" s="3">
        <f>COUNTIF(PEDIDOS!$A:$A,FORNECEDOR!A1312)</f>
        <v>1</v>
      </c>
      <c r="C1312" s="3" t="str">
        <f>INDEX(PEDIDOS!$A:$D,MATCH(FORNECEDOR!A1312,PEDIDOS!$A:$A,0),2)</f>
        <v>CD REGIS</v>
      </c>
      <c r="D1312" s="3" t="str">
        <f>INDEX(PEDIDOS!$A:$D,MATCH(FORNECEDOR!A1312,PEDIDOS!$A:$A,0),3)</f>
        <v>TATUAPE</v>
      </c>
      <c r="E1312" s="3" t="str">
        <f>INDEX(PEDIDOS!$A:$D,MATCH(FORNECEDOR!A1312,PEDIDOS!$A:$A,0),4)</f>
        <v>CD REGIS</v>
      </c>
    </row>
    <row r="1313" spans="1:5" x14ac:dyDescent="0.25">
      <c r="A1313" s="1" t="s">
        <v>1312</v>
      </c>
      <c r="B1313" s="3">
        <f>COUNTIF(PEDIDOS!$A:$A,FORNECEDOR!A1313)</f>
        <v>2</v>
      </c>
      <c r="C1313" s="3" t="str">
        <f>INDEX(PEDIDOS!$A:$D,MATCH(FORNECEDOR!A1313,PEDIDOS!$A:$A,0),2)</f>
        <v>CD REGIS</v>
      </c>
      <c r="D1313" s="3" t="str">
        <f>INDEX(PEDIDOS!$A:$D,MATCH(FORNECEDOR!A1313,PEDIDOS!$A:$A,0),3)</f>
        <v>MATRIZ</v>
      </c>
      <c r="E1313" s="3" t="str">
        <f>INDEX(PEDIDOS!$A:$D,MATCH(FORNECEDOR!A1313,PEDIDOS!$A:$A,0),4)</f>
        <v>CD REGIS</v>
      </c>
    </row>
    <row r="1314" spans="1:5" x14ac:dyDescent="0.25">
      <c r="A1314" s="1" t="s">
        <v>1313</v>
      </c>
      <c r="B1314" s="3">
        <f>COUNTIF(PEDIDOS!$A:$A,FORNECEDOR!A1314)</f>
        <v>1</v>
      </c>
      <c r="C1314" s="3" t="str">
        <f>INDEX(PEDIDOS!$A:$D,MATCH(FORNECEDOR!A1314,PEDIDOS!$A:$A,0),2)</f>
        <v>SP - PARI</v>
      </c>
      <c r="D1314" s="3" t="str">
        <f>INDEX(PEDIDOS!$A:$D,MATCH(FORNECEDOR!A1314,PEDIDOS!$A:$A,0),3)</f>
        <v>SP - PARI</v>
      </c>
      <c r="E1314" s="3" t="str">
        <f>INDEX(PEDIDOS!$A:$D,MATCH(FORNECEDOR!A1314,PEDIDOS!$A:$A,0),4)</f>
        <v>SP - PARI</v>
      </c>
    </row>
    <row r="1315" spans="1:5" hidden="1" x14ac:dyDescent="0.25">
      <c r="A1315" s="1" t="s">
        <v>1314</v>
      </c>
      <c r="B1315" s="3">
        <f>COUNTIF(PEDIDOS!$A:$A,FORNECEDOR!A1315)</f>
        <v>0</v>
      </c>
      <c r="C1315" s="3" t="e">
        <f>INDEX(PEDIDOS!$A:$D,MATCH(FORNECEDOR!A1315,PEDIDOS!$A:$A,0),2)</f>
        <v>#N/A</v>
      </c>
      <c r="D1315" s="3" t="e">
        <f>INDEX(PEDIDOS!$A:$D,MATCH(FORNECEDOR!A1315,PEDIDOS!$A:$A,0),3)</f>
        <v>#N/A</v>
      </c>
      <c r="E1315" s="3" t="e">
        <f>INDEX(PEDIDOS!$A:$D,MATCH(FORNECEDOR!A1315,PEDIDOS!$A:$A,0),4)</f>
        <v>#N/A</v>
      </c>
    </row>
    <row r="1316" spans="1:5" x14ac:dyDescent="0.25">
      <c r="A1316" s="1" t="s">
        <v>1315</v>
      </c>
      <c r="B1316" s="3">
        <f>COUNTIF(PEDIDOS!$A:$A,FORNECEDOR!A1316)</f>
        <v>1</v>
      </c>
      <c r="C1316" s="3" t="str">
        <f>INDEX(PEDIDOS!$A:$D,MATCH(FORNECEDOR!A1316,PEDIDOS!$A:$A,0),2)</f>
        <v>MATRIZ</v>
      </c>
      <c r="D1316" s="3" t="str">
        <f>INDEX(PEDIDOS!$A:$D,MATCH(FORNECEDOR!A1316,PEDIDOS!$A:$A,0),3)</f>
        <v>MATRIZ</v>
      </c>
      <c r="E1316" s="3" t="str">
        <f>INDEX(PEDIDOS!$A:$D,MATCH(FORNECEDOR!A1316,PEDIDOS!$A:$A,0),4)</f>
        <v>MATRIZ</v>
      </c>
    </row>
    <row r="1317" spans="1:5" hidden="1" x14ac:dyDescent="0.25">
      <c r="A1317" s="1" t="s">
        <v>1316</v>
      </c>
      <c r="B1317" s="3">
        <f>COUNTIF(PEDIDOS!$A:$A,FORNECEDOR!A1317)</f>
        <v>0</v>
      </c>
      <c r="C1317" s="3" t="e">
        <f>INDEX(PEDIDOS!$A:$D,MATCH(FORNECEDOR!A1317,PEDIDOS!$A:$A,0),2)</f>
        <v>#N/A</v>
      </c>
      <c r="D1317" s="3" t="e">
        <f>INDEX(PEDIDOS!$A:$D,MATCH(FORNECEDOR!A1317,PEDIDOS!$A:$A,0),3)</f>
        <v>#N/A</v>
      </c>
      <c r="E1317" s="3" t="e">
        <f>INDEX(PEDIDOS!$A:$D,MATCH(FORNECEDOR!A1317,PEDIDOS!$A:$A,0),4)</f>
        <v>#N/A</v>
      </c>
    </row>
    <row r="1318" spans="1:5" hidden="1" x14ac:dyDescent="0.25">
      <c r="A1318" s="1" t="s">
        <v>1317</v>
      </c>
      <c r="B1318" s="3">
        <f>COUNTIF(PEDIDOS!$A:$A,FORNECEDOR!A1318)</f>
        <v>0</v>
      </c>
      <c r="C1318" s="3" t="e">
        <f>INDEX(PEDIDOS!$A:$D,MATCH(FORNECEDOR!A1318,PEDIDOS!$A:$A,0),2)</f>
        <v>#N/A</v>
      </c>
      <c r="D1318" s="3" t="e">
        <f>INDEX(PEDIDOS!$A:$D,MATCH(FORNECEDOR!A1318,PEDIDOS!$A:$A,0),3)</f>
        <v>#N/A</v>
      </c>
      <c r="E1318" s="3" t="e">
        <f>INDEX(PEDIDOS!$A:$D,MATCH(FORNECEDOR!A1318,PEDIDOS!$A:$A,0),4)</f>
        <v>#N/A</v>
      </c>
    </row>
    <row r="1319" spans="1:5" hidden="1" x14ac:dyDescent="0.25">
      <c r="A1319" s="1" t="s">
        <v>1318</v>
      </c>
      <c r="B1319" s="3">
        <f>COUNTIF(PEDIDOS!$A:$A,FORNECEDOR!A1319)</f>
        <v>0</v>
      </c>
      <c r="C1319" s="3" t="e">
        <f>INDEX(PEDIDOS!$A:$D,MATCH(FORNECEDOR!A1319,PEDIDOS!$A:$A,0),2)</f>
        <v>#N/A</v>
      </c>
      <c r="D1319" s="3" t="e">
        <f>INDEX(PEDIDOS!$A:$D,MATCH(FORNECEDOR!A1319,PEDIDOS!$A:$A,0),3)</f>
        <v>#N/A</v>
      </c>
      <c r="E1319" s="3" t="e">
        <f>INDEX(PEDIDOS!$A:$D,MATCH(FORNECEDOR!A1319,PEDIDOS!$A:$A,0),4)</f>
        <v>#N/A</v>
      </c>
    </row>
    <row r="1320" spans="1:5" hidden="1" x14ac:dyDescent="0.25">
      <c r="A1320" s="1" t="s">
        <v>1319</v>
      </c>
      <c r="B1320" s="3">
        <f>COUNTIF(PEDIDOS!$A:$A,FORNECEDOR!A1320)</f>
        <v>0</v>
      </c>
      <c r="C1320" s="3" t="e">
        <f>INDEX(PEDIDOS!$A:$D,MATCH(FORNECEDOR!A1320,PEDIDOS!$A:$A,0),2)</f>
        <v>#N/A</v>
      </c>
      <c r="D1320" s="3" t="e">
        <f>INDEX(PEDIDOS!$A:$D,MATCH(FORNECEDOR!A1320,PEDIDOS!$A:$A,0),3)</f>
        <v>#N/A</v>
      </c>
      <c r="E1320" s="3" t="e">
        <f>INDEX(PEDIDOS!$A:$D,MATCH(FORNECEDOR!A1320,PEDIDOS!$A:$A,0),4)</f>
        <v>#N/A</v>
      </c>
    </row>
    <row r="1321" spans="1:5" hidden="1" x14ac:dyDescent="0.25">
      <c r="A1321" s="1" t="s">
        <v>1320</v>
      </c>
      <c r="B1321" s="3">
        <f>COUNTIF(PEDIDOS!$A:$A,FORNECEDOR!A1321)</f>
        <v>0</v>
      </c>
      <c r="C1321" s="3" t="e">
        <f>INDEX(PEDIDOS!$A:$D,MATCH(FORNECEDOR!A1321,PEDIDOS!$A:$A,0),2)</f>
        <v>#N/A</v>
      </c>
      <c r="D1321" s="3" t="e">
        <f>INDEX(PEDIDOS!$A:$D,MATCH(FORNECEDOR!A1321,PEDIDOS!$A:$A,0),3)</f>
        <v>#N/A</v>
      </c>
      <c r="E1321" s="3" t="e">
        <f>INDEX(PEDIDOS!$A:$D,MATCH(FORNECEDOR!A1321,PEDIDOS!$A:$A,0),4)</f>
        <v>#N/A</v>
      </c>
    </row>
    <row r="1322" spans="1:5" hidden="1" x14ac:dyDescent="0.25">
      <c r="A1322" s="1" t="s">
        <v>1321</v>
      </c>
      <c r="B1322" s="3">
        <f>COUNTIF(PEDIDOS!$A:$A,FORNECEDOR!A1322)</f>
        <v>0</v>
      </c>
      <c r="C1322" s="3" t="e">
        <f>INDEX(PEDIDOS!$A:$D,MATCH(FORNECEDOR!A1322,PEDIDOS!$A:$A,0),2)</f>
        <v>#N/A</v>
      </c>
      <c r="D1322" s="3" t="e">
        <f>INDEX(PEDIDOS!$A:$D,MATCH(FORNECEDOR!A1322,PEDIDOS!$A:$A,0),3)</f>
        <v>#N/A</v>
      </c>
      <c r="E1322" s="3" t="e">
        <f>INDEX(PEDIDOS!$A:$D,MATCH(FORNECEDOR!A1322,PEDIDOS!$A:$A,0),4)</f>
        <v>#N/A</v>
      </c>
    </row>
    <row r="1323" spans="1:5" hidden="1" x14ac:dyDescent="0.25">
      <c r="A1323" s="1" t="s">
        <v>1322</v>
      </c>
      <c r="B1323" s="3">
        <f>COUNTIF(PEDIDOS!$A:$A,FORNECEDOR!A1323)</f>
        <v>0</v>
      </c>
      <c r="C1323" s="3" t="e">
        <f>INDEX(PEDIDOS!$A:$D,MATCH(FORNECEDOR!A1323,PEDIDOS!$A:$A,0),2)</f>
        <v>#N/A</v>
      </c>
      <c r="D1323" s="3" t="e">
        <f>INDEX(PEDIDOS!$A:$D,MATCH(FORNECEDOR!A1323,PEDIDOS!$A:$A,0),3)</f>
        <v>#N/A</v>
      </c>
      <c r="E1323" s="3" t="e">
        <f>INDEX(PEDIDOS!$A:$D,MATCH(FORNECEDOR!A1323,PEDIDOS!$A:$A,0),4)</f>
        <v>#N/A</v>
      </c>
    </row>
    <row r="1324" spans="1:5" hidden="1" x14ac:dyDescent="0.25">
      <c r="A1324" s="1" t="s">
        <v>1323</v>
      </c>
      <c r="B1324" s="3">
        <f>COUNTIF(PEDIDOS!$A:$A,FORNECEDOR!A1324)</f>
        <v>0</v>
      </c>
      <c r="C1324" s="3" t="e">
        <f>INDEX(PEDIDOS!$A:$D,MATCH(FORNECEDOR!A1324,PEDIDOS!$A:$A,0),2)</f>
        <v>#N/A</v>
      </c>
      <c r="D1324" s="3" t="e">
        <f>INDEX(PEDIDOS!$A:$D,MATCH(FORNECEDOR!A1324,PEDIDOS!$A:$A,0),3)</f>
        <v>#N/A</v>
      </c>
      <c r="E1324" s="3" t="e">
        <f>INDEX(PEDIDOS!$A:$D,MATCH(FORNECEDOR!A1324,PEDIDOS!$A:$A,0),4)</f>
        <v>#N/A</v>
      </c>
    </row>
    <row r="1325" spans="1:5" hidden="1" x14ac:dyDescent="0.25">
      <c r="A1325" s="1" t="s">
        <v>1324</v>
      </c>
      <c r="B1325" s="3">
        <f>COUNTIF(PEDIDOS!$A:$A,FORNECEDOR!A1325)</f>
        <v>0</v>
      </c>
      <c r="C1325" s="3" t="e">
        <f>INDEX(PEDIDOS!$A:$D,MATCH(FORNECEDOR!A1325,PEDIDOS!$A:$A,0),2)</f>
        <v>#N/A</v>
      </c>
      <c r="D1325" s="3" t="e">
        <f>INDEX(PEDIDOS!$A:$D,MATCH(FORNECEDOR!A1325,PEDIDOS!$A:$A,0),3)</f>
        <v>#N/A</v>
      </c>
      <c r="E1325" s="3" t="e">
        <f>INDEX(PEDIDOS!$A:$D,MATCH(FORNECEDOR!A1325,PEDIDOS!$A:$A,0),4)</f>
        <v>#N/A</v>
      </c>
    </row>
    <row r="1326" spans="1:5" hidden="1" x14ac:dyDescent="0.25">
      <c r="A1326" s="1" t="s">
        <v>1325</v>
      </c>
      <c r="B1326" s="3">
        <f>COUNTIF(PEDIDOS!$A:$A,FORNECEDOR!A1326)</f>
        <v>0</v>
      </c>
      <c r="C1326" s="3" t="e">
        <f>INDEX(PEDIDOS!$A:$D,MATCH(FORNECEDOR!A1326,PEDIDOS!$A:$A,0),2)</f>
        <v>#N/A</v>
      </c>
      <c r="D1326" s="3" t="e">
        <f>INDEX(PEDIDOS!$A:$D,MATCH(FORNECEDOR!A1326,PEDIDOS!$A:$A,0),3)</f>
        <v>#N/A</v>
      </c>
      <c r="E1326" s="3" t="e">
        <f>INDEX(PEDIDOS!$A:$D,MATCH(FORNECEDOR!A1326,PEDIDOS!$A:$A,0),4)</f>
        <v>#N/A</v>
      </c>
    </row>
    <row r="1327" spans="1:5" hidden="1" x14ac:dyDescent="0.25">
      <c r="A1327" s="1" t="s">
        <v>1326</v>
      </c>
      <c r="B1327" s="3">
        <f>COUNTIF(PEDIDOS!$A:$A,FORNECEDOR!A1327)</f>
        <v>0</v>
      </c>
      <c r="C1327" s="3" t="e">
        <f>INDEX(PEDIDOS!$A:$D,MATCH(FORNECEDOR!A1327,PEDIDOS!$A:$A,0),2)</f>
        <v>#N/A</v>
      </c>
      <c r="D1327" s="3" t="e">
        <f>INDEX(PEDIDOS!$A:$D,MATCH(FORNECEDOR!A1327,PEDIDOS!$A:$A,0),3)</f>
        <v>#N/A</v>
      </c>
      <c r="E1327" s="3" t="e">
        <f>INDEX(PEDIDOS!$A:$D,MATCH(FORNECEDOR!A1327,PEDIDOS!$A:$A,0),4)</f>
        <v>#N/A</v>
      </c>
    </row>
    <row r="1328" spans="1:5" hidden="1" x14ac:dyDescent="0.25">
      <c r="A1328" s="1" t="s">
        <v>1327</v>
      </c>
      <c r="B1328" s="3">
        <f>COUNTIF(PEDIDOS!$A:$A,FORNECEDOR!A1328)</f>
        <v>0</v>
      </c>
      <c r="C1328" s="3" t="e">
        <f>INDEX(PEDIDOS!$A:$D,MATCH(FORNECEDOR!A1328,PEDIDOS!$A:$A,0),2)</f>
        <v>#N/A</v>
      </c>
      <c r="D1328" s="3" t="e">
        <f>INDEX(PEDIDOS!$A:$D,MATCH(FORNECEDOR!A1328,PEDIDOS!$A:$A,0),3)</f>
        <v>#N/A</v>
      </c>
      <c r="E1328" s="3" t="e">
        <f>INDEX(PEDIDOS!$A:$D,MATCH(FORNECEDOR!A1328,PEDIDOS!$A:$A,0),4)</f>
        <v>#N/A</v>
      </c>
    </row>
    <row r="1329" spans="1:5" hidden="1" x14ac:dyDescent="0.25">
      <c r="A1329" s="1" t="s">
        <v>1328</v>
      </c>
      <c r="B1329" s="3">
        <f>COUNTIF(PEDIDOS!$A:$A,FORNECEDOR!A1329)</f>
        <v>0</v>
      </c>
      <c r="C1329" s="3" t="e">
        <f>INDEX(PEDIDOS!$A:$D,MATCH(FORNECEDOR!A1329,PEDIDOS!$A:$A,0),2)</f>
        <v>#N/A</v>
      </c>
      <c r="D1329" s="3" t="e">
        <f>INDEX(PEDIDOS!$A:$D,MATCH(FORNECEDOR!A1329,PEDIDOS!$A:$A,0),3)</f>
        <v>#N/A</v>
      </c>
      <c r="E1329" s="3" t="e">
        <f>INDEX(PEDIDOS!$A:$D,MATCH(FORNECEDOR!A1329,PEDIDOS!$A:$A,0),4)</f>
        <v>#N/A</v>
      </c>
    </row>
    <row r="1330" spans="1:5" x14ac:dyDescent="0.25">
      <c r="A1330" s="1" t="s">
        <v>1329</v>
      </c>
      <c r="B1330" s="3">
        <f>COUNTIF(PEDIDOS!$A:$A,FORNECEDOR!A1330)</f>
        <v>1</v>
      </c>
      <c r="C1330" s="3" t="str">
        <f>INDEX(PEDIDOS!$A:$D,MATCH(FORNECEDOR!A1330,PEDIDOS!$A:$A,0),2)</f>
        <v>MATRIZ</v>
      </c>
      <c r="D1330" s="3" t="str">
        <f>INDEX(PEDIDOS!$A:$D,MATCH(FORNECEDOR!A1330,PEDIDOS!$A:$A,0),3)</f>
        <v>MATRIZ</v>
      </c>
      <c r="E1330" s="3" t="str">
        <f>INDEX(PEDIDOS!$A:$D,MATCH(FORNECEDOR!A1330,PEDIDOS!$A:$A,0),4)</f>
        <v>MATRIZ</v>
      </c>
    </row>
    <row r="1331" spans="1:5" hidden="1" x14ac:dyDescent="0.25">
      <c r="A1331" s="1" t="s">
        <v>1330</v>
      </c>
      <c r="B1331" s="3">
        <f>COUNTIF(PEDIDOS!$A:$A,FORNECEDOR!A1331)</f>
        <v>0</v>
      </c>
      <c r="C1331" s="3" t="e">
        <f>INDEX(PEDIDOS!$A:$D,MATCH(FORNECEDOR!A1331,PEDIDOS!$A:$A,0),2)</f>
        <v>#N/A</v>
      </c>
      <c r="D1331" s="3" t="e">
        <f>INDEX(PEDIDOS!$A:$D,MATCH(FORNECEDOR!A1331,PEDIDOS!$A:$A,0),3)</f>
        <v>#N/A</v>
      </c>
      <c r="E1331" s="3" t="e">
        <f>INDEX(PEDIDOS!$A:$D,MATCH(FORNECEDOR!A1331,PEDIDOS!$A:$A,0),4)</f>
        <v>#N/A</v>
      </c>
    </row>
    <row r="1332" spans="1:5" hidden="1" x14ac:dyDescent="0.25">
      <c r="A1332" s="1" t="s">
        <v>1331</v>
      </c>
      <c r="B1332" s="3">
        <f>COUNTIF(PEDIDOS!$A:$A,FORNECEDOR!A1332)</f>
        <v>0</v>
      </c>
      <c r="C1332" s="3" t="e">
        <f>INDEX(PEDIDOS!$A:$D,MATCH(FORNECEDOR!A1332,PEDIDOS!$A:$A,0),2)</f>
        <v>#N/A</v>
      </c>
      <c r="D1332" s="3" t="e">
        <f>INDEX(PEDIDOS!$A:$D,MATCH(FORNECEDOR!A1332,PEDIDOS!$A:$A,0),3)</f>
        <v>#N/A</v>
      </c>
      <c r="E1332" s="3" t="e">
        <f>INDEX(PEDIDOS!$A:$D,MATCH(FORNECEDOR!A1332,PEDIDOS!$A:$A,0),4)</f>
        <v>#N/A</v>
      </c>
    </row>
    <row r="1333" spans="1:5" hidden="1" x14ac:dyDescent="0.25">
      <c r="A1333" s="1" t="s">
        <v>1332</v>
      </c>
      <c r="B1333" s="3">
        <f>COUNTIF(PEDIDOS!$A:$A,FORNECEDOR!A1333)</f>
        <v>0</v>
      </c>
      <c r="C1333" s="3" t="e">
        <f>INDEX(PEDIDOS!$A:$D,MATCH(FORNECEDOR!A1333,PEDIDOS!$A:$A,0),2)</f>
        <v>#N/A</v>
      </c>
      <c r="D1333" s="3" t="e">
        <f>INDEX(PEDIDOS!$A:$D,MATCH(FORNECEDOR!A1333,PEDIDOS!$A:$A,0),3)</f>
        <v>#N/A</v>
      </c>
      <c r="E1333" s="3" t="e">
        <f>INDEX(PEDIDOS!$A:$D,MATCH(FORNECEDOR!A1333,PEDIDOS!$A:$A,0),4)</f>
        <v>#N/A</v>
      </c>
    </row>
    <row r="1334" spans="1:5" x14ac:dyDescent="0.25">
      <c r="A1334" s="1" t="s">
        <v>1333</v>
      </c>
      <c r="B1334" s="3">
        <f>COUNTIF(PEDIDOS!$A:$A,FORNECEDOR!A1334)</f>
        <v>1</v>
      </c>
      <c r="C1334" s="3" t="str">
        <f>INDEX(PEDIDOS!$A:$D,MATCH(FORNECEDOR!A1334,PEDIDOS!$A:$A,0),2)</f>
        <v>AVANTI- ADM C.CREDITO</v>
      </c>
      <c r="D1334" s="3" t="str">
        <f>INDEX(PEDIDOS!$A:$D,MATCH(FORNECEDOR!A1334,PEDIDOS!$A:$A,0),3)</f>
        <v>AVANTI- ADM C.CREDITO</v>
      </c>
      <c r="E1334" s="3" t="str">
        <f>INDEX(PEDIDOS!$A:$D,MATCH(FORNECEDOR!A1334,PEDIDOS!$A:$A,0),4)</f>
        <v>AVANTI- ADM C.CREDITO</v>
      </c>
    </row>
    <row r="1335" spans="1:5" hidden="1" x14ac:dyDescent="0.25">
      <c r="A1335" s="1" t="s">
        <v>1334</v>
      </c>
      <c r="B1335" s="3">
        <f>COUNTIF(PEDIDOS!$A:$A,FORNECEDOR!A1335)</f>
        <v>0</v>
      </c>
      <c r="C1335" s="3" t="e">
        <f>INDEX(PEDIDOS!$A:$D,MATCH(FORNECEDOR!A1335,PEDIDOS!$A:$A,0),2)</f>
        <v>#N/A</v>
      </c>
      <c r="D1335" s="3" t="e">
        <f>INDEX(PEDIDOS!$A:$D,MATCH(FORNECEDOR!A1335,PEDIDOS!$A:$A,0),3)</f>
        <v>#N/A</v>
      </c>
      <c r="E1335" s="3" t="e">
        <f>INDEX(PEDIDOS!$A:$D,MATCH(FORNECEDOR!A1335,PEDIDOS!$A:$A,0),4)</f>
        <v>#N/A</v>
      </c>
    </row>
    <row r="1336" spans="1:5" hidden="1" x14ac:dyDescent="0.25">
      <c r="A1336" s="1" t="s">
        <v>1335</v>
      </c>
      <c r="B1336" s="3">
        <f>COUNTIF(PEDIDOS!$A:$A,FORNECEDOR!A1336)</f>
        <v>0</v>
      </c>
      <c r="C1336" s="3" t="e">
        <f>INDEX(PEDIDOS!$A:$D,MATCH(FORNECEDOR!A1336,PEDIDOS!$A:$A,0),2)</f>
        <v>#N/A</v>
      </c>
      <c r="D1336" s="3" t="e">
        <f>INDEX(PEDIDOS!$A:$D,MATCH(FORNECEDOR!A1336,PEDIDOS!$A:$A,0),3)</f>
        <v>#N/A</v>
      </c>
      <c r="E1336" s="3" t="e">
        <f>INDEX(PEDIDOS!$A:$D,MATCH(FORNECEDOR!A1336,PEDIDOS!$A:$A,0),4)</f>
        <v>#N/A</v>
      </c>
    </row>
    <row r="1337" spans="1:5" hidden="1" x14ac:dyDescent="0.25">
      <c r="A1337" s="1" t="s">
        <v>1336</v>
      </c>
      <c r="B1337" s="3">
        <f>COUNTIF(PEDIDOS!$A:$A,FORNECEDOR!A1337)</f>
        <v>0</v>
      </c>
      <c r="C1337" s="3" t="e">
        <f>INDEX(PEDIDOS!$A:$D,MATCH(FORNECEDOR!A1337,PEDIDOS!$A:$A,0),2)</f>
        <v>#N/A</v>
      </c>
      <c r="D1337" s="3" t="e">
        <f>INDEX(PEDIDOS!$A:$D,MATCH(FORNECEDOR!A1337,PEDIDOS!$A:$A,0),3)</f>
        <v>#N/A</v>
      </c>
      <c r="E1337" s="3" t="e">
        <f>INDEX(PEDIDOS!$A:$D,MATCH(FORNECEDOR!A1337,PEDIDOS!$A:$A,0),4)</f>
        <v>#N/A</v>
      </c>
    </row>
    <row r="1338" spans="1:5" hidden="1" x14ac:dyDescent="0.25">
      <c r="A1338" s="1" t="s">
        <v>1337</v>
      </c>
      <c r="B1338" s="3">
        <f>COUNTIF(PEDIDOS!$A:$A,FORNECEDOR!A1338)</f>
        <v>0</v>
      </c>
      <c r="C1338" s="3" t="e">
        <f>INDEX(PEDIDOS!$A:$D,MATCH(FORNECEDOR!A1338,PEDIDOS!$A:$A,0),2)</f>
        <v>#N/A</v>
      </c>
      <c r="D1338" s="3" t="e">
        <f>INDEX(PEDIDOS!$A:$D,MATCH(FORNECEDOR!A1338,PEDIDOS!$A:$A,0),3)</f>
        <v>#N/A</v>
      </c>
      <c r="E1338" s="3" t="e">
        <f>INDEX(PEDIDOS!$A:$D,MATCH(FORNECEDOR!A1338,PEDIDOS!$A:$A,0),4)</f>
        <v>#N/A</v>
      </c>
    </row>
    <row r="1339" spans="1:5" x14ac:dyDescent="0.25">
      <c r="A1339" s="1" t="s">
        <v>1338</v>
      </c>
      <c r="B1339" s="3">
        <f>COUNTIF(PEDIDOS!$A:$A,FORNECEDOR!A1339)</f>
        <v>1</v>
      </c>
      <c r="C1339" s="3" t="str">
        <f>INDEX(PEDIDOS!$A:$D,MATCH(FORNECEDOR!A1339,PEDIDOS!$A:$A,0),2)</f>
        <v>CD REGIS</v>
      </c>
      <c r="D1339" s="3" t="str">
        <f>INDEX(PEDIDOS!$A:$D,MATCH(FORNECEDOR!A1339,PEDIDOS!$A:$A,0),3)</f>
        <v>TATUAPE</v>
      </c>
      <c r="E1339" s="3" t="str">
        <f>INDEX(PEDIDOS!$A:$D,MATCH(FORNECEDOR!A1339,PEDIDOS!$A:$A,0),4)</f>
        <v>CD REGIS</v>
      </c>
    </row>
    <row r="1340" spans="1:5" hidden="1" x14ac:dyDescent="0.25">
      <c r="A1340" s="1" t="s">
        <v>1339</v>
      </c>
      <c r="B1340" s="3">
        <f>COUNTIF(PEDIDOS!$A:$A,FORNECEDOR!A1340)</f>
        <v>0</v>
      </c>
      <c r="C1340" s="3" t="e">
        <f>INDEX(PEDIDOS!$A:$D,MATCH(FORNECEDOR!A1340,PEDIDOS!$A:$A,0),2)</f>
        <v>#N/A</v>
      </c>
      <c r="D1340" s="3" t="e">
        <f>INDEX(PEDIDOS!$A:$D,MATCH(FORNECEDOR!A1340,PEDIDOS!$A:$A,0),3)</f>
        <v>#N/A</v>
      </c>
      <c r="E1340" s="3" t="e">
        <f>INDEX(PEDIDOS!$A:$D,MATCH(FORNECEDOR!A1340,PEDIDOS!$A:$A,0),4)</f>
        <v>#N/A</v>
      </c>
    </row>
    <row r="1341" spans="1:5" x14ac:dyDescent="0.25">
      <c r="A1341" s="1" t="s">
        <v>1340</v>
      </c>
      <c r="B1341" s="3">
        <f>COUNTIF(PEDIDOS!$A:$A,FORNECEDOR!A1341)</f>
        <v>10</v>
      </c>
      <c r="C1341" s="3" t="str">
        <f>INDEX(PEDIDOS!$A:$D,MATCH(FORNECEDOR!A1341,PEDIDOS!$A:$A,0),2)</f>
        <v>CIDADE OCIAN</v>
      </c>
      <c r="D1341" s="3" t="str">
        <f>INDEX(PEDIDOS!$A:$D,MATCH(FORNECEDOR!A1341,PEDIDOS!$A:$A,0),3)</f>
        <v>CIDADE OCIAN</v>
      </c>
      <c r="E1341" s="3" t="str">
        <f>INDEX(PEDIDOS!$A:$D,MATCH(FORNECEDOR!A1341,PEDIDOS!$A:$A,0),4)</f>
        <v>CIDADE OCIAN</v>
      </c>
    </row>
    <row r="1342" spans="1:5" hidden="1" x14ac:dyDescent="0.25">
      <c r="A1342" s="1" t="s">
        <v>1341</v>
      </c>
      <c r="B1342" s="3">
        <f>COUNTIF(PEDIDOS!$A:$A,FORNECEDOR!A1342)</f>
        <v>0</v>
      </c>
      <c r="C1342" s="3" t="e">
        <f>INDEX(PEDIDOS!$A:$D,MATCH(FORNECEDOR!A1342,PEDIDOS!$A:$A,0),2)</f>
        <v>#N/A</v>
      </c>
      <c r="D1342" s="3" t="e">
        <f>INDEX(PEDIDOS!$A:$D,MATCH(FORNECEDOR!A1342,PEDIDOS!$A:$A,0),3)</f>
        <v>#N/A</v>
      </c>
      <c r="E1342" s="3" t="e">
        <f>INDEX(PEDIDOS!$A:$D,MATCH(FORNECEDOR!A1342,PEDIDOS!$A:$A,0),4)</f>
        <v>#N/A</v>
      </c>
    </row>
    <row r="1343" spans="1:5" x14ac:dyDescent="0.25">
      <c r="A1343" s="1" t="s">
        <v>1342</v>
      </c>
      <c r="B1343" s="3">
        <f>COUNTIF(PEDIDOS!$A:$A,FORNECEDOR!A1343)</f>
        <v>1</v>
      </c>
      <c r="C1343" s="3" t="str">
        <f>INDEX(PEDIDOS!$A:$D,MATCH(FORNECEDOR!A1343,PEDIDOS!$A:$A,0),2)</f>
        <v>SP - PARI</v>
      </c>
      <c r="D1343" s="3" t="str">
        <f>INDEX(PEDIDOS!$A:$D,MATCH(FORNECEDOR!A1343,PEDIDOS!$A:$A,0),3)</f>
        <v>SP - PARI</v>
      </c>
      <c r="E1343" s="3" t="str">
        <f>INDEX(PEDIDOS!$A:$D,MATCH(FORNECEDOR!A1343,PEDIDOS!$A:$A,0),4)</f>
        <v>SP - PARI</v>
      </c>
    </row>
    <row r="1344" spans="1:5" x14ac:dyDescent="0.25">
      <c r="A1344" s="1" t="s">
        <v>1343</v>
      </c>
      <c r="B1344" s="3">
        <f>COUNTIF(PEDIDOS!$A:$A,FORNECEDOR!A1344)</f>
        <v>1</v>
      </c>
      <c r="C1344" s="3" t="str">
        <f>INDEX(PEDIDOS!$A:$D,MATCH(FORNECEDOR!A1344,PEDIDOS!$A:$A,0),2)</f>
        <v>AVANTI- ADM C.CREDITO</v>
      </c>
      <c r="D1344" s="3" t="str">
        <f>INDEX(PEDIDOS!$A:$D,MATCH(FORNECEDOR!A1344,PEDIDOS!$A:$A,0),3)</f>
        <v>AVANTI- ADM C.CREDITO</v>
      </c>
      <c r="E1344" s="3" t="str">
        <f>INDEX(PEDIDOS!$A:$D,MATCH(FORNECEDOR!A1344,PEDIDOS!$A:$A,0),4)</f>
        <v>AVANTI- ADM C.CREDITO</v>
      </c>
    </row>
    <row r="1345" spans="1:5" hidden="1" x14ac:dyDescent="0.25">
      <c r="A1345" s="1" t="s">
        <v>1344</v>
      </c>
      <c r="B1345" s="3">
        <f>COUNTIF(PEDIDOS!$A:$A,FORNECEDOR!A1345)</f>
        <v>0</v>
      </c>
      <c r="C1345" s="3" t="e">
        <f>INDEX(PEDIDOS!$A:$D,MATCH(FORNECEDOR!A1345,PEDIDOS!$A:$A,0),2)</f>
        <v>#N/A</v>
      </c>
      <c r="D1345" s="3" t="e">
        <f>INDEX(PEDIDOS!$A:$D,MATCH(FORNECEDOR!A1345,PEDIDOS!$A:$A,0),3)</f>
        <v>#N/A</v>
      </c>
      <c r="E1345" s="3" t="e">
        <f>INDEX(PEDIDOS!$A:$D,MATCH(FORNECEDOR!A1345,PEDIDOS!$A:$A,0),4)</f>
        <v>#N/A</v>
      </c>
    </row>
    <row r="1346" spans="1:5" hidden="1" x14ac:dyDescent="0.25">
      <c r="A1346" s="1" t="s">
        <v>1345</v>
      </c>
      <c r="B1346" s="3">
        <f>COUNTIF(PEDIDOS!$A:$A,FORNECEDOR!A1346)</f>
        <v>0</v>
      </c>
      <c r="C1346" s="3" t="e">
        <f>INDEX(PEDIDOS!$A:$D,MATCH(FORNECEDOR!A1346,PEDIDOS!$A:$A,0),2)</f>
        <v>#N/A</v>
      </c>
      <c r="D1346" s="3" t="e">
        <f>INDEX(PEDIDOS!$A:$D,MATCH(FORNECEDOR!A1346,PEDIDOS!$A:$A,0),3)</f>
        <v>#N/A</v>
      </c>
      <c r="E1346" s="3" t="e">
        <f>INDEX(PEDIDOS!$A:$D,MATCH(FORNECEDOR!A1346,PEDIDOS!$A:$A,0),4)</f>
        <v>#N/A</v>
      </c>
    </row>
    <row r="1347" spans="1:5" hidden="1" x14ac:dyDescent="0.25">
      <c r="A1347" s="1" t="s">
        <v>1346</v>
      </c>
      <c r="B1347" s="3">
        <f>COUNTIF(PEDIDOS!$A:$A,FORNECEDOR!A1347)</f>
        <v>0</v>
      </c>
      <c r="C1347" s="3" t="e">
        <f>INDEX(PEDIDOS!$A:$D,MATCH(FORNECEDOR!A1347,PEDIDOS!$A:$A,0),2)</f>
        <v>#N/A</v>
      </c>
      <c r="D1347" s="3" t="e">
        <f>INDEX(PEDIDOS!$A:$D,MATCH(FORNECEDOR!A1347,PEDIDOS!$A:$A,0),3)</f>
        <v>#N/A</v>
      </c>
      <c r="E1347" s="3" t="e">
        <f>INDEX(PEDIDOS!$A:$D,MATCH(FORNECEDOR!A1347,PEDIDOS!$A:$A,0),4)</f>
        <v>#N/A</v>
      </c>
    </row>
    <row r="1348" spans="1:5" hidden="1" x14ac:dyDescent="0.25">
      <c r="A1348" s="1" t="s">
        <v>1347</v>
      </c>
      <c r="B1348" s="3">
        <f>COUNTIF(PEDIDOS!$A:$A,FORNECEDOR!A1348)</f>
        <v>0</v>
      </c>
      <c r="C1348" s="3" t="e">
        <f>INDEX(PEDIDOS!$A:$D,MATCH(FORNECEDOR!A1348,PEDIDOS!$A:$A,0),2)</f>
        <v>#N/A</v>
      </c>
      <c r="D1348" s="3" t="e">
        <f>INDEX(PEDIDOS!$A:$D,MATCH(FORNECEDOR!A1348,PEDIDOS!$A:$A,0),3)</f>
        <v>#N/A</v>
      </c>
      <c r="E1348" s="3" t="e">
        <f>INDEX(PEDIDOS!$A:$D,MATCH(FORNECEDOR!A1348,PEDIDOS!$A:$A,0),4)</f>
        <v>#N/A</v>
      </c>
    </row>
    <row r="1349" spans="1:5" hidden="1" x14ac:dyDescent="0.25">
      <c r="A1349" s="1" t="s">
        <v>1348</v>
      </c>
      <c r="B1349" s="3">
        <f>COUNTIF(PEDIDOS!$A:$A,FORNECEDOR!A1349)</f>
        <v>0</v>
      </c>
      <c r="C1349" s="3" t="e">
        <f>INDEX(PEDIDOS!$A:$D,MATCH(FORNECEDOR!A1349,PEDIDOS!$A:$A,0),2)</f>
        <v>#N/A</v>
      </c>
      <c r="D1349" s="3" t="e">
        <f>INDEX(PEDIDOS!$A:$D,MATCH(FORNECEDOR!A1349,PEDIDOS!$A:$A,0),3)</f>
        <v>#N/A</v>
      </c>
      <c r="E1349" s="3" t="e">
        <f>INDEX(PEDIDOS!$A:$D,MATCH(FORNECEDOR!A1349,PEDIDOS!$A:$A,0),4)</f>
        <v>#N/A</v>
      </c>
    </row>
    <row r="1350" spans="1:5" hidden="1" x14ac:dyDescent="0.25">
      <c r="A1350" s="1" t="s">
        <v>1349</v>
      </c>
      <c r="B1350" s="3">
        <f>COUNTIF(PEDIDOS!$A:$A,FORNECEDOR!A1350)</f>
        <v>0</v>
      </c>
      <c r="C1350" s="3" t="e">
        <f>INDEX(PEDIDOS!$A:$D,MATCH(FORNECEDOR!A1350,PEDIDOS!$A:$A,0),2)</f>
        <v>#N/A</v>
      </c>
      <c r="D1350" s="3" t="e">
        <f>INDEX(PEDIDOS!$A:$D,MATCH(FORNECEDOR!A1350,PEDIDOS!$A:$A,0),3)</f>
        <v>#N/A</v>
      </c>
      <c r="E1350" s="3" t="e">
        <f>INDEX(PEDIDOS!$A:$D,MATCH(FORNECEDOR!A1350,PEDIDOS!$A:$A,0),4)</f>
        <v>#N/A</v>
      </c>
    </row>
    <row r="1351" spans="1:5" hidden="1" x14ac:dyDescent="0.25">
      <c r="A1351" s="1" t="s">
        <v>1350</v>
      </c>
      <c r="B1351" s="3">
        <f>COUNTIF(PEDIDOS!$A:$A,FORNECEDOR!A1351)</f>
        <v>0</v>
      </c>
      <c r="C1351" s="3" t="e">
        <f>INDEX(PEDIDOS!$A:$D,MATCH(FORNECEDOR!A1351,PEDIDOS!$A:$A,0),2)</f>
        <v>#N/A</v>
      </c>
      <c r="D1351" s="3" t="e">
        <f>INDEX(PEDIDOS!$A:$D,MATCH(FORNECEDOR!A1351,PEDIDOS!$A:$A,0),3)</f>
        <v>#N/A</v>
      </c>
      <c r="E1351" s="3" t="e">
        <f>INDEX(PEDIDOS!$A:$D,MATCH(FORNECEDOR!A1351,PEDIDOS!$A:$A,0),4)</f>
        <v>#N/A</v>
      </c>
    </row>
    <row r="1352" spans="1:5" x14ac:dyDescent="0.25">
      <c r="A1352" s="1" t="s">
        <v>1351</v>
      </c>
      <c r="B1352" s="3">
        <f>COUNTIF(PEDIDOS!$A:$A,FORNECEDOR!A1352)</f>
        <v>1</v>
      </c>
      <c r="C1352" s="3" t="str">
        <f>INDEX(PEDIDOS!$A:$D,MATCH(FORNECEDOR!A1352,PEDIDOS!$A:$A,0),2)</f>
        <v>CD REGIS</v>
      </c>
      <c r="D1352" s="3" t="str">
        <f>INDEX(PEDIDOS!$A:$D,MATCH(FORNECEDOR!A1352,PEDIDOS!$A:$A,0),3)</f>
        <v>TATUAPE</v>
      </c>
      <c r="E1352" s="3" t="str">
        <f>INDEX(PEDIDOS!$A:$D,MATCH(FORNECEDOR!A1352,PEDIDOS!$A:$A,0),4)</f>
        <v>CD REGIS</v>
      </c>
    </row>
    <row r="1353" spans="1:5" hidden="1" x14ac:dyDescent="0.25">
      <c r="A1353" s="1" t="s">
        <v>1352</v>
      </c>
      <c r="B1353" s="3">
        <f>COUNTIF(PEDIDOS!$A:$A,FORNECEDOR!A1353)</f>
        <v>0</v>
      </c>
      <c r="C1353" s="3" t="e">
        <f>INDEX(PEDIDOS!$A:$D,MATCH(FORNECEDOR!A1353,PEDIDOS!$A:$A,0),2)</f>
        <v>#N/A</v>
      </c>
      <c r="D1353" s="3" t="e">
        <f>INDEX(PEDIDOS!$A:$D,MATCH(FORNECEDOR!A1353,PEDIDOS!$A:$A,0),3)</f>
        <v>#N/A</v>
      </c>
      <c r="E1353" s="3" t="e">
        <f>INDEX(PEDIDOS!$A:$D,MATCH(FORNECEDOR!A1353,PEDIDOS!$A:$A,0),4)</f>
        <v>#N/A</v>
      </c>
    </row>
    <row r="1354" spans="1:5" x14ac:dyDescent="0.25">
      <c r="A1354" s="1" t="s">
        <v>1353</v>
      </c>
      <c r="B1354" s="3">
        <f>COUNTIF(PEDIDOS!$A:$A,FORNECEDOR!A1354)</f>
        <v>2</v>
      </c>
      <c r="C1354" s="3" t="str">
        <f>INDEX(PEDIDOS!$A:$D,MATCH(FORNECEDOR!A1354,PEDIDOS!$A:$A,0),2)</f>
        <v>CD REGIS</v>
      </c>
      <c r="D1354" s="3" t="str">
        <f>INDEX(PEDIDOS!$A:$D,MATCH(FORNECEDOR!A1354,PEDIDOS!$A:$A,0),3)</f>
        <v>MATRIZ</v>
      </c>
      <c r="E1354" s="3" t="str">
        <f>INDEX(PEDIDOS!$A:$D,MATCH(FORNECEDOR!A1354,PEDIDOS!$A:$A,0),4)</f>
        <v>CD REGIS</v>
      </c>
    </row>
    <row r="1355" spans="1:5" x14ac:dyDescent="0.25">
      <c r="A1355" s="1" t="s">
        <v>1354</v>
      </c>
      <c r="B1355" s="3">
        <f>COUNTIF(PEDIDOS!$A:$A,FORNECEDOR!A1355)</f>
        <v>1</v>
      </c>
      <c r="C1355" s="3" t="str">
        <f>INDEX(PEDIDOS!$A:$D,MATCH(FORNECEDOR!A1355,PEDIDOS!$A:$A,0),2)</f>
        <v>CD REGIS</v>
      </c>
      <c r="D1355" s="3" t="str">
        <f>INDEX(PEDIDOS!$A:$D,MATCH(FORNECEDOR!A1355,PEDIDOS!$A:$A,0),3)</f>
        <v>MATRIZ</v>
      </c>
      <c r="E1355" s="3" t="str">
        <f>INDEX(PEDIDOS!$A:$D,MATCH(FORNECEDOR!A1355,PEDIDOS!$A:$A,0),4)</f>
        <v>CD REGIS</v>
      </c>
    </row>
    <row r="1356" spans="1:5" hidden="1" x14ac:dyDescent="0.25">
      <c r="A1356" s="1" t="s">
        <v>1355</v>
      </c>
      <c r="B1356" s="3">
        <f>COUNTIF(PEDIDOS!$A:$A,FORNECEDOR!A1356)</f>
        <v>0</v>
      </c>
      <c r="C1356" s="3" t="e">
        <f>INDEX(PEDIDOS!$A:$D,MATCH(FORNECEDOR!A1356,PEDIDOS!$A:$A,0),2)</f>
        <v>#N/A</v>
      </c>
      <c r="D1356" s="3" t="e">
        <f>INDEX(PEDIDOS!$A:$D,MATCH(FORNECEDOR!A1356,PEDIDOS!$A:$A,0),3)</f>
        <v>#N/A</v>
      </c>
      <c r="E1356" s="3" t="e">
        <f>INDEX(PEDIDOS!$A:$D,MATCH(FORNECEDOR!A1356,PEDIDOS!$A:$A,0),4)</f>
        <v>#N/A</v>
      </c>
    </row>
    <row r="1357" spans="1:5" hidden="1" x14ac:dyDescent="0.25">
      <c r="A1357" s="1" t="s">
        <v>1356</v>
      </c>
      <c r="B1357" s="3">
        <f>COUNTIF(PEDIDOS!$A:$A,FORNECEDOR!A1357)</f>
        <v>0</v>
      </c>
      <c r="C1357" s="3" t="e">
        <f>INDEX(PEDIDOS!$A:$D,MATCH(FORNECEDOR!A1357,PEDIDOS!$A:$A,0),2)</f>
        <v>#N/A</v>
      </c>
      <c r="D1357" s="3" t="e">
        <f>INDEX(PEDIDOS!$A:$D,MATCH(FORNECEDOR!A1357,PEDIDOS!$A:$A,0),3)</f>
        <v>#N/A</v>
      </c>
      <c r="E1357" s="3" t="e">
        <f>INDEX(PEDIDOS!$A:$D,MATCH(FORNECEDOR!A1357,PEDIDOS!$A:$A,0),4)</f>
        <v>#N/A</v>
      </c>
    </row>
    <row r="1358" spans="1:5" hidden="1" x14ac:dyDescent="0.25">
      <c r="A1358" s="1" t="s">
        <v>1357</v>
      </c>
      <c r="B1358" s="3">
        <f>COUNTIF(PEDIDOS!$A:$A,FORNECEDOR!A1358)</f>
        <v>0</v>
      </c>
      <c r="C1358" s="3" t="e">
        <f>INDEX(PEDIDOS!$A:$D,MATCH(FORNECEDOR!A1358,PEDIDOS!$A:$A,0),2)</f>
        <v>#N/A</v>
      </c>
      <c r="D1358" s="3" t="e">
        <f>INDEX(PEDIDOS!$A:$D,MATCH(FORNECEDOR!A1358,PEDIDOS!$A:$A,0),3)</f>
        <v>#N/A</v>
      </c>
      <c r="E1358" s="3" t="e">
        <f>INDEX(PEDIDOS!$A:$D,MATCH(FORNECEDOR!A1358,PEDIDOS!$A:$A,0),4)</f>
        <v>#N/A</v>
      </c>
    </row>
    <row r="1359" spans="1:5" x14ac:dyDescent="0.25">
      <c r="A1359" s="1" t="s">
        <v>1358</v>
      </c>
      <c r="B1359" s="3">
        <f>COUNTIF(PEDIDOS!$A:$A,FORNECEDOR!A1359)</f>
        <v>1</v>
      </c>
      <c r="C1359" s="3" t="str">
        <f>INDEX(PEDIDOS!$A:$D,MATCH(FORNECEDOR!A1359,PEDIDOS!$A:$A,0),2)</f>
        <v>MATRIZ</v>
      </c>
      <c r="D1359" s="3" t="str">
        <f>INDEX(PEDIDOS!$A:$D,MATCH(FORNECEDOR!A1359,PEDIDOS!$A:$A,0),3)</f>
        <v>MATRIZ</v>
      </c>
      <c r="E1359" s="3" t="str">
        <f>INDEX(PEDIDOS!$A:$D,MATCH(FORNECEDOR!A1359,PEDIDOS!$A:$A,0),4)</f>
        <v>MATRIZ</v>
      </c>
    </row>
    <row r="1360" spans="1:5" hidden="1" x14ac:dyDescent="0.25">
      <c r="A1360" s="1" t="s">
        <v>1359</v>
      </c>
      <c r="B1360" s="3">
        <f>COUNTIF(PEDIDOS!$A:$A,FORNECEDOR!A1360)</f>
        <v>0</v>
      </c>
      <c r="C1360" s="3" t="e">
        <f>INDEX(PEDIDOS!$A:$D,MATCH(FORNECEDOR!A1360,PEDIDOS!$A:$A,0),2)</f>
        <v>#N/A</v>
      </c>
      <c r="D1360" s="3" t="e">
        <f>INDEX(PEDIDOS!$A:$D,MATCH(FORNECEDOR!A1360,PEDIDOS!$A:$A,0),3)</f>
        <v>#N/A</v>
      </c>
      <c r="E1360" s="3" t="e">
        <f>INDEX(PEDIDOS!$A:$D,MATCH(FORNECEDOR!A1360,PEDIDOS!$A:$A,0),4)</f>
        <v>#N/A</v>
      </c>
    </row>
    <row r="1361" spans="1:5" hidden="1" x14ac:dyDescent="0.25">
      <c r="A1361" s="1" t="s">
        <v>1360</v>
      </c>
      <c r="B1361" s="3">
        <f>COUNTIF(PEDIDOS!$A:$A,FORNECEDOR!A1361)</f>
        <v>0</v>
      </c>
      <c r="C1361" s="3" t="e">
        <f>INDEX(PEDIDOS!$A:$D,MATCH(FORNECEDOR!A1361,PEDIDOS!$A:$A,0),2)</f>
        <v>#N/A</v>
      </c>
      <c r="D1361" s="3" t="e">
        <f>INDEX(PEDIDOS!$A:$D,MATCH(FORNECEDOR!A1361,PEDIDOS!$A:$A,0),3)</f>
        <v>#N/A</v>
      </c>
      <c r="E1361" s="3" t="e">
        <f>INDEX(PEDIDOS!$A:$D,MATCH(FORNECEDOR!A1361,PEDIDOS!$A:$A,0),4)</f>
        <v>#N/A</v>
      </c>
    </row>
    <row r="1362" spans="1:5" x14ac:dyDescent="0.25">
      <c r="A1362" s="1" t="s">
        <v>1361</v>
      </c>
      <c r="B1362" s="3">
        <f>COUNTIF(PEDIDOS!$A:$A,FORNECEDOR!A1362)</f>
        <v>1</v>
      </c>
      <c r="C1362" s="3" t="str">
        <f>INDEX(PEDIDOS!$A:$D,MATCH(FORNECEDOR!A1362,PEDIDOS!$A:$A,0),2)</f>
        <v>SP - PARI</v>
      </c>
      <c r="D1362" s="3" t="str">
        <f>INDEX(PEDIDOS!$A:$D,MATCH(FORNECEDOR!A1362,PEDIDOS!$A:$A,0),3)</f>
        <v>SP - PARI</v>
      </c>
      <c r="E1362" s="3" t="str">
        <f>INDEX(PEDIDOS!$A:$D,MATCH(FORNECEDOR!A1362,PEDIDOS!$A:$A,0),4)</f>
        <v>SP - PARI</v>
      </c>
    </row>
    <row r="1363" spans="1:5" hidden="1" x14ac:dyDescent="0.25">
      <c r="A1363" s="1" t="s">
        <v>1362</v>
      </c>
      <c r="B1363" s="3">
        <f>COUNTIF(PEDIDOS!$A:$A,FORNECEDOR!A1363)</f>
        <v>0</v>
      </c>
      <c r="C1363" s="3" t="e">
        <f>INDEX(PEDIDOS!$A:$D,MATCH(FORNECEDOR!A1363,PEDIDOS!$A:$A,0),2)</f>
        <v>#N/A</v>
      </c>
      <c r="D1363" s="3" t="e">
        <f>INDEX(PEDIDOS!$A:$D,MATCH(FORNECEDOR!A1363,PEDIDOS!$A:$A,0),3)</f>
        <v>#N/A</v>
      </c>
      <c r="E1363" s="3" t="e">
        <f>INDEX(PEDIDOS!$A:$D,MATCH(FORNECEDOR!A1363,PEDIDOS!$A:$A,0),4)</f>
        <v>#N/A</v>
      </c>
    </row>
    <row r="1364" spans="1:5" x14ac:dyDescent="0.25">
      <c r="A1364" s="1" t="s">
        <v>1363</v>
      </c>
      <c r="B1364" s="3">
        <f>COUNTIF(PEDIDOS!$A:$A,FORNECEDOR!A1364)</f>
        <v>1</v>
      </c>
      <c r="C1364" s="3" t="str">
        <f>INDEX(PEDIDOS!$A:$D,MATCH(FORNECEDOR!A1364,PEDIDOS!$A:$A,0),2)</f>
        <v>CD REGIS</v>
      </c>
      <c r="D1364" s="3" t="str">
        <f>INDEX(PEDIDOS!$A:$D,MATCH(FORNECEDOR!A1364,PEDIDOS!$A:$A,0),3)</f>
        <v>TATUAPE</v>
      </c>
      <c r="E1364" s="3" t="str">
        <f>INDEX(PEDIDOS!$A:$D,MATCH(FORNECEDOR!A1364,PEDIDOS!$A:$A,0),4)</f>
        <v>CD REGIS</v>
      </c>
    </row>
    <row r="1365" spans="1:5" hidden="1" x14ac:dyDescent="0.25">
      <c r="A1365" s="1" t="s">
        <v>1364</v>
      </c>
      <c r="B1365" s="3">
        <f>COUNTIF(PEDIDOS!$A:$A,FORNECEDOR!A1365)</f>
        <v>0</v>
      </c>
      <c r="C1365" s="3" t="e">
        <f>INDEX(PEDIDOS!$A:$D,MATCH(FORNECEDOR!A1365,PEDIDOS!$A:$A,0),2)</f>
        <v>#N/A</v>
      </c>
      <c r="D1365" s="3" t="e">
        <f>INDEX(PEDIDOS!$A:$D,MATCH(FORNECEDOR!A1365,PEDIDOS!$A:$A,0),3)</f>
        <v>#N/A</v>
      </c>
      <c r="E1365" s="3" t="e">
        <f>INDEX(PEDIDOS!$A:$D,MATCH(FORNECEDOR!A1365,PEDIDOS!$A:$A,0),4)</f>
        <v>#N/A</v>
      </c>
    </row>
    <row r="1366" spans="1:5" hidden="1" x14ac:dyDescent="0.25">
      <c r="A1366" s="1" t="s">
        <v>1365</v>
      </c>
      <c r="B1366" s="3">
        <f>COUNTIF(PEDIDOS!$A:$A,FORNECEDOR!A1366)</f>
        <v>0</v>
      </c>
      <c r="C1366" s="3" t="e">
        <f>INDEX(PEDIDOS!$A:$D,MATCH(FORNECEDOR!A1366,PEDIDOS!$A:$A,0),2)</f>
        <v>#N/A</v>
      </c>
      <c r="D1366" s="3" t="e">
        <f>INDEX(PEDIDOS!$A:$D,MATCH(FORNECEDOR!A1366,PEDIDOS!$A:$A,0),3)</f>
        <v>#N/A</v>
      </c>
      <c r="E1366" s="3" t="e">
        <f>INDEX(PEDIDOS!$A:$D,MATCH(FORNECEDOR!A1366,PEDIDOS!$A:$A,0),4)</f>
        <v>#N/A</v>
      </c>
    </row>
    <row r="1367" spans="1:5" x14ac:dyDescent="0.25">
      <c r="A1367" s="1" t="s">
        <v>1366</v>
      </c>
      <c r="B1367" s="3">
        <f>COUNTIF(PEDIDOS!$A:$A,FORNECEDOR!A1367)</f>
        <v>2</v>
      </c>
      <c r="C1367" s="3" t="str">
        <f>INDEX(PEDIDOS!$A:$D,MATCH(FORNECEDOR!A1367,PEDIDOS!$A:$A,0),2)</f>
        <v>CD REGIS</v>
      </c>
      <c r="D1367" s="3" t="str">
        <f>INDEX(PEDIDOS!$A:$D,MATCH(FORNECEDOR!A1367,PEDIDOS!$A:$A,0),3)</f>
        <v>MATRIZ</v>
      </c>
      <c r="E1367" s="3" t="str">
        <f>INDEX(PEDIDOS!$A:$D,MATCH(FORNECEDOR!A1367,PEDIDOS!$A:$A,0),4)</f>
        <v>CD REGIS</v>
      </c>
    </row>
    <row r="1368" spans="1:5" hidden="1" x14ac:dyDescent="0.25">
      <c r="A1368" s="1" t="s">
        <v>1367</v>
      </c>
      <c r="B1368" s="3">
        <f>COUNTIF(PEDIDOS!$A:$A,FORNECEDOR!A1368)</f>
        <v>0</v>
      </c>
      <c r="C1368" s="3" t="e">
        <f>INDEX(PEDIDOS!$A:$D,MATCH(FORNECEDOR!A1368,PEDIDOS!$A:$A,0),2)</f>
        <v>#N/A</v>
      </c>
      <c r="D1368" s="3" t="e">
        <f>INDEX(PEDIDOS!$A:$D,MATCH(FORNECEDOR!A1368,PEDIDOS!$A:$A,0),3)</f>
        <v>#N/A</v>
      </c>
      <c r="E1368" s="3" t="e">
        <f>INDEX(PEDIDOS!$A:$D,MATCH(FORNECEDOR!A1368,PEDIDOS!$A:$A,0),4)</f>
        <v>#N/A</v>
      </c>
    </row>
    <row r="1369" spans="1:5" hidden="1" x14ac:dyDescent="0.25">
      <c r="A1369" s="1" t="s">
        <v>1368</v>
      </c>
      <c r="B1369" s="3">
        <f>COUNTIF(PEDIDOS!$A:$A,FORNECEDOR!A1369)</f>
        <v>0</v>
      </c>
      <c r="C1369" s="3" t="e">
        <f>INDEX(PEDIDOS!$A:$D,MATCH(FORNECEDOR!A1369,PEDIDOS!$A:$A,0),2)</f>
        <v>#N/A</v>
      </c>
      <c r="D1369" s="3" t="e">
        <f>INDEX(PEDIDOS!$A:$D,MATCH(FORNECEDOR!A1369,PEDIDOS!$A:$A,0),3)</f>
        <v>#N/A</v>
      </c>
      <c r="E1369" s="3" t="e">
        <f>INDEX(PEDIDOS!$A:$D,MATCH(FORNECEDOR!A1369,PEDIDOS!$A:$A,0),4)</f>
        <v>#N/A</v>
      </c>
    </row>
    <row r="1370" spans="1:5" hidden="1" x14ac:dyDescent="0.25">
      <c r="A1370" s="1" t="s">
        <v>1369</v>
      </c>
      <c r="B1370" s="3">
        <f>COUNTIF(PEDIDOS!$A:$A,FORNECEDOR!A1370)</f>
        <v>0</v>
      </c>
      <c r="C1370" s="3" t="e">
        <f>INDEX(PEDIDOS!$A:$D,MATCH(FORNECEDOR!A1370,PEDIDOS!$A:$A,0),2)</f>
        <v>#N/A</v>
      </c>
      <c r="D1370" s="3" t="e">
        <f>INDEX(PEDIDOS!$A:$D,MATCH(FORNECEDOR!A1370,PEDIDOS!$A:$A,0),3)</f>
        <v>#N/A</v>
      </c>
      <c r="E1370" s="3" t="e">
        <f>INDEX(PEDIDOS!$A:$D,MATCH(FORNECEDOR!A1370,PEDIDOS!$A:$A,0),4)</f>
        <v>#N/A</v>
      </c>
    </row>
    <row r="1371" spans="1:5" hidden="1" x14ac:dyDescent="0.25">
      <c r="A1371" s="1" t="s">
        <v>1370</v>
      </c>
      <c r="B1371" s="3">
        <f>COUNTIF(PEDIDOS!$A:$A,FORNECEDOR!A1371)</f>
        <v>0</v>
      </c>
      <c r="C1371" s="3" t="e">
        <f>INDEX(PEDIDOS!$A:$D,MATCH(FORNECEDOR!A1371,PEDIDOS!$A:$A,0),2)</f>
        <v>#N/A</v>
      </c>
      <c r="D1371" s="3" t="e">
        <f>INDEX(PEDIDOS!$A:$D,MATCH(FORNECEDOR!A1371,PEDIDOS!$A:$A,0),3)</f>
        <v>#N/A</v>
      </c>
      <c r="E1371" s="3" t="e">
        <f>INDEX(PEDIDOS!$A:$D,MATCH(FORNECEDOR!A1371,PEDIDOS!$A:$A,0),4)</f>
        <v>#N/A</v>
      </c>
    </row>
    <row r="1372" spans="1:5" hidden="1" x14ac:dyDescent="0.25">
      <c r="A1372" s="1" t="s">
        <v>1371</v>
      </c>
      <c r="B1372" s="3">
        <f>COUNTIF(PEDIDOS!$A:$A,FORNECEDOR!A1372)</f>
        <v>0</v>
      </c>
      <c r="C1372" s="3" t="e">
        <f>INDEX(PEDIDOS!$A:$D,MATCH(FORNECEDOR!A1372,PEDIDOS!$A:$A,0),2)</f>
        <v>#N/A</v>
      </c>
      <c r="D1372" s="3" t="e">
        <f>INDEX(PEDIDOS!$A:$D,MATCH(FORNECEDOR!A1372,PEDIDOS!$A:$A,0),3)</f>
        <v>#N/A</v>
      </c>
      <c r="E1372" s="3" t="e">
        <f>INDEX(PEDIDOS!$A:$D,MATCH(FORNECEDOR!A1372,PEDIDOS!$A:$A,0),4)</f>
        <v>#N/A</v>
      </c>
    </row>
    <row r="1373" spans="1:5" hidden="1" x14ac:dyDescent="0.25">
      <c r="A1373" s="1" t="s">
        <v>1372</v>
      </c>
      <c r="B1373" s="3">
        <f>COUNTIF(PEDIDOS!$A:$A,FORNECEDOR!A1373)</f>
        <v>0</v>
      </c>
      <c r="C1373" s="3" t="e">
        <f>INDEX(PEDIDOS!$A:$D,MATCH(FORNECEDOR!A1373,PEDIDOS!$A:$A,0),2)</f>
        <v>#N/A</v>
      </c>
      <c r="D1373" s="3" t="e">
        <f>INDEX(PEDIDOS!$A:$D,MATCH(FORNECEDOR!A1373,PEDIDOS!$A:$A,0),3)</f>
        <v>#N/A</v>
      </c>
      <c r="E1373" s="3" t="e">
        <f>INDEX(PEDIDOS!$A:$D,MATCH(FORNECEDOR!A1373,PEDIDOS!$A:$A,0),4)</f>
        <v>#N/A</v>
      </c>
    </row>
    <row r="1374" spans="1:5" hidden="1" x14ac:dyDescent="0.25">
      <c r="A1374" s="1" t="s">
        <v>1373</v>
      </c>
      <c r="B1374" s="3">
        <f>COUNTIF(PEDIDOS!$A:$A,FORNECEDOR!A1374)</f>
        <v>0</v>
      </c>
      <c r="C1374" s="3" t="e">
        <f>INDEX(PEDIDOS!$A:$D,MATCH(FORNECEDOR!A1374,PEDIDOS!$A:$A,0),2)</f>
        <v>#N/A</v>
      </c>
      <c r="D1374" s="3" t="e">
        <f>INDEX(PEDIDOS!$A:$D,MATCH(FORNECEDOR!A1374,PEDIDOS!$A:$A,0),3)</f>
        <v>#N/A</v>
      </c>
      <c r="E1374" s="3" t="e">
        <f>INDEX(PEDIDOS!$A:$D,MATCH(FORNECEDOR!A1374,PEDIDOS!$A:$A,0),4)</f>
        <v>#N/A</v>
      </c>
    </row>
    <row r="1375" spans="1:5" hidden="1" x14ac:dyDescent="0.25">
      <c r="A1375" s="1" t="s">
        <v>1374</v>
      </c>
      <c r="B1375" s="3">
        <f>COUNTIF(PEDIDOS!$A:$A,FORNECEDOR!A1375)</f>
        <v>0</v>
      </c>
      <c r="C1375" s="3" t="e">
        <f>INDEX(PEDIDOS!$A:$D,MATCH(FORNECEDOR!A1375,PEDIDOS!$A:$A,0),2)</f>
        <v>#N/A</v>
      </c>
      <c r="D1375" s="3" t="e">
        <f>INDEX(PEDIDOS!$A:$D,MATCH(FORNECEDOR!A1375,PEDIDOS!$A:$A,0),3)</f>
        <v>#N/A</v>
      </c>
      <c r="E1375" s="3" t="e">
        <f>INDEX(PEDIDOS!$A:$D,MATCH(FORNECEDOR!A1375,PEDIDOS!$A:$A,0),4)</f>
        <v>#N/A</v>
      </c>
    </row>
    <row r="1376" spans="1:5" x14ac:dyDescent="0.25">
      <c r="A1376" s="1" t="s">
        <v>1375</v>
      </c>
      <c r="B1376" s="3">
        <f>COUNTIF(PEDIDOS!$A:$A,FORNECEDOR!A1376)</f>
        <v>1</v>
      </c>
      <c r="C1376" s="3" t="str">
        <f>INDEX(PEDIDOS!$A:$D,MATCH(FORNECEDOR!A1376,PEDIDOS!$A:$A,0),2)</f>
        <v>MATRIZ</v>
      </c>
      <c r="D1376" s="3" t="str">
        <f>INDEX(PEDIDOS!$A:$D,MATCH(FORNECEDOR!A1376,PEDIDOS!$A:$A,0),3)</f>
        <v>MATRIZ</v>
      </c>
      <c r="E1376" s="3" t="str">
        <f>INDEX(PEDIDOS!$A:$D,MATCH(FORNECEDOR!A1376,PEDIDOS!$A:$A,0),4)</f>
        <v>MATRIZ</v>
      </c>
    </row>
    <row r="1377" spans="1:5" hidden="1" x14ac:dyDescent="0.25">
      <c r="A1377" s="1" t="s">
        <v>1376</v>
      </c>
      <c r="B1377" s="3">
        <f>COUNTIF(PEDIDOS!$A:$A,FORNECEDOR!A1377)</f>
        <v>0</v>
      </c>
      <c r="C1377" s="3" t="e">
        <f>INDEX(PEDIDOS!$A:$D,MATCH(FORNECEDOR!A1377,PEDIDOS!$A:$A,0),2)</f>
        <v>#N/A</v>
      </c>
      <c r="D1377" s="3" t="e">
        <f>INDEX(PEDIDOS!$A:$D,MATCH(FORNECEDOR!A1377,PEDIDOS!$A:$A,0),3)</f>
        <v>#N/A</v>
      </c>
      <c r="E1377" s="3" t="e">
        <f>INDEX(PEDIDOS!$A:$D,MATCH(FORNECEDOR!A1377,PEDIDOS!$A:$A,0),4)</f>
        <v>#N/A</v>
      </c>
    </row>
    <row r="1378" spans="1:5" hidden="1" x14ac:dyDescent="0.25">
      <c r="A1378" s="1" t="s">
        <v>1377</v>
      </c>
      <c r="B1378" s="3">
        <f>COUNTIF(PEDIDOS!$A:$A,FORNECEDOR!A1378)</f>
        <v>0</v>
      </c>
      <c r="C1378" s="3" t="e">
        <f>INDEX(PEDIDOS!$A:$D,MATCH(FORNECEDOR!A1378,PEDIDOS!$A:$A,0),2)</f>
        <v>#N/A</v>
      </c>
      <c r="D1378" s="3" t="e">
        <f>INDEX(PEDIDOS!$A:$D,MATCH(FORNECEDOR!A1378,PEDIDOS!$A:$A,0),3)</f>
        <v>#N/A</v>
      </c>
      <c r="E1378" s="3" t="e">
        <f>INDEX(PEDIDOS!$A:$D,MATCH(FORNECEDOR!A1378,PEDIDOS!$A:$A,0),4)</f>
        <v>#N/A</v>
      </c>
    </row>
    <row r="1379" spans="1:5" x14ac:dyDescent="0.25">
      <c r="A1379" s="1" t="s">
        <v>1378</v>
      </c>
      <c r="B1379" s="3">
        <f>COUNTIF(PEDIDOS!$A:$A,FORNECEDOR!A1379)</f>
        <v>1</v>
      </c>
      <c r="C1379" s="3" t="str">
        <f>INDEX(PEDIDOS!$A:$D,MATCH(FORNECEDOR!A1379,PEDIDOS!$A:$A,0),2)</f>
        <v>CD NAVEGANTES</v>
      </c>
      <c r="D1379" s="3" t="str">
        <f>INDEX(PEDIDOS!$A:$D,MATCH(FORNECEDOR!A1379,PEDIDOS!$A:$A,0),3)</f>
        <v>MATRIZ</v>
      </c>
      <c r="E1379" s="3" t="str">
        <f>INDEX(PEDIDOS!$A:$D,MATCH(FORNECEDOR!A1379,PEDIDOS!$A:$A,0),4)</f>
        <v>CD NAVEGANTES</v>
      </c>
    </row>
    <row r="1380" spans="1:5" x14ac:dyDescent="0.25">
      <c r="A1380" s="1" t="s">
        <v>1379</v>
      </c>
      <c r="B1380" s="3">
        <f>COUNTIF(PEDIDOS!$A:$A,FORNECEDOR!A1380)</f>
        <v>1</v>
      </c>
      <c r="C1380" s="3" t="str">
        <f>INDEX(PEDIDOS!$A:$D,MATCH(FORNECEDOR!A1380,PEDIDOS!$A:$A,0),2)</f>
        <v>CD NAVEGANTES</v>
      </c>
      <c r="D1380" s="3" t="str">
        <f>INDEX(PEDIDOS!$A:$D,MATCH(FORNECEDOR!A1380,PEDIDOS!$A:$A,0),3)</f>
        <v>MATRIZ</v>
      </c>
      <c r="E1380" s="3" t="str">
        <f>INDEX(PEDIDOS!$A:$D,MATCH(FORNECEDOR!A1380,PEDIDOS!$A:$A,0),4)</f>
        <v>CD NAVEGANTES</v>
      </c>
    </row>
    <row r="1381" spans="1:5" hidden="1" x14ac:dyDescent="0.25">
      <c r="A1381" s="1" t="s">
        <v>1380</v>
      </c>
      <c r="B1381" s="3">
        <f>COUNTIF(PEDIDOS!$A:$A,FORNECEDOR!A1381)</f>
        <v>0</v>
      </c>
      <c r="C1381" s="3" t="e">
        <f>INDEX(PEDIDOS!$A:$D,MATCH(FORNECEDOR!A1381,PEDIDOS!$A:$A,0),2)</f>
        <v>#N/A</v>
      </c>
      <c r="D1381" s="3" t="e">
        <f>INDEX(PEDIDOS!$A:$D,MATCH(FORNECEDOR!A1381,PEDIDOS!$A:$A,0),3)</f>
        <v>#N/A</v>
      </c>
      <c r="E1381" s="3" t="e">
        <f>INDEX(PEDIDOS!$A:$D,MATCH(FORNECEDOR!A1381,PEDIDOS!$A:$A,0),4)</f>
        <v>#N/A</v>
      </c>
    </row>
    <row r="1382" spans="1:5" hidden="1" x14ac:dyDescent="0.25">
      <c r="A1382" s="1" t="s">
        <v>1381</v>
      </c>
      <c r="B1382" s="3">
        <f>COUNTIF(PEDIDOS!$A:$A,FORNECEDOR!A1382)</f>
        <v>0</v>
      </c>
      <c r="C1382" s="3" t="e">
        <f>INDEX(PEDIDOS!$A:$D,MATCH(FORNECEDOR!A1382,PEDIDOS!$A:$A,0),2)</f>
        <v>#N/A</v>
      </c>
      <c r="D1382" s="3" t="e">
        <f>INDEX(PEDIDOS!$A:$D,MATCH(FORNECEDOR!A1382,PEDIDOS!$A:$A,0),3)</f>
        <v>#N/A</v>
      </c>
      <c r="E1382" s="3" t="e">
        <f>INDEX(PEDIDOS!$A:$D,MATCH(FORNECEDOR!A1382,PEDIDOS!$A:$A,0),4)</f>
        <v>#N/A</v>
      </c>
    </row>
    <row r="1383" spans="1:5" hidden="1" x14ac:dyDescent="0.25">
      <c r="A1383" s="1" t="s">
        <v>1382</v>
      </c>
      <c r="B1383" s="3">
        <f>COUNTIF(PEDIDOS!$A:$A,FORNECEDOR!A1383)</f>
        <v>0</v>
      </c>
      <c r="C1383" s="3" t="e">
        <f>INDEX(PEDIDOS!$A:$D,MATCH(FORNECEDOR!A1383,PEDIDOS!$A:$A,0),2)</f>
        <v>#N/A</v>
      </c>
      <c r="D1383" s="3" t="e">
        <f>INDEX(PEDIDOS!$A:$D,MATCH(FORNECEDOR!A1383,PEDIDOS!$A:$A,0),3)</f>
        <v>#N/A</v>
      </c>
      <c r="E1383" s="3" t="e">
        <f>INDEX(PEDIDOS!$A:$D,MATCH(FORNECEDOR!A1383,PEDIDOS!$A:$A,0),4)</f>
        <v>#N/A</v>
      </c>
    </row>
    <row r="1384" spans="1:5" hidden="1" x14ac:dyDescent="0.25">
      <c r="A1384" s="1" t="s">
        <v>1383</v>
      </c>
      <c r="B1384" s="3">
        <f>COUNTIF(PEDIDOS!$A:$A,FORNECEDOR!A1384)</f>
        <v>0</v>
      </c>
      <c r="C1384" s="3" t="e">
        <f>INDEX(PEDIDOS!$A:$D,MATCH(FORNECEDOR!A1384,PEDIDOS!$A:$A,0),2)</f>
        <v>#N/A</v>
      </c>
      <c r="D1384" s="3" t="e">
        <f>INDEX(PEDIDOS!$A:$D,MATCH(FORNECEDOR!A1384,PEDIDOS!$A:$A,0),3)</f>
        <v>#N/A</v>
      </c>
      <c r="E1384" s="3" t="e">
        <f>INDEX(PEDIDOS!$A:$D,MATCH(FORNECEDOR!A1384,PEDIDOS!$A:$A,0),4)</f>
        <v>#N/A</v>
      </c>
    </row>
    <row r="1385" spans="1:5" hidden="1" x14ac:dyDescent="0.25">
      <c r="A1385" s="1" t="s">
        <v>1384</v>
      </c>
      <c r="B1385" s="3">
        <f>COUNTIF(PEDIDOS!$A:$A,FORNECEDOR!A1385)</f>
        <v>0</v>
      </c>
      <c r="C1385" s="3" t="e">
        <f>INDEX(PEDIDOS!$A:$D,MATCH(FORNECEDOR!A1385,PEDIDOS!$A:$A,0),2)</f>
        <v>#N/A</v>
      </c>
      <c r="D1385" s="3" t="e">
        <f>INDEX(PEDIDOS!$A:$D,MATCH(FORNECEDOR!A1385,PEDIDOS!$A:$A,0),3)</f>
        <v>#N/A</v>
      </c>
      <c r="E1385" s="3" t="e">
        <f>INDEX(PEDIDOS!$A:$D,MATCH(FORNECEDOR!A1385,PEDIDOS!$A:$A,0),4)</f>
        <v>#N/A</v>
      </c>
    </row>
    <row r="1386" spans="1:5" x14ac:dyDescent="0.25">
      <c r="A1386" s="1" t="s">
        <v>1385</v>
      </c>
      <c r="B1386" s="3">
        <f>COUNTIF(PEDIDOS!$A:$A,FORNECEDOR!A1386)</f>
        <v>2</v>
      </c>
      <c r="C1386" s="3" t="str">
        <f>INDEX(PEDIDOS!$A:$D,MATCH(FORNECEDOR!A1386,PEDIDOS!$A:$A,0),2)</f>
        <v>CD REGIS</v>
      </c>
      <c r="D1386" s="3" t="str">
        <f>INDEX(PEDIDOS!$A:$D,MATCH(FORNECEDOR!A1386,PEDIDOS!$A:$A,0),3)</f>
        <v>MATRIZ</v>
      </c>
      <c r="E1386" s="3" t="str">
        <f>INDEX(PEDIDOS!$A:$D,MATCH(FORNECEDOR!A1386,PEDIDOS!$A:$A,0),4)</f>
        <v>CD REGIS</v>
      </c>
    </row>
    <row r="1387" spans="1:5" hidden="1" x14ac:dyDescent="0.25">
      <c r="A1387" s="1" t="s">
        <v>1386</v>
      </c>
      <c r="B1387" s="3">
        <f>COUNTIF(PEDIDOS!$A:$A,FORNECEDOR!A1387)</f>
        <v>0</v>
      </c>
      <c r="C1387" s="3" t="e">
        <f>INDEX(PEDIDOS!$A:$D,MATCH(FORNECEDOR!A1387,PEDIDOS!$A:$A,0),2)</f>
        <v>#N/A</v>
      </c>
      <c r="D1387" s="3" t="e">
        <f>INDEX(PEDIDOS!$A:$D,MATCH(FORNECEDOR!A1387,PEDIDOS!$A:$A,0),3)</f>
        <v>#N/A</v>
      </c>
      <c r="E1387" s="3" t="e">
        <f>INDEX(PEDIDOS!$A:$D,MATCH(FORNECEDOR!A1387,PEDIDOS!$A:$A,0),4)</f>
        <v>#N/A</v>
      </c>
    </row>
    <row r="1388" spans="1:5" x14ac:dyDescent="0.25">
      <c r="A1388" s="1" t="s">
        <v>1387</v>
      </c>
      <c r="B1388" s="3">
        <f>COUNTIF(PEDIDOS!$A:$A,FORNECEDOR!A1388)</f>
        <v>1</v>
      </c>
      <c r="C1388" s="3" t="str">
        <f>INDEX(PEDIDOS!$A:$D,MATCH(FORNECEDOR!A1388,PEDIDOS!$A:$A,0),2)</f>
        <v>CD REGIS</v>
      </c>
      <c r="D1388" s="3" t="str">
        <f>INDEX(PEDIDOS!$A:$D,MATCH(FORNECEDOR!A1388,PEDIDOS!$A:$A,0),3)</f>
        <v>MATRIZ</v>
      </c>
      <c r="E1388" s="3" t="str">
        <f>INDEX(PEDIDOS!$A:$D,MATCH(FORNECEDOR!A1388,PEDIDOS!$A:$A,0),4)</f>
        <v>CD REGIS</v>
      </c>
    </row>
    <row r="1389" spans="1:5" x14ac:dyDescent="0.25">
      <c r="A1389" s="1" t="s">
        <v>1388</v>
      </c>
      <c r="B1389" s="3">
        <f>COUNTIF(PEDIDOS!$A:$A,FORNECEDOR!A1389)</f>
        <v>1</v>
      </c>
      <c r="C1389" s="3" t="str">
        <f>INDEX(PEDIDOS!$A:$D,MATCH(FORNECEDOR!A1389,PEDIDOS!$A:$A,0),2)</f>
        <v>PIRASSUNUNGA</v>
      </c>
      <c r="D1389" s="3" t="str">
        <f>INDEX(PEDIDOS!$A:$D,MATCH(FORNECEDOR!A1389,PEDIDOS!$A:$A,0),3)</f>
        <v>PIRASSUNUNGA</v>
      </c>
      <c r="E1389" s="3" t="str">
        <f>INDEX(PEDIDOS!$A:$D,MATCH(FORNECEDOR!A1389,PEDIDOS!$A:$A,0),4)</f>
        <v>PIRASSUNUNGA</v>
      </c>
    </row>
    <row r="1390" spans="1:5" x14ac:dyDescent="0.25">
      <c r="A1390" s="1" t="s">
        <v>1389</v>
      </c>
      <c r="B1390" s="3">
        <f>COUNTIF(PEDIDOS!$A:$A,FORNECEDOR!A1390)</f>
        <v>7</v>
      </c>
      <c r="C1390" s="3" t="str">
        <f>INDEX(PEDIDOS!$A:$D,MATCH(FORNECEDOR!A1390,PEDIDOS!$A:$A,0),2)</f>
        <v>CD ARAQUARI</v>
      </c>
      <c r="D1390" s="3" t="str">
        <f>INDEX(PEDIDOS!$A:$D,MATCH(FORNECEDOR!A1390,PEDIDOS!$A:$A,0),3)</f>
        <v>MATRIZ</v>
      </c>
      <c r="E1390" s="3" t="str">
        <f>INDEX(PEDIDOS!$A:$D,MATCH(FORNECEDOR!A1390,PEDIDOS!$A:$A,0),4)</f>
        <v>CD ARAQUARI</v>
      </c>
    </row>
    <row r="1391" spans="1:5" hidden="1" x14ac:dyDescent="0.25">
      <c r="A1391" s="1" t="s">
        <v>1390</v>
      </c>
      <c r="B1391" s="3">
        <f>COUNTIF(PEDIDOS!$A:$A,FORNECEDOR!A1391)</f>
        <v>0</v>
      </c>
      <c r="C1391" s="3" t="e">
        <f>INDEX(PEDIDOS!$A:$D,MATCH(FORNECEDOR!A1391,PEDIDOS!$A:$A,0),2)</f>
        <v>#N/A</v>
      </c>
      <c r="D1391" s="3" t="e">
        <f>INDEX(PEDIDOS!$A:$D,MATCH(FORNECEDOR!A1391,PEDIDOS!$A:$A,0),3)</f>
        <v>#N/A</v>
      </c>
      <c r="E1391" s="3" t="e">
        <f>INDEX(PEDIDOS!$A:$D,MATCH(FORNECEDOR!A1391,PEDIDOS!$A:$A,0),4)</f>
        <v>#N/A</v>
      </c>
    </row>
    <row r="1392" spans="1:5" hidden="1" x14ac:dyDescent="0.25">
      <c r="A1392" s="1" t="s">
        <v>1391</v>
      </c>
      <c r="B1392" s="3">
        <f>COUNTIF(PEDIDOS!$A:$A,FORNECEDOR!A1392)</f>
        <v>0</v>
      </c>
      <c r="C1392" s="3" t="e">
        <f>INDEX(PEDIDOS!$A:$D,MATCH(FORNECEDOR!A1392,PEDIDOS!$A:$A,0),2)</f>
        <v>#N/A</v>
      </c>
      <c r="D1392" s="3" t="e">
        <f>INDEX(PEDIDOS!$A:$D,MATCH(FORNECEDOR!A1392,PEDIDOS!$A:$A,0),3)</f>
        <v>#N/A</v>
      </c>
      <c r="E1392" s="3" t="e">
        <f>INDEX(PEDIDOS!$A:$D,MATCH(FORNECEDOR!A1392,PEDIDOS!$A:$A,0),4)</f>
        <v>#N/A</v>
      </c>
    </row>
    <row r="1393" spans="1:5" x14ac:dyDescent="0.25">
      <c r="A1393" s="1" t="s">
        <v>1392</v>
      </c>
      <c r="B1393" s="3">
        <f>COUNTIF(PEDIDOS!$A:$A,FORNECEDOR!A1393)</f>
        <v>1</v>
      </c>
      <c r="C1393" s="3" t="str">
        <f>INDEX(PEDIDOS!$A:$D,MATCH(FORNECEDOR!A1393,PEDIDOS!$A:$A,0),2)</f>
        <v>AVANTI- ADM C.CREDITO</v>
      </c>
      <c r="D1393" s="3" t="str">
        <f>INDEX(PEDIDOS!$A:$D,MATCH(FORNECEDOR!A1393,PEDIDOS!$A:$A,0),3)</f>
        <v>AVANTI- ADM C.CREDITO</v>
      </c>
      <c r="E1393" s="3" t="str">
        <f>INDEX(PEDIDOS!$A:$D,MATCH(FORNECEDOR!A1393,PEDIDOS!$A:$A,0),4)</f>
        <v>AVANTI- ADM C.CREDITO</v>
      </c>
    </row>
    <row r="1394" spans="1:5" x14ac:dyDescent="0.25">
      <c r="A1394" s="1" t="s">
        <v>1393</v>
      </c>
      <c r="B1394" s="3">
        <f>COUNTIF(PEDIDOS!$A:$A,FORNECEDOR!A1394)</f>
        <v>2</v>
      </c>
      <c r="C1394" s="3" t="str">
        <f>INDEX(PEDIDOS!$A:$D,MATCH(FORNECEDOR!A1394,PEDIDOS!$A:$A,0),2)</f>
        <v>CD REGIS</v>
      </c>
      <c r="D1394" s="3" t="str">
        <f>INDEX(PEDIDOS!$A:$D,MATCH(FORNECEDOR!A1394,PEDIDOS!$A:$A,0),3)</f>
        <v>MATRIZ</v>
      </c>
      <c r="E1394" s="3" t="str">
        <f>INDEX(PEDIDOS!$A:$D,MATCH(FORNECEDOR!A1394,PEDIDOS!$A:$A,0),4)</f>
        <v>CD REGIS</v>
      </c>
    </row>
    <row r="1395" spans="1:5" hidden="1" x14ac:dyDescent="0.25">
      <c r="A1395" s="1" t="s">
        <v>1394</v>
      </c>
      <c r="B1395" s="3">
        <f>COUNTIF(PEDIDOS!$A:$A,FORNECEDOR!A1395)</f>
        <v>0</v>
      </c>
      <c r="C1395" s="3" t="e">
        <f>INDEX(PEDIDOS!$A:$D,MATCH(FORNECEDOR!A1395,PEDIDOS!$A:$A,0),2)</f>
        <v>#N/A</v>
      </c>
      <c r="D1395" s="3" t="e">
        <f>INDEX(PEDIDOS!$A:$D,MATCH(FORNECEDOR!A1395,PEDIDOS!$A:$A,0),3)</f>
        <v>#N/A</v>
      </c>
      <c r="E1395" s="3" t="e">
        <f>INDEX(PEDIDOS!$A:$D,MATCH(FORNECEDOR!A1395,PEDIDOS!$A:$A,0),4)</f>
        <v>#N/A</v>
      </c>
    </row>
    <row r="1396" spans="1:5" x14ac:dyDescent="0.25">
      <c r="A1396" s="1" t="s">
        <v>1395</v>
      </c>
      <c r="B1396" s="3">
        <f>COUNTIF(PEDIDOS!$A:$A,FORNECEDOR!A1396)</f>
        <v>1</v>
      </c>
      <c r="C1396" s="3" t="str">
        <f>INDEX(PEDIDOS!$A:$D,MATCH(FORNECEDOR!A1396,PEDIDOS!$A:$A,0),2)</f>
        <v>MOGI GUACU</v>
      </c>
      <c r="D1396" s="3" t="str">
        <f>INDEX(PEDIDOS!$A:$D,MATCH(FORNECEDOR!A1396,PEDIDOS!$A:$A,0),3)</f>
        <v>MOGI GUACU</v>
      </c>
      <c r="E1396" s="3" t="str">
        <f>INDEX(PEDIDOS!$A:$D,MATCH(FORNECEDOR!A1396,PEDIDOS!$A:$A,0),4)</f>
        <v>MOGI GUACU</v>
      </c>
    </row>
    <row r="1397" spans="1:5" hidden="1" x14ac:dyDescent="0.25">
      <c r="A1397" s="1" t="s">
        <v>1396</v>
      </c>
      <c r="B1397" s="3">
        <f>COUNTIF(PEDIDOS!$A:$A,FORNECEDOR!A1397)</f>
        <v>0</v>
      </c>
      <c r="C1397" s="3" t="e">
        <f>INDEX(PEDIDOS!$A:$D,MATCH(FORNECEDOR!A1397,PEDIDOS!$A:$A,0),2)</f>
        <v>#N/A</v>
      </c>
      <c r="D1397" s="3" t="e">
        <f>INDEX(PEDIDOS!$A:$D,MATCH(FORNECEDOR!A1397,PEDIDOS!$A:$A,0),3)</f>
        <v>#N/A</v>
      </c>
      <c r="E1397" s="3" t="e">
        <f>INDEX(PEDIDOS!$A:$D,MATCH(FORNECEDOR!A1397,PEDIDOS!$A:$A,0),4)</f>
        <v>#N/A</v>
      </c>
    </row>
    <row r="1398" spans="1:5" hidden="1" x14ac:dyDescent="0.25">
      <c r="A1398" s="1" t="s">
        <v>1397</v>
      </c>
      <c r="B1398" s="3">
        <f>COUNTIF(PEDIDOS!$A:$A,FORNECEDOR!A1398)</f>
        <v>0</v>
      </c>
      <c r="C1398" s="3" t="e">
        <f>INDEX(PEDIDOS!$A:$D,MATCH(FORNECEDOR!A1398,PEDIDOS!$A:$A,0),2)</f>
        <v>#N/A</v>
      </c>
      <c r="D1398" s="3" t="e">
        <f>INDEX(PEDIDOS!$A:$D,MATCH(FORNECEDOR!A1398,PEDIDOS!$A:$A,0),3)</f>
        <v>#N/A</v>
      </c>
      <c r="E1398" s="3" t="e">
        <f>INDEX(PEDIDOS!$A:$D,MATCH(FORNECEDOR!A1398,PEDIDOS!$A:$A,0),4)</f>
        <v>#N/A</v>
      </c>
    </row>
    <row r="1399" spans="1:5" hidden="1" x14ac:dyDescent="0.25">
      <c r="A1399" s="1" t="s">
        <v>1398</v>
      </c>
      <c r="B1399" s="3">
        <f>COUNTIF(PEDIDOS!$A:$A,FORNECEDOR!A1399)</f>
        <v>0</v>
      </c>
      <c r="C1399" s="3" t="e">
        <f>INDEX(PEDIDOS!$A:$D,MATCH(FORNECEDOR!A1399,PEDIDOS!$A:$A,0),2)</f>
        <v>#N/A</v>
      </c>
      <c r="D1399" s="3" t="e">
        <f>INDEX(PEDIDOS!$A:$D,MATCH(FORNECEDOR!A1399,PEDIDOS!$A:$A,0),3)</f>
        <v>#N/A</v>
      </c>
      <c r="E1399" s="3" t="e">
        <f>INDEX(PEDIDOS!$A:$D,MATCH(FORNECEDOR!A1399,PEDIDOS!$A:$A,0),4)</f>
        <v>#N/A</v>
      </c>
    </row>
    <row r="1400" spans="1:5" hidden="1" x14ac:dyDescent="0.25">
      <c r="A1400" s="1" t="s">
        <v>1399</v>
      </c>
      <c r="B1400" s="3">
        <f>COUNTIF(PEDIDOS!$A:$A,FORNECEDOR!A1400)</f>
        <v>0</v>
      </c>
      <c r="C1400" s="3" t="e">
        <f>INDEX(PEDIDOS!$A:$D,MATCH(FORNECEDOR!A1400,PEDIDOS!$A:$A,0),2)</f>
        <v>#N/A</v>
      </c>
      <c r="D1400" s="3" t="e">
        <f>INDEX(PEDIDOS!$A:$D,MATCH(FORNECEDOR!A1400,PEDIDOS!$A:$A,0),3)</f>
        <v>#N/A</v>
      </c>
      <c r="E1400" s="3" t="e">
        <f>INDEX(PEDIDOS!$A:$D,MATCH(FORNECEDOR!A1400,PEDIDOS!$A:$A,0),4)</f>
        <v>#N/A</v>
      </c>
    </row>
    <row r="1401" spans="1:5" x14ac:dyDescent="0.25">
      <c r="A1401" s="1" t="s">
        <v>1400</v>
      </c>
      <c r="B1401" s="3">
        <f>COUNTIF(PEDIDOS!$A:$A,FORNECEDOR!A1401)</f>
        <v>2</v>
      </c>
      <c r="C1401" s="3" t="str">
        <f>INDEX(PEDIDOS!$A:$D,MATCH(FORNECEDOR!A1401,PEDIDOS!$A:$A,0),2)</f>
        <v>CD REGIS</v>
      </c>
      <c r="D1401" s="3" t="str">
        <f>INDEX(PEDIDOS!$A:$D,MATCH(FORNECEDOR!A1401,PEDIDOS!$A:$A,0),3)</f>
        <v>MATRIZ</v>
      </c>
      <c r="E1401" s="3" t="str">
        <f>INDEX(PEDIDOS!$A:$D,MATCH(FORNECEDOR!A1401,PEDIDOS!$A:$A,0),4)</f>
        <v>CD REGIS</v>
      </c>
    </row>
    <row r="1402" spans="1:5" hidden="1" x14ac:dyDescent="0.25">
      <c r="A1402" s="1" t="s">
        <v>1401</v>
      </c>
      <c r="B1402" s="3">
        <f>COUNTIF(PEDIDOS!$A:$A,FORNECEDOR!A1402)</f>
        <v>0</v>
      </c>
      <c r="C1402" s="3" t="e">
        <f>INDEX(PEDIDOS!$A:$D,MATCH(FORNECEDOR!A1402,PEDIDOS!$A:$A,0),2)</f>
        <v>#N/A</v>
      </c>
      <c r="D1402" s="3" t="e">
        <f>INDEX(PEDIDOS!$A:$D,MATCH(FORNECEDOR!A1402,PEDIDOS!$A:$A,0),3)</f>
        <v>#N/A</v>
      </c>
      <c r="E1402" s="3" t="e">
        <f>INDEX(PEDIDOS!$A:$D,MATCH(FORNECEDOR!A1402,PEDIDOS!$A:$A,0),4)</f>
        <v>#N/A</v>
      </c>
    </row>
    <row r="1403" spans="1:5" hidden="1" x14ac:dyDescent="0.25">
      <c r="A1403" s="1" t="s">
        <v>1402</v>
      </c>
      <c r="B1403" s="3">
        <f>COUNTIF(PEDIDOS!$A:$A,FORNECEDOR!A1403)</f>
        <v>0</v>
      </c>
      <c r="C1403" s="3" t="e">
        <f>INDEX(PEDIDOS!$A:$D,MATCH(FORNECEDOR!A1403,PEDIDOS!$A:$A,0),2)</f>
        <v>#N/A</v>
      </c>
      <c r="D1403" s="3" t="e">
        <f>INDEX(PEDIDOS!$A:$D,MATCH(FORNECEDOR!A1403,PEDIDOS!$A:$A,0),3)</f>
        <v>#N/A</v>
      </c>
      <c r="E1403" s="3" t="e">
        <f>INDEX(PEDIDOS!$A:$D,MATCH(FORNECEDOR!A1403,PEDIDOS!$A:$A,0),4)</f>
        <v>#N/A</v>
      </c>
    </row>
    <row r="1404" spans="1:5" x14ac:dyDescent="0.25">
      <c r="A1404" s="1" t="s">
        <v>1403</v>
      </c>
      <c r="B1404" s="3">
        <f>COUNTIF(PEDIDOS!$A:$A,FORNECEDOR!A1404)</f>
        <v>1</v>
      </c>
      <c r="C1404" s="3" t="str">
        <f>INDEX(PEDIDOS!$A:$D,MATCH(FORNECEDOR!A1404,PEDIDOS!$A:$A,0),2)</f>
        <v>SP - PARI</v>
      </c>
      <c r="D1404" s="3" t="str">
        <f>INDEX(PEDIDOS!$A:$D,MATCH(FORNECEDOR!A1404,PEDIDOS!$A:$A,0),3)</f>
        <v>SP - PARI</v>
      </c>
      <c r="E1404" s="3" t="str">
        <f>INDEX(PEDIDOS!$A:$D,MATCH(FORNECEDOR!A1404,PEDIDOS!$A:$A,0),4)</f>
        <v>SP - PARI</v>
      </c>
    </row>
    <row r="1405" spans="1:5" hidden="1" x14ac:dyDescent="0.25">
      <c r="A1405" s="1" t="s">
        <v>1404</v>
      </c>
      <c r="B1405" s="3">
        <f>COUNTIF(PEDIDOS!$A:$A,FORNECEDOR!A1405)</f>
        <v>0</v>
      </c>
      <c r="C1405" s="3" t="e">
        <f>INDEX(PEDIDOS!$A:$D,MATCH(FORNECEDOR!A1405,PEDIDOS!$A:$A,0),2)</f>
        <v>#N/A</v>
      </c>
      <c r="D1405" s="3" t="e">
        <f>INDEX(PEDIDOS!$A:$D,MATCH(FORNECEDOR!A1405,PEDIDOS!$A:$A,0),3)</f>
        <v>#N/A</v>
      </c>
      <c r="E1405" s="3" t="e">
        <f>INDEX(PEDIDOS!$A:$D,MATCH(FORNECEDOR!A1405,PEDIDOS!$A:$A,0),4)</f>
        <v>#N/A</v>
      </c>
    </row>
    <row r="1406" spans="1:5" x14ac:dyDescent="0.25">
      <c r="A1406" s="1" t="s">
        <v>1405</v>
      </c>
      <c r="B1406" s="3">
        <f>COUNTIF(PEDIDOS!$A:$A,FORNECEDOR!A1406)</f>
        <v>1</v>
      </c>
      <c r="C1406" s="3" t="str">
        <f>INDEX(PEDIDOS!$A:$D,MATCH(FORNECEDOR!A1406,PEDIDOS!$A:$A,0),2)</f>
        <v>CD REGIS</v>
      </c>
      <c r="D1406" s="3" t="str">
        <f>INDEX(PEDIDOS!$A:$D,MATCH(FORNECEDOR!A1406,PEDIDOS!$A:$A,0),3)</f>
        <v>MATRIZ</v>
      </c>
      <c r="E1406" s="3" t="str">
        <f>INDEX(PEDIDOS!$A:$D,MATCH(FORNECEDOR!A1406,PEDIDOS!$A:$A,0),4)</f>
        <v>CD REGIS</v>
      </c>
    </row>
    <row r="1407" spans="1:5" hidden="1" x14ac:dyDescent="0.25">
      <c r="A1407" s="1" t="s">
        <v>1406</v>
      </c>
      <c r="B1407" s="3">
        <f>COUNTIF(PEDIDOS!$A:$A,FORNECEDOR!A1407)</f>
        <v>0</v>
      </c>
      <c r="C1407" s="3" t="e">
        <f>INDEX(PEDIDOS!$A:$D,MATCH(FORNECEDOR!A1407,PEDIDOS!$A:$A,0),2)</f>
        <v>#N/A</v>
      </c>
      <c r="D1407" s="3" t="e">
        <f>INDEX(PEDIDOS!$A:$D,MATCH(FORNECEDOR!A1407,PEDIDOS!$A:$A,0),3)</f>
        <v>#N/A</v>
      </c>
      <c r="E1407" s="3" t="e">
        <f>INDEX(PEDIDOS!$A:$D,MATCH(FORNECEDOR!A1407,PEDIDOS!$A:$A,0),4)</f>
        <v>#N/A</v>
      </c>
    </row>
    <row r="1408" spans="1:5" hidden="1" x14ac:dyDescent="0.25">
      <c r="A1408" s="1" t="s">
        <v>1407</v>
      </c>
      <c r="B1408" s="3">
        <f>COUNTIF(PEDIDOS!$A:$A,FORNECEDOR!A1408)</f>
        <v>0</v>
      </c>
      <c r="C1408" s="3" t="e">
        <f>INDEX(PEDIDOS!$A:$D,MATCH(FORNECEDOR!A1408,PEDIDOS!$A:$A,0),2)</f>
        <v>#N/A</v>
      </c>
      <c r="D1408" s="3" t="e">
        <f>INDEX(PEDIDOS!$A:$D,MATCH(FORNECEDOR!A1408,PEDIDOS!$A:$A,0),3)</f>
        <v>#N/A</v>
      </c>
      <c r="E1408" s="3" t="e">
        <f>INDEX(PEDIDOS!$A:$D,MATCH(FORNECEDOR!A1408,PEDIDOS!$A:$A,0),4)</f>
        <v>#N/A</v>
      </c>
    </row>
    <row r="1409" spans="1:5" hidden="1" x14ac:dyDescent="0.25">
      <c r="A1409" s="1" t="s">
        <v>1408</v>
      </c>
      <c r="B1409" s="3">
        <f>COUNTIF(PEDIDOS!$A:$A,FORNECEDOR!A1409)</f>
        <v>0</v>
      </c>
      <c r="C1409" s="3" t="e">
        <f>INDEX(PEDIDOS!$A:$D,MATCH(FORNECEDOR!A1409,PEDIDOS!$A:$A,0),2)</f>
        <v>#N/A</v>
      </c>
      <c r="D1409" s="3" t="e">
        <f>INDEX(PEDIDOS!$A:$D,MATCH(FORNECEDOR!A1409,PEDIDOS!$A:$A,0),3)</f>
        <v>#N/A</v>
      </c>
      <c r="E1409" s="3" t="e">
        <f>INDEX(PEDIDOS!$A:$D,MATCH(FORNECEDOR!A1409,PEDIDOS!$A:$A,0),4)</f>
        <v>#N/A</v>
      </c>
    </row>
    <row r="1410" spans="1:5" hidden="1" x14ac:dyDescent="0.25">
      <c r="A1410" s="1" t="s">
        <v>1409</v>
      </c>
      <c r="B1410" s="3">
        <f>COUNTIF(PEDIDOS!$A:$A,FORNECEDOR!A1410)</f>
        <v>0</v>
      </c>
      <c r="C1410" s="3" t="e">
        <f>INDEX(PEDIDOS!$A:$D,MATCH(FORNECEDOR!A1410,PEDIDOS!$A:$A,0),2)</f>
        <v>#N/A</v>
      </c>
      <c r="D1410" s="3" t="e">
        <f>INDEX(PEDIDOS!$A:$D,MATCH(FORNECEDOR!A1410,PEDIDOS!$A:$A,0),3)</f>
        <v>#N/A</v>
      </c>
      <c r="E1410" s="3" t="e">
        <f>INDEX(PEDIDOS!$A:$D,MATCH(FORNECEDOR!A1410,PEDIDOS!$A:$A,0),4)</f>
        <v>#N/A</v>
      </c>
    </row>
    <row r="1411" spans="1:5" x14ac:dyDescent="0.25">
      <c r="A1411" s="1" t="s">
        <v>1410</v>
      </c>
      <c r="B1411" s="3">
        <f>COUNTIF(PEDIDOS!$A:$A,FORNECEDOR!A1411)</f>
        <v>3</v>
      </c>
      <c r="C1411" s="3" t="str">
        <f>INDEX(PEDIDOS!$A:$D,MATCH(FORNECEDOR!A1411,PEDIDOS!$A:$A,0),2)</f>
        <v>AVANTI- ADM C.CREDITO</v>
      </c>
      <c r="D1411" s="3" t="str">
        <f>INDEX(PEDIDOS!$A:$D,MATCH(FORNECEDOR!A1411,PEDIDOS!$A:$A,0),3)</f>
        <v>AVANTI- ADM C.CREDITO</v>
      </c>
      <c r="E1411" s="3" t="str">
        <f>INDEX(PEDIDOS!$A:$D,MATCH(FORNECEDOR!A1411,PEDIDOS!$A:$A,0),4)</f>
        <v>AVANTI- ADM C.CREDITO</v>
      </c>
    </row>
    <row r="1412" spans="1:5" hidden="1" x14ac:dyDescent="0.25">
      <c r="A1412" s="1" t="s">
        <v>1411</v>
      </c>
      <c r="B1412" s="3">
        <f>COUNTIF(PEDIDOS!$A:$A,FORNECEDOR!A1412)</f>
        <v>0</v>
      </c>
      <c r="C1412" s="3" t="e">
        <f>INDEX(PEDIDOS!$A:$D,MATCH(FORNECEDOR!A1412,PEDIDOS!$A:$A,0),2)</f>
        <v>#N/A</v>
      </c>
      <c r="D1412" s="3" t="e">
        <f>INDEX(PEDIDOS!$A:$D,MATCH(FORNECEDOR!A1412,PEDIDOS!$A:$A,0),3)</f>
        <v>#N/A</v>
      </c>
      <c r="E1412" s="3" t="e">
        <f>INDEX(PEDIDOS!$A:$D,MATCH(FORNECEDOR!A1412,PEDIDOS!$A:$A,0),4)</f>
        <v>#N/A</v>
      </c>
    </row>
    <row r="1413" spans="1:5" hidden="1" x14ac:dyDescent="0.25">
      <c r="A1413" s="1" t="s">
        <v>1412</v>
      </c>
      <c r="B1413" s="3">
        <f>COUNTIF(PEDIDOS!$A:$A,FORNECEDOR!A1413)</f>
        <v>0</v>
      </c>
      <c r="C1413" s="3" t="e">
        <f>INDEX(PEDIDOS!$A:$D,MATCH(FORNECEDOR!A1413,PEDIDOS!$A:$A,0),2)</f>
        <v>#N/A</v>
      </c>
      <c r="D1413" s="3" t="e">
        <f>INDEX(PEDIDOS!$A:$D,MATCH(FORNECEDOR!A1413,PEDIDOS!$A:$A,0),3)</f>
        <v>#N/A</v>
      </c>
      <c r="E1413" s="3" t="e">
        <f>INDEX(PEDIDOS!$A:$D,MATCH(FORNECEDOR!A1413,PEDIDOS!$A:$A,0),4)</f>
        <v>#N/A</v>
      </c>
    </row>
    <row r="1414" spans="1:5" x14ac:dyDescent="0.25">
      <c r="A1414" s="1" t="s">
        <v>1413</v>
      </c>
      <c r="B1414" s="3">
        <f>COUNTIF(PEDIDOS!$A:$A,FORNECEDOR!A1414)</f>
        <v>2</v>
      </c>
      <c r="C1414" s="3" t="str">
        <f>INDEX(PEDIDOS!$A:$D,MATCH(FORNECEDOR!A1414,PEDIDOS!$A:$A,0),2)</f>
        <v>CD REGIS</v>
      </c>
      <c r="D1414" s="3" t="str">
        <f>INDEX(PEDIDOS!$A:$D,MATCH(FORNECEDOR!A1414,PEDIDOS!$A:$A,0),3)</f>
        <v>MATRIZ</v>
      </c>
      <c r="E1414" s="3" t="str">
        <f>INDEX(PEDIDOS!$A:$D,MATCH(FORNECEDOR!A1414,PEDIDOS!$A:$A,0),4)</f>
        <v>CD REGIS</v>
      </c>
    </row>
    <row r="1415" spans="1:5" hidden="1" x14ac:dyDescent="0.25">
      <c r="A1415" s="1" t="s">
        <v>1414</v>
      </c>
      <c r="B1415" s="3">
        <f>COUNTIF(PEDIDOS!$A:$A,FORNECEDOR!A1415)</f>
        <v>0</v>
      </c>
      <c r="C1415" s="3" t="e">
        <f>INDEX(PEDIDOS!$A:$D,MATCH(FORNECEDOR!A1415,PEDIDOS!$A:$A,0),2)</f>
        <v>#N/A</v>
      </c>
      <c r="D1415" s="3" t="e">
        <f>INDEX(PEDIDOS!$A:$D,MATCH(FORNECEDOR!A1415,PEDIDOS!$A:$A,0),3)</f>
        <v>#N/A</v>
      </c>
      <c r="E1415" s="3" t="e">
        <f>INDEX(PEDIDOS!$A:$D,MATCH(FORNECEDOR!A1415,PEDIDOS!$A:$A,0),4)</f>
        <v>#N/A</v>
      </c>
    </row>
    <row r="1416" spans="1:5" x14ac:dyDescent="0.25">
      <c r="A1416" s="1" t="s">
        <v>1415</v>
      </c>
      <c r="B1416" s="3">
        <f>COUNTIF(PEDIDOS!$A:$A,FORNECEDOR!A1416)</f>
        <v>2</v>
      </c>
      <c r="C1416" s="3" t="str">
        <f>INDEX(PEDIDOS!$A:$D,MATCH(FORNECEDOR!A1416,PEDIDOS!$A:$A,0),2)</f>
        <v>CD REGIS</v>
      </c>
      <c r="D1416" s="3" t="str">
        <f>INDEX(PEDIDOS!$A:$D,MATCH(FORNECEDOR!A1416,PEDIDOS!$A:$A,0),3)</f>
        <v>CD REGIS</v>
      </c>
      <c r="E1416" s="3" t="str">
        <f>INDEX(PEDIDOS!$A:$D,MATCH(FORNECEDOR!A1416,PEDIDOS!$A:$A,0),4)</f>
        <v>CD REGIS</v>
      </c>
    </row>
    <row r="1417" spans="1:5" hidden="1" x14ac:dyDescent="0.25">
      <c r="A1417" s="1" t="s">
        <v>1416</v>
      </c>
      <c r="B1417" s="3">
        <f>COUNTIF(PEDIDOS!$A:$A,FORNECEDOR!A1417)</f>
        <v>0</v>
      </c>
      <c r="C1417" s="3" t="e">
        <f>INDEX(PEDIDOS!$A:$D,MATCH(FORNECEDOR!A1417,PEDIDOS!$A:$A,0),2)</f>
        <v>#N/A</v>
      </c>
      <c r="D1417" s="3" t="e">
        <f>INDEX(PEDIDOS!$A:$D,MATCH(FORNECEDOR!A1417,PEDIDOS!$A:$A,0),3)</f>
        <v>#N/A</v>
      </c>
      <c r="E1417" s="3" t="e">
        <f>INDEX(PEDIDOS!$A:$D,MATCH(FORNECEDOR!A1417,PEDIDOS!$A:$A,0),4)</f>
        <v>#N/A</v>
      </c>
    </row>
    <row r="1418" spans="1:5" hidden="1" x14ac:dyDescent="0.25">
      <c r="A1418" s="1" t="s">
        <v>1417</v>
      </c>
      <c r="B1418" s="3">
        <f>COUNTIF(PEDIDOS!$A:$A,FORNECEDOR!A1418)</f>
        <v>0</v>
      </c>
      <c r="C1418" s="3" t="e">
        <f>INDEX(PEDIDOS!$A:$D,MATCH(FORNECEDOR!A1418,PEDIDOS!$A:$A,0),2)</f>
        <v>#N/A</v>
      </c>
      <c r="D1418" s="3" t="e">
        <f>INDEX(PEDIDOS!$A:$D,MATCH(FORNECEDOR!A1418,PEDIDOS!$A:$A,0),3)</f>
        <v>#N/A</v>
      </c>
      <c r="E1418" s="3" t="e">
        <f>INDEX(PEDIDOS!$A:$D,MATCH(FORNECEDOR!A1418,PEDIDOS!$A:$A,0),4)</f>
        <v>#N/A</v>
      </c>
    </row>
    <row r="1419" spans="1:5" hidden="1" x14ac:dyDescent="0.25">
      <c r="A1419" s="1" t="s">
        <v>1418</v>
      </c>
      <c r="B1419" s="3">
        <f>COUNTIF(PEDIDOS!$A:$A,FORNECEDOR!A1419)</f>
        <v>0</v>
      </c>
      <c r="C1419" s="3" t="e">
        <f>INDEX(PEDIDOS!$A:$D,MATCH(FORNECEDOR!A1419,PEDIDOS!$A:$A,0),2)</f>
        <v>#N/A</v>
      </c>
      <c r="D1419" s="3" t="e">
        <f>INDEX(PEDIDOS!$A:$D,MATCH(FORNECEDOR!A1419,PEDIDOS!$A:$A,0),3)</f>
        <v>#N/A</v>
      </c>
      <c r="E1419" s="3" t="e">
        <f>INDEX(PEDIDOS!$A:$D,MATCH(FORNECEDOR!A1419,PEDIDOS!$A:$A,0),4)</f>
        <v>#N/A</v>
      </c>
    </row>
    <row r="1420" spans="1:5" hidden="1" x14ac:dyDescent="0.25">
      <c r="A1420" s="1" t="s">
        <v>1419</v>
      </c>
      <c r="B1420" s="3">
        <f>COUNTIF(PEDIDOS!$A:$A,FORNECEDOR!A1420)</f>
        <v>0</v>
      </c>
      <c r="C1420" s="3" t="e">
        <f>INDEX(PEDIDOS!$A:$D,MATCH(FORNECEDOR!A1420,PEDIDOS!$A:$A,0),2)</f>
        <v>#N/A</v>
      </c>
      <c r="D1420" s="3" t="e">
        <f>INDEX(PEDIDOS!$A:$D,MATCH(FORNECEDOR!A1420,PEDIDOS!$A:$A,0),3)</f>
        <v>#N/A</v>
      </c>
      <c r="E1420" s="3" t="e">
        <f>INDEX(PEDIDOS!$A:$D,MATCH(FORNECEDOR!A1420,PEDIDOS!$A:$A,0),4)</f>
        <v>#N/A</v>
      </c>
    </row>
    <row r="1421" spans="1:5" hidden="1" x14ac:dyDescent="0.25">
      <c r="A1421" s="1" t="s">
        <v>1420</v>
      </c>
      <c r="B1421" s="3">
        <f>COUNTIF(PEDIDOS!$A:$A,FORNECEDOR!A1421)</f>
        <v>0</v>
      </c>
      <c r="C1421" s="3" t="e">
        <f>INDEX(PEDIDOS!$A:$D,MATCH(FORNECEDOR!A1421,PEDIDOS!$A:$A,0),2)</f>
        <v>#N/A</v>
      </c>
      <c r="D1421" s="3" t="e">
        <f>INDEX(PEDIDOS!$A:$D,MATCH(FORNECEDOR!A1421,PEDIDOS!$A:$A,0),3)</f>
        <v>#N/A</v>
      </c>
      <c r="E1421" s="3" t="e">
        <f>INDEX(PEDIDOS!$A:$D,MATCH(FORNECEDOR!A1421,PEDIDOS!$A:$A,0),4)</f>
        <v>#N/A</v>
      </c>
    </row>
    <row r="1422" spans="1:5" hidden="1" x14ac:dyDescent="0.25">
      <c r="A1422" s="1" t="s">
        <v>1421</v>
      </c>
      <c r="B1422" s="3">
        <f>COUNTIF(PEDIDOS!$A:$A,FORNECEDOR!A1422)</f>
        <v>0</v>
      </c>
      <c r="C1422" s="3" t="e">
        <f>INDEX(PEDIDOS!$A:$D,MATCH(FORNECEDOR!A1422,PEDIDOS!$A:$A,0),2)</f>
        <v>#N/A</v>
      </c>
      <c r="D1422" s="3" t="e">
        <f>INDEX(PEDIDOS!$A:$D,MATCH(FORNECEDOR!A1422,PEDIDOS!$A:$A,0),3)</f>
        <v>#N/A</v>
      </c>
      <c r="E1422" s="3" t="e">
        <f>INDEX(PEDIDOS!$A:$D,MATCH(FORNECEDOR!A1422,PEDIDOS!$A:$A,0),4)</f>
        <v>#N/A</v>
      </c>
    </row>
    <row r="1423" spans="1:5" hidden="1" x14ac:dyDescent="0.25">
      <c r="A1423" s="1" t="s">
        <v>1422</v>
      </c>
      <c r="B1423" s="3">
        <f>COUNTIF(PEDIDOS!$A:$A,FORNECEDOR!A1423)</f>
        <v>0</v>
      </c>
      <c r="C1423" s="3" t="e">
        <f>INDEX(PEDIDOS!$A:$D,MATCH(FORNECEDOR!A1423,PEDIDOS!$A:$A,0),2)</f>
        <v>#N/A</v>
      </c>
      <c r="D1423" s="3" t="e">
        <f>INDEX(PEDIDOS!$A:$D,MATCH(FORNECEDOR!A1423,PEDIDOS!$A:$A,0),3)</f>
        <v>#N/A</v>
      </c>
      <c r="E1423" s="3" t="e">
        <f>INDEX(PEDIDOS!$A:$D,MATCH(FORNECEDOR!A1423,PEDIDOS!$A:$A,0),4)</f>
        <v>#N/A</v>
      </c>
    </row>
    <row r="1424" spans="1:5" x14ac:dyDescent="0.25">
      <c r="A1424" s="1" t="s">
        <v>1423</v>
      </c>
      <c r="B1424" s="3">
        <f>COUNTIF(PEDIDOS!$A:$A,FORNECEDOR!A1424)</f>
        <v>2</v>
      </c>
      <c r="C1424" s="3" t="str">
        <f>INDEX(PEDIDOS!$A:$D,MATCH(FORNECEDOR!A1424,PEDIDOS!$A:$A,0),2)</f>
        <v>CD REGIS</v>
      </c>
      <c r="D1424" s="3" t="str">
        <f>INDEX(PEDIDOS!$A:$D,MATCH(FORNECEDOR!A1424,PEDIDOS!$A:$A,0),3)</f>
        <v>MATRIZ</v>
      </c>
      <c r="E1424" s="3" t="str">
        <f>INDEX(PEDIDOS!$A:$D,MATCH(FORNECEDOR!A1424,PEDIDOS!$A:$A,0),4)</f>
        <v>CD REGIS</v>
      </c>
    </row>
    <row r="1425" spans="1:5" x14ac:dyDescent="0.25">
      <c r="A1425" s="1" t="s">
        <v>1424</v>
      </c>
      <c r="B1425" s="3">
        <f>COUNTIF(PEDIDOS!$A:$A,FORNECEDOR!A1425)</f>
        <v>2</v>
      </c>
      <c r="C1425" s="3" t="str">
        <f>INDEX(PEDIDOS!$A:$D,MATCH(FORNECEDOR!A1425,PEDIDOS!$A:$A,0),2)</f>
        <v>CD REGIS</v>
      </c>
      <c r="D1425" s="3" t="str">
        <f>INDEX(PEDIDOS!$A:$D,MATCH(FORNECEDOR!A1425,PEDIDOS!$A:$A,0),3)</f>
        <v>MATRIZ</v>
      </c>
      <c r="E1425" s="3" t="str">
        <f>INDEX(PEDIDOS!$A:$D,MATCH(FORNECEDOR!A1425,PEDIDOS!$A:$A,0),4)</f>
        <v>CD REGIS</v>
      </c>
    </row>
    <row r="1426" spans="1:5" hidden="1" x14ac:dyDescent="0.25">
      <c r="A1426" s="1" t="s">
        <v>1425</v>
      </c>
      <c r="B1426" s="3">
        <f>COUNTIF(PEDIDOS!$A:$A,FORNECEDOR!A1426)</f>
        <v>0</v>
      </c>
      <c r="C1426" s="3" t="e">
        <f>INDEX(PEDIDOS!$A:$D,MATCH(FORNECEDOR!A1426,PEDIDOS!$A:$A,0),2)</f>
        <v>#N/A</v>
      </c>
      <c r="D1426" s="3" t="e">
        <f>INDEX(PEDIDOS!$A:$D,MATCH(FORNECEDOR!A1426,PEDIDOS!$A:$A,0),3)</f>
        <v>#N/A</v>
      </c>
      <c r="E1426" s="3" t="e">
        <f>INDEX(PEDIDOS!$A:$D,MATCH(FORNECEDOR!A1426,PEDIDOS!$A:$A,0),4)</f>
        <v>#N/A</v>
      </c>
    </row>
    <row r="1427" spans="1:5" hidden="1" x14ac:dyDescent="0.25">
      <c r="A1427" s="1" t="s">
        <v>1426</v>
      </c>
      <c r="B1427" s="3">
        <f>COUNTIF(PEDIDOS!$A:$A,FORNECEDOR!A1427)</f>
        <v>0</v>
      </c>
      <c r="C1427" s="3" t="e">
        <f>INDEX(PEDIDOS!$A:$D,MATCH(FORNECEDOR!A1427,PEDIDOS!$A:$A,0),2)</f>
        <v>#N/A</v>
      </c>
      <c r="D1427" s="3" t="e">
        <f>INDEX(PEDIDOS!$A:$D,MATCH(FORNECEDOR!A1427,PEDIDOS!$A:$A,0),3)</f>
        <v>#N/A</v>
      </c>
      <c r="E1427" s="3" t="e">
        <f>INDEX(PEDIDOS!$A:$D,MATCH(FORNECEDOR!A1427,PEDIDOS!$A:$A,0),4)</f>
        <v>#N/A</v>
      </c>
    </row>
    <row r="1428" spans="1:5" hidden="1" x14ac:dyDescent="0.25">
      <c r="A1428" s="1" t="s">
        <v>1427</v>
      </c>
      <c r="B1428" s="3">
        <f>COUNTIF(PEDIDOS!$A:$A,FORNECEDOR!A1428)</f>
        <v>0</v>
      </c>
      <c r="C1428" s="3" t="e">
        <f>INDEX(PEDIDOS!$A:$D,MATCH(FORNECEDOR!A1428,PEDIDOS!$A:$A,0),2)</f>
        <v>#N/A</v>
      </c>
      <c r="D1428" s="3" t="e">
        <f>INDEX(PEDIDOS!$A:$D,MATCH(FORNECEDOR!A1428,PEDIDOS!$A:$A,0),3)</f>
        <v>#N/A</v>
      </c>
      <c r="E1428" s="3" t="e">
        <f>INDEX(PEDIDOS!$A:$D,MATCH(FORNECEDOR!A1428,PEDIDOS!$A:$A,0),4)</f>
        <v>#N/A</v>
      </c>
    </row>
    <row r="1429" spans="1:5" hidden="1" x14ac:dyDescent="0.25">
      <c r="A1429" s="1" t="s">
        <v>1428</v>
      </c>
      <c r="B1429" s="3">
        <f>COUNTIF(PEDIDOS!$A:$A,FORNECEDOR!A1429)</f>
        <v>0</v>
      </c>
      <c r="C1429" s="3" t="e">
        <f>INDEX(PEDIDOS!$A:$D,MATCH(FORNECEDOR!A1429,PEDIDOS!$A:$A,0),2)</f>
        <v>#N/A</v>
      </c>
      <c r="D1429" s="3" t="e">
        <f>INDEX(PEDIDOS!$A:$D,MATCH(FORNECEDOR!A1429,PEDIDOS!$A:$A,0),3)</f>
        <v>#N/A</v>
      </c>
      <c r="E1429" s="3" t="e">
        <f>INDEX(PEDIDOS!$A:$D,MATCH(FORNECEDOR!A1429,PEDIDOS!$A:$A,0),4)</f>
        <v>#N/A</v>
      </c>
    </row>
    <row r="1430" spans="1:5" x14ac:dyDescent="0.25">
      <c r="A1430" s="1" t="s">
        <v>1429</v>
      </c>
      <c r="B1430" s="3">
        <f>COUNTIF(PEDIDOS!$A:$A,FORNECEDOR!A1430)</f>
        <v>1</v>
      </c>
      <c r="C1430" s="3" t="str">
        <f>INDEX(PEDIDOS!$A:$D,MATCH(FORNECEDOR!A1430,PEDIDOS!$A:$A,0),2)</f>
        <v>CD REGIS</v>
      </c>
      <c r="D1430" s="3" t="str">
        <f>INDEX(PEDIDOS!$A:$D,MATCH(FORNECEDOR!A1430,PEDIDOS!$A:$A,0),3)</f>
        <v>TATUAPE</v>
      </c>
      <c r="E1430" s="3" t="str">
        <f>INDEX(PEDIDOS!$A:$D,MATCH(FORNECEDOR!A1430,PEDIDOS!$A:$A,0),4)</f>
        <v>CD REGIS</v>
      </c>
    </row>
    <row r="1431" spans="1:5" x14ac:dyDescent="0.25">
      <c r="A1431" s="1" t="s">
        <v>1430</v>
      </c>
      <c r="B1431" s="3">
        <f>COUNTIF(PEDIDOS!$A:$A,FORNECEDOR!A1431)</f>
        <v>2</v>
      </c>
      <c r="C1431" s="3" t="str">
        <f>INDEX(PEDIDOS!$A:$D,MATCH(FORNECEDOR!A1431,PEDIDOS!$A:$A,0),2)</f>
        <v>CD REGIS</v>
      </c>
      <c r="D1431" s="3" t="str">
        <f>INDEX(PEDIDOS!$A:$D,MATCH(FORNECEDOR!A1431,PEDIDOS!$A:$A,0),3)</f>
        <v>MATRIZ</v>
      </c>
      <c r="E1431" s="3" t="str">
        <f>INDEX(PEDIDOS!$A:$D,MATCH(FORNECEDOR!A1431,PEDIDOS!$A:$A,0),4)</f>
        <v>CD REGIS</v>
      </c>
    </row>
    <row r="1432" spans="1:5" x14ac:dyDescent="0.25">
      <c r="A1432" s="1" t="s">
        <v>1431</v>
      </c>
      <c r="B1432" s="3">
        <f>COUNTIF(PEDIDOS!$A:$A,FORNECEDOR!A1432)</f>
        <v>1</v>
      </c>
      <c r="C1432" s="3" t="str">
        <f>INDEX(PEDIDOS!$A:$D,MATCH(FORNECEDOR!A1432,PEDIDOS!$A:$A,0),2)</f>
        <v>CD REGIS</v>
      </c>
      <c r="D1432" s="3" t="str">
        <f>INDEX(PEDIDOS!$A:$D,MATCH(FORNECEDOR!A1432,PEDIDOS!$A:$A,0),3)</f>
        <v>TATUAPE</v>
      </c>
      <c r="E1432" s="3" t="str">
        <f>INDEX(PEDIDOS!$A:$D,MATCH(FORNECEDOR!A1432,PEDIDOS!$A:$A,0),4)</f>
        <v>CD REGIS</v>
      </c>
    </row>
    <row r="1433" spans="1:5" x14ac:dyDescent="0.25">
      <c r="A1433" s="1" t="s">
        <v>1432</v>
      </c>
      <c r="B1433" s="3">
        <f>COUNTIF(PEDIDOS!$A:$A,FORNECEDOR!A1433)</f>
        <v>2</v>
      </c>
      <c r="C1433" s="3" t="str">
        <f>INDEX(PEDIDOS!$A:$D,MATCH(FORNECEDOR!A1433,PEDIDOS!$A:$A,0),2)</f>
        <v>CD REGIS</v>
      </c>
      <c r="D1433" s="3" t="str">
        <f>INDEX(PEDIDOS!$A:$D,MATCH(FORNECEDOR!A1433,PEDIDOS!$A:$A,0),3)</f>
        <v>MATRIZ</v>
      </c>
      <c r="E1433" s="3" t="str">
        <f>INDEX(PEDIDOS!$A:$D,MATCH(FORNECEDOR!A1433,PEDIDOS!$A:$A,0),4)</f>
        <v>CD REGIS</v>
      </c>
    </row>
    <row r="1434" spans="1:5" hidden="1" x14ac:dyDescent="0.25">
      <c r="A1434" s="1" t="s">
        <v>1433</v>
      </c>
      <c r="B1434" s="3">
        <f>COUNTIF(PEDIDOS!$A:$A,FORNECEDOR!A1434)</f>
        <v>0</v>
      </c>
      <c r="C1434" s="3" t="e">
        <f>INDEX(PEDIDOS!$A:$D,MATCH(FORNECEDOR!A1434,PEDIDOS!$A:$A,0),2)</f>
        <v>#N/A</v>
      </c>
      <c r="D1434" s="3" t="e">
        <f>INDEX(PEDIDOS!$A:$D,MATCH(FORNECEDOR!A1434,PEDIDOS!$A:$A,0),3)</f>
        <v>#N/A</v>
      </c>
      <c r="E1434" s="3" t="e">
        <f>INDEX(PEDIDOS!$A:$D,MATCH(FORNECEDOR!A1434,PEDIDOS!$A:$A,0),4)</f>
        <v>#N/A</v>
      </c>
    </row>
    <row r="1435" spans="1:5" hidden="1" x14ac:dyDescent="0.25">
      <c r="A1435" s="1" t="s">
        <v>1434</v>
      </c>
      <c r="B1435" s="3">
        <f>COUNTIF(PEDIDOS!$A:$A,FORNECEDOR!A1435)</f>
        <v>0</v>
      </c>
      <c r="C1435" s="3" t="e">
        <f>INDEX(PEDIDOS!$A:$D,MATCH(FORNECEDOR!A1435,PEDIDOS!$A:$A,0),2)</f>
        <v>#N/A</v>
      </c>
      <c r="D1435" s="3" t="e">
        <f>INDEX(PEDIDOS!$A:$D,MATCH(FORNECEDOR!A1435,PEDIDOS!$A:$A,0),3)</f>
        <v>#N/A</v>
      </c>
      <c r="E1435" s="3" t="e">
        <f>INDEX(PEDIDOS!$A:$D,MATCH(FORNECEDOR!A1435,PEDIDOS!$A:$A,0),4)</f>
        <v>#N/A</v>
      </c>
    </row>
    <row r="1436" spans="1:5" x14ac:dyDescent="0.25">
      <c r="A1436" s="1" t="s">
        <v>1435</v>
      </c>
      <c r="B1436" s="3">
        <f>COUNTIF(PEDIDOS!$A:$A,FORNECEDOR!A1436)</f>
        <v>1</v>
      </c>
      <c r="C1436" s="3" t="str">
        <f>INDEX(PEDIDOS!$A:$D,MATCH(FORNECEDOR!A1436,PEDIDOS!$A:$A,0),2)</f>
        <v>CD REGIS</v>
      </c>
      <c r="D1436" s="3" t="str">
        <f>INDEX(PEDIDOS!$A:$D,MATCH(FORNECEDOR!A1436,PEDIDOS!$A:$A,0),3)</f>
        <v>MATRIZ</v>
      </c>
      <c r="E1436" s="3" t="str">
        <f>INDEX(PEDIDOS!$A:$D,MATCH(FORNECEDOR!A1436,PEDIDOS!$A:$A,0),4)</f>
        <v>CD REGIS</v>
      </c>
    </row>
    <row r="1437" spans="1:5" hidden="1" x14ac:dyDescent="0.25">
      <c r="A1437" s="1" t="s">
        <v>1436</v>
      </c>
      <c r="B1437" s="3">
        <f>COUNTIF(PEDIDOS!$A:$A,FORNECEDOR!A1437)</f>
        <v>0</v>
      </c>
      <c r="C1437" s="3" t="e">
        <f>INDEX(PEDIDOS!$A:$D,MATCH(FORNECEDOR!A1437,PEDIDOS!$A:$A,0),2)</f>
        <v>#N/A</v>
      </c>
      <c r="D1437" s="3" t="e">
        <f>INDEX(PEDIDOS!$A:$D,MATCH(FORNECEDOR!A1437,PEDIDOS!$A:$A,0),3)</f>
        <v>#N/A</v>
      </c>
      <c r="E1437" s="3" t="e">
        <f>INDEX(PEDIDOS!$A:$D,MATCH(FORNECEDOR!A1437,PEDIDOS!$A:$A,0),4)</f>
        <v>#N/A</v>
      </c>
    </row>
    <row r="1438" spans="1:5" hidden="1" x14ac:dyDescent="0.25">
      <c r="A1438" s="1" t="s">
        <v>1437</v>
      </c>
      <c r="B1438" s="3">
        <f>COUNTIF(PEDIDOS!$A:$A,FORNECEDOR!A1438)</f>
        <v>0</v>
      </c>
      <c r="C1438" s="3" t="e">
        <f>INDEX(PEDIDOS!$A:$D,MATCH(FORNECEDOR!A1438,PEDIDOS!$A:$A,0),2)</f>
        <v>#N/A</v>
      </c>
      <c r="D1438" s="3" t="e">
        <f>INDEX(PEDIDOS!$A:$D,MATCH(FORNECEDOR!A1438,PEDIDOS!$A:$A,0),3)</f>
        <v>#N/A</v>
      </c>
      <c r="E1438" s="3" t="e">
        <f>INDEX(PEDIDOS!$A:$D,MATCH(FORNECEDOR!A1438,PEDIDOS!$A:$A,0),4)</f>
        <v>#N/A</v>
      </c>
    </row>
    <row r="1439" spans="1:5" hidden="1" x14ac:dyDescent="0.25">
      <c r="A1439" s="1" t="s">
        <v>1438</v>
      </c>
      <c r="B1439" s="3">
        <f>COUNTIF(PEDIDOS!$A:$A,FORNECEDOR!A1439)</f>
        <v>0</v>
      </c>
      <c r="C1439" s="3" t="e">
        <f>INDEX(PEDIDOS!$A:$D,MATCH(FORNECEDOR!A1439,PEDIDOS!$A:$A,0),2)</f>
        <v>#N/A</v>
      </c>
      <c r="D1439" s="3" t="e">
        <f>INDEX(PEDIDOS!$A:$D,MATCH(FORNECEDOR!A1439,PEDIDOS!$A:$A,0),3)</f>
        <v>#N/A</v>
      </c>
      <c r="E1439" s="3" t="e">
        <f>INDEX(PEDIDOS!$A:$D,MATCH(FORNECEDOR!A1439,PEDIDOS!$A:$A,0),4)</f>
        <v>#N/A</v>
      </c>
    </row>
    <row r="1440" spans="1:5" hidden="1" x14ac:dyDescent="0.25">
      <c r="A1440" s="1" t="s">
        <v>1439</v>
      </c>
      <c r="B1440" s="3">
        <f>COUNTIF(PEDIDOS!$A:$A,FORNECEDOR!A1440)</f>
        <v>0</v>
      </c>
      <c r="C1440" s="3" t="e">
        <f>INDEX(PEDIDOS!$A:$D,MATCH(FORNECEDOR!A1440,PEDIDOS!$A:$A,0),2)</f>
        <v>#N/A</v>
      </c>
      <c r="D1440" s="3" t="e">
        <f>INDEX(PEDIDOS!$A:$D,MATCH(FORNECEDOR!A1440,PEDIDOS!$A:$A,0),3)</f>
        <v>#N/A</v>
      </c>
      <c r="E1440" s="3" t="e">
        <f>INDEX(PEDIDOS!$A:$D,MATCH(FORNECEDOR!A1440,PEDIDOS!$A:$A,0),4)</f>
        <v>#N/A</v>
      </c>
    </row>
    <row r="1441" spans="1:5" x14ac:dyDescent="0.25">
      <c r="A1441" s="1" t="s">
        <v>1440</v>
      </c>
      <c r="B1441" s="3">
        <f>COUNTIF(PEDIDOS!$A:$A,FORNECEDOR!A1441)</f>
        <v>1</v>
      </c>
      <c r="C1441" s="3" t="str">
        <f>INDEX(PEDIDOS!$A:$D,MATCH(FORNECEDOR!A1441,PEDIDOS!$A:$A,0),2)</f>
        <v>CD REGIS</v>
      </c>
      <c r="D1441" s="3" t="str">
        <f>INDEX(PEDIDOS!$A:$D,MATCH(FORNECEDOR!A1441,PEDIDOS!$A:$A,0),3)</f>
        <v>MATRIZ</v>
      </c>
      <c r="E1441" s="3" t="str">
        <f>INDEX(PEDIDOS!$A:$D,MATCH(FORNECEDOR!A1441,PEDIDOS!$A:$A,0),4)</f>
        <v>CD REGIS</v>
      </c>
    </row>
    <row r="1442" spans="1:5" hidden="1" x14ac:dyDescent="0.25">
      <c r="A1442" s="1" t="s">
        <v>1441</v>
      </c>
      <c r="B1442" s="3">
        <f>COUNTIF(PEDIDOS!$A:$A,FORNECEDOR!A1442)</f>
        <v>0</v>
      </c>
      <c r="C1442" s="3" t="e">
        <f>INDEX(PEDIDOS!$A:$D,MATCH(FORNECEDOR!A1442,PEDIDOS!$A:$A,0),2)</f>
        <v>#N/A</v>
      </c>
      <c r="D1442" s="3" t="e">
        <f>INDEX(PEDIDOS!$A:$D,MATCH(FORNECEDOR!A1442,PEDIDOS!$A:$A,0),3)</f>
        <v>#N/A</v>
      </c>
      <c r="E1442" s="3" t="e">
        <f>INDEX(PEDIDOS!$A:$D,MATCH(FORNECEDOR!A1442,PEDIDOS!$A:$A,0),4)</f>
        <v>#N/A</v>
      </c>
    </row>
    <row r="1443" spans="1:5" hidden="1" x14ac:dyDescent="0.25">
      <c r="A1443" s="1" t="s">
        <v>1442</v>
      </c>
      <c r="B1443" s="3">
        <f>COUNTIF(PEDIDOS!$A:$A,FORNECEDOR!A1443)</f>
        <v>0</v>
      </c>
      <c r="C1443" s="3" t="e">
        <f>INDEX(PEDIDOS!$A:$D,MATCH(FORNECEDOR!A1443,PEDIDOS!$A:$A,0),2)</f>
        <v>#N/A</v>
      </c>
      <c r="D1443" s="3" t="e">
        <f>INDEX(PEDIDOS!$A:$D,MATCH(FORNECEDOR!A1443,PEDIDOS!$A:$A,0),3)</f>
        <v>#N/A</v>
      </c>
      <c r="E1443" s="3" t="e">
        <f>INDEX(PEDIDOS!$A:$D,MATCH(FORNECEDOR!A1443,PEDIDOS!$A:$A,0),4)</f>
        <v>#N/A</v>
      </c>
    </row>
    <row r="1444" spans="1:5" hidden="1" x14ac:dyDescent="0.25">
      <c r="A1444" s="1" t="s">
        <v>1443</v>
      </c>
      <c r="B1444" s="3">
        <f>COUNTIF(PEDIDOS!$A:$A,FORNECEDOR!A1444)</f>
        <v>0</v>
      </c>
      <c r="C1444" s="3" t="e">
        <f>INDEX(PEDIDOS!$A:$D,MATCH(FORNECEDOR!A1444,PEDIDOS!$A:$A,0),2)</f>
        <v>#N/A</v>
      </c>
      <c r="D1444" s="3" t="e">
        <f>INDEX(PEDIDOS!$A:$D,MATCH(FORNECEDOR!A1444,PEDIDOS!$A:$A,0),3)</f>
        <v>#N/A</v>
      </c>
      <c r="E1444" s="3" t="e">
        <f>INDEX(PEDIDOS!$A:$D,MATCH(FORNECEDOR!A1444,PEDIDOS!$A:$A,0),4)</f>
        <v>#N/A</v>
      </c>
    </row>
    <row r="1445" spans="1:5" hidden="1" x14ac:dyDescent="0.25">
      <c r="A1445" s="1" t="s">
        <v>1444</v>
      </c>
      <c r="B1445" s="3">
        <f>COUNTIF(PEDIDOS!$A:$A,FORNECEDOR!A1445)</f>
        <v>0</v>
      </c>
      <c r="C1445" s="3" t="e">
        <f>INDEX(PEDIDOS!$A:$D,MATCH(FORNECEDOR!A1445,PEDIDOS!$A:$A,0),2)</f>
        <v>#N/A</v>
      </c>
      <c r="D1445" s="3" t="e">
        <f>INDEX(PEDIDOS!$A:$D,MATCH(FORNECEDOR!A1445,PEDIDOS!$A:$A,0),3)</f>
        <v>#N/A</v>
      </c>
      <c r="E1445" s="3" t="e">
        <f>INDEX(PEDIDOS!$A:$D,MATCH(FORNECEDOR!A1445,PEDIDOS!$A:$A,0),4)</f>
        <v>#N/A</v>
      </c>
    </row>
    <row r="1446" spans="1:5" x14ac:dyDescent="0.25">
      <c r="A1446" s="1" t="s">
        <v>1445</v>
      </c>
      <c r="B1446" s="3">
        <f>COUNTIF(PEDIDOS!$A:$A,FORNECEDOR!A1446)</f>
        <v>1</v>
      </c>
      <c r="C1446" s="3" t="str">
        <f>INDEX(PEDIDOS!$A:$D,MATCH(FORNECEDOR!A1446,PEDIDOS!$A:$A,0),2)</f>
        <v>CD REGIS</v>
      </c>
      <c r="D1446" s="3" t="str">
        <f>INDEX(PEDIDOS!$A:$D,MATCH(FORNECEDOR!A1446,PEDIDOS!$A:$A,0),3)</f>
        <v>TATUAPE</v>
      </c>
      <c r="E1446" s="3" t="str">
        <f>INDEX(PEDIDOS!$A:$D,MATCH(FORNECEDOR!A1446,PEDIDOS!$A:$A,0),4)</f>
        <v>CD REGIS</v>
      </c>
    </row>
    <row r="1447" spans="1:5" hidden="1" x14ac:dyDescent="0.25">
      <c r="A1447" s="1" t="s">
        <v>1446</v>
      </c>
      <c r="B1447" s="3">
        <f>COUNTIF(PEDIDOS!$A:$A,FORNECEDOR!A1447)</f>
        <v>0</v>
      </c>
      <c r="C1447" s="3" t="e">
        <f>INDEX(PEDIDOS!$A:$D,MATCH(FORNECEDOR!A1447,PEDIDOS!$A:$A,0),2)</f>
        <v>#N/A</v>
      </c>
      <c r="D1447" s="3" t="e">
        <f>INDEX(PEDIDOS!$A:$D,MATCH(FORNECEDOR!A1447,PEDIDOS!$A:$A,0),3)</f>
        <v>#N/A</v>
      </c>
      <c r="E1447" s="3" t="e">
        <f>INDEX(PEDIDOS!$A:$D,MATCH(FORNECEDOR!A1447,PEDIDOS!$A:$A,0),4)</f>
        <v>#N/A</v>
      </c>
    </row>
    <row r="1448" spans="1:5" x14ac:dyDescent="0.25">
      <c r="A1448" s="1" t="s">
        <v>1447</v>
      </c>
      <c r="B1448" s="3">
        <f>COUNTIF(PEDIDOS!$A:$A,FORNECEDOR!A1448)</f>
        <v>1</v>
      </c>
      <c r="C1448" s="3" t="str">
        <f>INDEX(PEDIDOS!$A:$D,MATCH(FORNECEDOR!A1448,PEDIDOS!$A:$A,0),2)</f>
        <v>CD ARAQUARI</v>
      </c>
      <c r="D1448" s="3" t="str">
        <f>INDEX(PEDIDOS!$A:$D,MATCH(FORNECEDOR!A1448,PEDIDOS!$A:$A,0),3)</f>
        <v>MATRIZ</v>
      </c>
      <c r="E1448" s="3" t="str">
        <f>INDEX(PEDIDOS!$A:$D,MATCH(FORNECEDOR!A1448,PEDIDOS!$A:$A,0),4)</f>
        <v>CD ARAQUARI</v>
      </c>
    </row>
    <row r="1449" spans="1:5" hidden="1" x14ac:dyDescent="0.25">
      <c r="A1449" s="1" t="s">
        <v>1448</v>
      </c>
      <c r="B1449" s="3">
        <f>COUNTIF(PEDIDOS!$A:$A,FORNECEDOR!A1449)</f>
        <v>0</v>
      </c>
      <c r="C1449" s="3" t="e">
        <f>INDEX(PEDIDOS!$A:$D,MATCH(FORNECEDOR!A1449,PEDIDOS!$A:$A,0),2)</f>
        <v>#N/A</v>
      </c>
      <c r="D1449" s="3" t="e">
        <f>INDEX(PEDIDOS!$A:$D,MATCH(FORNECEDOR!A1449,PEDIDOS!$A:$A,0),3)</f>
        <v>#N/A</v>
      </c>
      <c r="E1449" s="3" t="e">
        <f>INDEX(PEDIDOS!$A:$D,MATCH(FORNECEDOR!A1449,PEDIDOS!$A:$A,0),4)</f>
        <v>#N/A</v>
      </c>
    </row>
    <row r="1450" spans="1:5" hidden="1" x14ac:dyDescent="0.25">
      <c r="A1450" s="1" t="s">
        <v>1449</v>
      </c>
      <c r="B1450" s="3">
        <f>COUNTIF(PEDIDOS!$A:$A,FORNECEDOR!A1450)</f>
        <v>0</v>
      </c>
      <c r="C1450" s="3" t="e">
        <f>INDEX(PEDIDOS!$A:$D,MATCH(FORNECEDOR!A1450,PEDIDOS!$A:$A,0),2)</f>
        <v>#N/A</v>
      </c>
      <c r="D1450" s="3" t="e">
        <f>INDEX(PEDIDOS!$A:$D,MATCH(FORNECEDOR!A1450,PEDIDOS!$A:$A,0),3)</f>
        <v>#N/A</v>
      </c>
      <c r="E1450" s="3" t="e">
        <f>INDEX(PEDIDOS!$A:$D,MATCH(FORNECEDOR!A1450,PEDIDOS!$A:$A,0),4)</f>
        <v>#N/A</v>
      </c>
    </row>
    <row r="1451" spans="1:5" hidden="1" x14ac:dyDescent="0.25">
      <c r="A1451" s="1" t="s">
        <v>1450</v>
      </c>
      <c r="B1451" s="3">
        <f>COUNTIF(PEDIDOS!$A:$A,FORNECEDOR!A1451)</f>
        <v>0</v>
      </c>
      <c r="C1451" s="3" t="e">
        <f>INDEX(PEDIDOS!$A:$D,MATCH(FORNECEDOR!A1451,PEDIDOS!$A:$A,0),2)</f>
        <v>#N/A</v>
      </c>
      <c r="D1451" s="3" t="e">
        <f>INDEX(PEDIDOS!$A:$D,MATCH(FORNECEDOR!A1451,PEDIDOS!$A:$A,0),3)</f>
        <v>#N/A</v>
      </c>
      <c r="E1451" s="3" t="e">
        <f>INDEX(PEDIDOS!$A:$D,MATCH(FORNECEDOR!A1451,PEDIDOS!$A:$A,0),4)</f>
        <v>#N/A</v>
      </c>
    </row>
    <row r="1452" spans="1:5" hidden="1" x14ac:dyDescent="0.25">
      <c r="A1452" s="1" t="s">
        <v>1451</v>
      </c>
      <c r="B1452" s="3">
        <f>COUNTIF(PEDIDOS!$A:$A,FORNECEDOR!A1452)</f>
        <v>0</v>
      </c>
      <c r="C1452" s="3" t="e">
        <f>INDEX(PEDIDOS!$A:$D,MATCH(FORNECEDOR!A1452,PEDIDOS!$A:$A,0),2)</f>
        <v>#N/A</v>
      </c>
      <c r="D1452" s="3" t="e">
        <f>INDEX(PEDIDOS!$A:$D,MATCH(FORNECEDOR!A1452,PEDIDOS!$A:$A,0),3)</f>
        <v>#N/A</v>
      </c>
      <c r="E1452" s="3" t="e">
        <f>INDEX(PEDIDOS!$A:$D,MATCH(FORNECEDOR!A1452,PEDIDOS!$A:$A,0),4)</f>
        <v>#N/A</v>
      </c>
    </row>
    <row r="1453" spans="1:5" x14ac:dyDescent="0.25">
      <c r="A1453" s="1" t="s">
        <v>1452</v>
      </c>
      <c r="B1453" s="3">
        <f>COUNTIF(PEDIDOS!$A:$A,FORNECEDOR!A1453)</f>
        <v>19</v>
      </c>
      <c r="C1453" s="3" t="str">
        <f>INDEX(PEDIDOS!$A:$D,MATCH(FORNECEDOR!A1453,PEDIDOS!$A:$A,0),2)</f>
        <v>ANPPLA</v>
      </c>
      <c r="D1453" s="3" t="str">
        <f>INDEX(PEDIDOS!$A:$D,MATCH(FORNECEDOR!A1453,PEDIDOS!$A:$A,0),3)</f>
        <v>ANPPLA</v>
      </c>
      <c r="E1453" s="3" t="str">
        <f>INDEX(PEDIDOS!$A:$D,MATCH(FORNECEDOR!A1453,PEDIDOS!$A:$A,0),4)</f>
        <v>ANPPLA</v>
      </c>
    </row>
    <row r="1454" spans="1:5" hidden="1" x14ac:dyDescent="0.25">
      <c r="A1454" s="1" t="s">
        <v>1453</v>
      </c>
      <c r="B1454" s="3">
        <f>COUNTIF(PEDIDOS!$A:$A,FORNECEDOR!A1454)</f>
        <v>0</v>
      </c>
      <c r="C1454" s="3" t="e">
        <f>INDEX(PEDIDOS!$A:$D,MATCH(FORNECEDOR!A1454,PEDIDOS!$A:$A,0),2)</f>
        <v>#N/A</v>
      </c>
      <c r="D1454" s="3" t="e">
        <f>INDEX(PEDIDOS!$A:$D,MATCH(FORNECEDOR!A1454,PEDIDOS!$A:$A,0),3)</f>
        <v>#N/A</v>
      </c>
      <c r="E1454" s="3" t="e">
        <f>INDEX(PEDIDOS!$A:$D,MATCH(FORNECEDOR!A1454,PEDIDOS!$A:$A,0),4)</f>
        <v>#N/A</v>
      </c>
    </row>
    <row r="1455" spans="1:5" hidden="1" x14ac:dyDescent="0.25">
      <c r="A1455" s="1" t="s">
        <v>1454</v>
      </c>
      <c r="B1455" s="3">
        <f>COUNTIF(PEDIDOS!$A:$A,FORNECEDOR!A1455)</f>
        <v>0</v>
      </c>
      <c r="C1455" s="3" t="e">
        <f>INDEX(PEDIDOS!$A:$D,MATCH(FORNECEDOR!A1455,PEDIDOS!$A:$A,0),2)</f>
        <v>#N/A</v>
      </c>
      <c r="D1455" s="3" t="e">
        <f>INDEX(PEDIDOS!$A:$D,MATCH(FORNECEDOR!A1455,PEDIDOS!$A:$A,0),3)</f>
        <v>#N/A</v>
      </c>
      <c r="E1455" s="3" t="e">
        <f>INDEX(PEDIDOS!$A:$D,MATCH(FORNECEDOR!A1455,PEDIDOS!$A:$A,0),4)</f>
        <v>#N/A</v>
      </c>
    </row>
    <row r="1456" spans="1:5" x14ac:dyDescent="0.25">
      <c r="A1456" s="1" t="s">
        <v>1455</v>
      </c>
      <c r="B1456" s="3">
        <f>COUNTIF(PEDIDOS!$A:$A,FORNECEDOR!A1456)</f>
        <v>2</v>
      </c>
      <c r="C1456" s="3" t="str">
        <f>INDEX(PEDIDOS!$A:$D,MATCH(FORNECEDOR!A1456,PEDIDOS!$A:$A,0),2)</f>
        <v>CD REGIS</v>
      </c>
      <c r="D1456" s="3" t="str">
        <f>INDEX(PEDIDOS!$A:$D,MATCH(FORNECEDOR!A1456,PEDIDOS!$A:$A,0),3)</f>
        <v>MATRIZ</v>
      </c>
      <c r="E1456" s="3" t="str">
        <f>INDEX(PEDIDOS!$A:$D,MATCH(FORNECEDOR!A1456,PEDIDOS!$A:$A,0),4)</f>
        <v>CD REGIS</v>
      </c>
    </row>
    <row r="1457" spans="1:5" hidden="1" x14ac:dyDescent="0.25">
      <c r="A1457" s="1" t="s">
        <v>1456</v>
      </c>
      <c r="B1457" s="3">
        <f>COUNTIF(PEDIDOS!$A:$A,FORNECEDOR!A1457)</f>
        <v>0</v>
      </c>
      <c r="C1457" s="3" t="e">
        <f>INDEX(PEDIDOS!$A:$D,MATCH(FORNECEDOR!A1457,PEDIDOS!$A:$A,0),2)</f>
        <v>#N/A</v>
      </c>
      <c r="D1457" s="3" t="e">
        <f>INDEX(PEDIDOS!$A:$D,MATCH(FORNECEDOR!A1457,PEDIDOS!$A:$A,0),3)</f>
        <v>#N/A</v>
      </c>
      <c r="E1457" s="3" t="e">
        <f>INDEX(PEDIDOS!$A:$D,MATCH(FORNECEDOR!A1457,PEDIDOS!$A:$A,0),4)</f>
        <v>#N/A</v>
      </c>
    </row>
    <row r="1458" spans="1:5" hidden="1" x14ac:dyDescent="0.25">
      <c r="A1458" s="1" t="s">
        <v>1457</v>
      </c>
      <c r="B1458" s="3">
        <f>COUNTIF(PEDIDOS!$A:$A,FORNECEDOR!A1458)</f>
        <v>0</v>
      </c>
      <c r="C1458" s="3" t="e">
        <f>INDEX(PEDIDOS!$A:$D,MATCH(FORNECEDOR!A1458,PEDIDOS!$A:$A,0),2)</f>
        <v>#N/A</v>
      </c>
      <c r="D1458" s="3" t="e">
        <f>INDEX(PEDIDOS!$A:$D,MATCH(FORNECEDOR!A1458,PEDIDOS!$A:$A,0),3)</f>
        <v>#N/A</v>
      </c>
      <c r="E1458" s="3" t="e">
        <f>INDEX(PEDIDOS!$A:$D,MATCH(FORNECEDOR!A1458,PEDIDOS!$A:$A,0),4)</f>
        <v>#N/A</v>
      </c>
    </row>
    <row r="1459" spans="1:5" hidden="1" x14ac:dyDescent="0.25">
      <c r="A1459" s="1" t="s">
        <v>1458</v>
      </c>
      <c r="B1459" s="3">
        <f>COUNTIF(PEDIDOS!$A:$A,FORNECEDOR!A1459)</f>
        <v>0</v>
      </c>
      <c r="C1459" s="3" t="e">
        <f>INDEX(PEDIDOS!$A:$D,MATCH(FORNECEDOR!A1459,PEDIDOS!$A:$A,0),2)</f>
        <v>#N/A</v>
      </c>
      <c r="D1459" s="3" t="e">
        <f>INDEX(PEDIDOS!$A:$D,MATCH(FORNECEDOR!A1459,PEDIDOS!$A:$A,0),3)</f>
        <v>#N/A</v>
      </c>
      <c r="E1459" s="3" t="e">
        <f>INDEX(PEDIDOS!$A:$D,MATCH(FORNECEDOR!A1459,PEDIDOS!$A:$A,0),4)</f>
        <v>#N/A</v>
      </c>
    </row>
    <row r="1460" spans="1:5" x14ac:dyDescent="0.25">
      <c r="A1460" s="1" t="s">
        <v>1459</v>
      </c>
      <c r="B1460" s="3">
        <f>COUNTIF(PEDIDOS!$A:$A,FORNECEDOR!A1460)</f>
        <v>1</v>
      </c>
      <c r="C1460" s="3" t="str">
        <f>INDEX(PEDIDOS!$A:$D,MATCH(FORNECEDOR!A1460,PEDIDOS!$A:$A,0),2)</f>
        <v>CD REGIS</v>
      </c>
      <c r="D1460" s="3" t="str">
        <f>INDEX(PEDIDOS!$A:$D,MATCH(FORNECEDOR!A1460,PEDIDOS!$A:$A,0),3)</f>
        <v>CD REGIS</v>
      </c>
      <c r="E1460" s="3" t="str">
        <f>INDEX(PEDIDOS!$A:$D,MATCH(FORNECEDOR!A1460,PEDIDOS!$A:$A,0),4)</f>
        <v>CD REGIS</v>
      </c>
    </row>
    <row r="1461" spans="1:5" x14ac:dyDescent="0.25">
      <c r="A1461" s="1" t="s">
        <v>1460</v>
      </c>
      <c r="B1461" s="3">
        <f>COUNTIF(PEDIDOS!$A:$A,FORNECEDOR!A1461)</f>
        <v>1</v>
      </c>
      <c r="C1461" s="3" t="str">
        <f>INDEX(PEDIDOS!$A:$D,MATCH(FORNECEDOR!A1461,PEDIDOS!$A:$A,0),2)</f>
        <v>CD REGIS</v>
      </c>
      <c r="D1461" s="3" t="str">
        <f>INDEX(PEDIDOS!$A:$D,MATCH(FORNECEDOR!A1461,PEDIDOS!$A:$A,0),3)</f>
        <v>CD REGIS</v>
      </c>
      <c r="E1461" s="3" t="str">
        <f>INDEX(PEDIDOS!$A:$D,MATCH(FORNECEDOR!A1461,PEDIDOS!$A:$A,0),4)</f>
        <v>CD REGIS</v>
      </c>
    </row>
    <row r="1462" spans="1:5" hidden="1" x14ac:dyDescent="0.25">
      <c r="A1462" s="1" t="s">
        <v>1461</v>
      </c>
      <c r="B1462" s="3">
        <f>COUNTIF(PEDIDOS!$A:$A,FORNECEDOR!A1462)</f>
        <v>0</v>
      </c>
      <c r="C1462" s="3" t="e">
        <f>INDEX(PEDIDOS!$A:$D,MATCH(FORNECEDOR!A1462,PEDIDOS!$A:$A,0),2)</f>
        <v>#N/A</v>
      </c>
      <c r="D1462" s="3" t="e">
        <f>INDEX(PEDIDOS!$A:$D,MATCH(FORNECEDOR!A1462,PEDIDOS!$A:$A,0),3)</f>
        <v>#N/A</v>
      </c>
      <c r="E1462" s="3" t="e">
        <f>INDEX(PEDIDOS!$A:$D,MATCH(FORNECEDOR!A1462,PEDIDOS!$A:$A,0),4)</f>
        <v>#N/A</v>
      </c>
    </row>
    <row r="1463" spans="1:5" x14ac:dyDescent="0.25">
      <c r="A1463" s="1" t="s">
        <v>1462</v>
      </c>
      <c r="B1463" s="3">
        <f>COUNTIF(PEDIDOS!$A:$A,FORNECEDOR!A1463)</f>
        <v>1</v>
      </c>
      <c r="C1463" s="3" t="str">
        <f>INDEX(PEDIDOS!$A:$D,MATCH(FORNECEDOR!A1463,PEDIDOS!$A:$A,0),2)</f>
        <v>COTIA</v>
      </c>
      <c r="D1463" s="3" t="str">
        <f>INDEX(PEDIDOS!$A:$D,MATCH(FORNECEDOR!A1463,PEDIDOS!$A:$A,0),3)</f>
        <v>COTIA</v>
      </c>
      <c r="E1463" s="3" t="str">
        <f>INDEX(PEDIDOS!$A:$D,MATCH(FORNECEDOR!A1463,PEDIDOS!$A:$A,0),4)</f>
        <v>COTIA</v>
      </c>
    </row>
    <row r="1464" spans="1:5" hidden="1" x14ac:dyDescent="0.25">
      <c r="A1464" s="1" t="s">
        <v>1463</v>
      </c>
      <c r="B1464" s="3">
        <f>COUNTIF(PEDIDOS!$A:$A,FORNECEDOR!A1464)</f>
        <v>0</v>
      </c>
      <c r="C1464" s="3" t="e">
        <f>INDEX(PEDIDOS!$A:$D,MATCH(FORNECEDOR!A1464,PEDIDOS!$A:$A,0),2)</f>
        <v>#N/A</v>
      </c>
      <c r="D1464" s="3" t="e">
        <f>INDEX(PEDIDOS!$A:$D,MATCH(FORNECEDOR!A1464,PEDIDOS!$A:$A,0),3)</f>
        <v>#N/A</v>
      </c>
      <c r="E1464" s="3" t="e">
        <f>INDEX(PEDIDOS!$A:$D,MATCH(FORNECEDOR!A1464,PEDIDOS!$A:$A,0),4)</f>
        <v>#N/A</v>
      </c>
    </row>
    <row r="1465" spans="1:5" hidden="1" x14ac:dyDescent="0.25">
      <c r="A1465" s="1" t="s">
        <v>1464</v>
      </c>
      <c r="B1465" s="3">
        <f>COUNTIF(PEDIDOS!$A:$A,FORNECEDOR!A1465)</f>
        <v>0</v>
      </c>
      <c r="C1465" s="3" t="e">
        <f>INDEX(PEDIDOS!$A:$D,MATCH(FORNECEDOR!A1465,PEDIDOS!$A:$A,0),2)</f>
        <v>#N/A</v>
      </c>
      <c r="D1465" s="3" t="e">
        <f>INDEX(PEDIDOS!$A:$D,MATCH(FORNECEDOR!A1465,PEDIDOS!$A:$A,0),3)</f>
        <v>#N/A</v>
      </c>
      <c r="E1465" s="3" t="e">
        <f>INDEX(PEDIDOS!$A:$D,MATCH(FORNECEDOR!A1465,PEDIDOS!$A:$A,0),4)</f>
        <v>#N/A</v>
      </c>
    </row>
    <row r="1466" spans="1:5" hidden="1" x14ac:dyDescent="0.25">
      <c r="A1466" s="1" t="s">
        <v>1465</v>
      </c>
      <c r="B1466" s="3">
        <f>COUNTIF(PEDIDOS!$A:$A,FORNECEDOR!A1466)</f>
        <v>0</v>
      </c>
      <c r="C1466" s="3" t="e">
        <f>INDEX(PEDIDOS!$A:$D,MATCH(FORNECEDOR!A1466,PEDIDOS!$A:$A,0),2)</f>
        <v>#N/A</v>
      </c>
      <c r="D1466" s="3" t="e">
        <f>INDEX(PEDIDOS!$A:$D,MATCH(FORNECEDOR!A1466,PEDIDOS!$A:$A,0),3)</f>
        <v>#N/A</v>
      </c>
      <c r="E1466" s="3" t="e">
        <f>INDEX(PEDIDOS!$A:$D,MATCH(FORNECEDOR!A1466,PEDIDOS!$A:$A,0),4)</f>
        <v>#N/A</v>
      </c>
    </row>
    <row r="1467" spans="1:5" x14ac:dyDescent="0.25">
      <c r="A1467" s="1" t="s">
        <v>1466</v>
      </c>
      <c r="B1467" s="3">
        <f>COUNTIF(PEDIDOS!$A:$A,FORNECEDOR!A1467)</f>
        <v>1</v>
      </c>
      <c r="C1467" s="3" t="str">
        <f>INDEX(PEDIDOS!$A:$D,MATCH(FORNECEDOR!A1467,PEDIDOS!$A:$A,0),2)</f>
        <v>CD REGIS</v>
      </c>
      <c r="D1467" s="3" t="str">
        <f>INDEX(PEDIDOS!$A:$D,MATCH(FORNECEDOR!A1467,PEDIDOS!$A:$A,0),3)</f>
        <v>TATUAPE</v>
      </c>
      <c r="E1467" s="3" t="str">
        <f>INDEX(PEDIDOS!$A:$D,MATCH(FORNECEDOR!A1467,PEDIDOS!$A:$A,0),4)</f>
        <v>CD REGIS</v>
      </c>
    </row>
    <row r="1468" spans="1:5" x14ac:dyDescent="0.25">
      <c r="A1468" s="1" t="s">
        <v>1467</v>
      </c>
      <c r="B1468" s="3">
        <f>COUNTIF(PEDIDOS!$A:$A,FORNECEDOR!A1468)</f>
        <v>2</v>
      </c>
      <c r="C1468" s="3" t="str">
        <f>INDEX(PEDIDOS!$A:$D,MATCH(FORNECEDOR!A1468,PEDIDOS!$A:$A,0),2)</f>
        <v>MATRIZ</v>
      </c>
      <c r="D1468" s="3" t="str">
        <f>INDEX(PEDIDOS!$A:$D,MATCH(FORNECEDOR!A1468,PEDIDOS!$A:$A,0),3)</f>
        <v>MATRIZ</v>
      </c>
      <c r="E1468" s="3" t="str">
        <f>INDEX(PEDIDOS!$A:$D,MATCH(FORNECEDOR!A1468,PEDIDOS!$A:$A,0),4)</f>
        <v>MATRIZ</v>
      </c>
    </row>
    <row r="1469" spans="1:5" hidden="1" x14ac:dyDescent="0.25">
      <c r="A1469" s="1" t="s">
        <v>1468</v>
      </c>
      <c r="B1469" s="3">
        <f>COUNTIF(PEDIDOS!$A:$A,FORNECEDOR!A1469)</f>
        <v>0</v>
      </c>
      <c r="C1469" s="3" t="e">
        <f>INDEX(PEDIDOS!$A:$D,MATCH(FORNECEDOR!A1469,PEDIDOS!$A:$A,0),2)</f>
        <v>#N/A</v>
      </c>
      <c r="D1469" s="3" t="e">
        <f>INDEX(PEDIDOS!$A:$D,MATCH(FORNECEDOR!A1469,PEDIDOS!$A:$A,0),3)</f>
        <v>#N/A</v>
      </c>
      <c r="E1469" s="3" t="e">
        <f>INDEX(PEDIDOS!$A:$D,MATCH(FORNECEDOR!A1469,PEDIDOS!$A:$A,0),4)</f>
        <v>#N/A</v>
      </c>
    </row>
    <row r="1470" spans="1:5" hidden="1" x14ac:dyDescent="0.25">
      <c r="A1470" s="1" t="s">
        <v>1469</v>
      </c>
      <c r="B1470" s="3">
        <f>COUNTIF(PEDIDOS!$A:$A,FORNECEDOR!A1470)</f>
        <v>0</v>
      </c>
      <c r="C1470" s="3" t="e">
        <f>INDEX(PEDIDOS!$A:$D,MATCH(FORNECEDOR!A1470,PEDIDOS!$A:$A,0),2)</f>
        <v>#N/A</v>
      </c>
      <c r="D1470" s="3" t="e">
        <f>INDEX(PEDIDOS!$A:$D,MATCH(FORNECEDOR!A1470,PEDIDOS!$A:$A,0),3)</f>
        <v>#N/A</v>
      </c>
      <c r="E1470" s="3" t="e">
        <f>INDEX(PEDIDOS!$A:$D,MATCH(FORNECEDOR!A1470,PEDIDOS!$A:$A,0),4)</f>
        <v>#N/A</v>
      </c>
    </row>
    <row r="1471" spans="1:5" x14ac:dyDescent="0.25">
      <c r="A1471" s="1" t="s">
        <v>1470</v>
      </c>
      <c r="B1471" s="3">
        <f>COUNTIF(PEDIDOS!$A:$A,FORNECEDOR!A1471)</f>
        <v>1</v>
      </c>
      <c r="C1471" s="3" t="str">
        <f>INDEX(PEDIDOS!$A:$D,MATCH(FORNECEDOR!A1471,PEDIDOS!$A:$A,0),2)</f>
        <v>CD REGIS</v>
      </c>
      <c r="D1471" s="3" t="str">
        <f>INDEX(PEDIDOS!$A:$D,MATCH(FORNECEDOR!A1471,PEDIDOS!$A:$A,0),3)</f>
        <v>CD REGIS</v>
      </c>
      <c r="E1471" s="3" t="str">
        <f>INDEX(PEDIDOS!$A:$D,MATCH(FORNECEDOR!A1471,PEDIDOS!$A:$A,0),4)</f>
        <v>CD REGIS</v>
      </c>
    </row>
    <row r="1472" spans="1:5" hidden="1" x14ac:dyDescent="0.25">
      <c r="A1472" s="1" t="s">
        <v>1471</v>
      </c>
      <c r="B1472" s="3">
        <f>COUNTIF(PEDIDOS!$A:$A,FORNECEDOR!A1472)</f>
        <v>0</v>
      </c>
      <c r="C1472" s="3" t="e">
        <f>INDEX(PEDIDOS!$A:$D,MATCH(FORNECEDOR!A1472,PEDIDOS!$A:$A,0),2)</f>
        <v>#N/A</v>
      </c>
      <c r="D1472" s="3" t="e">
        <f>INDEX(PEDIDOS!$A:$D,MATCH(FORNECEDOR!A1472,PEDIDOS!$A:$A,0),3)</f>
        <v>#N/A</v>
      </c>
      <c r="E1472" s="3" t="e">
        <f>INDEX(PEDIDOS!$A:$D,MATCH(FORNECEDOR!A1472,PEDIDOS!$A:$A,0),4)</f>
        <v>#N/A</v>
      </c>
    </row>
    <row r="1473" spans="1:5" hidden="1" x14ac:dyDescent="0.25">
      <c r="A1473" s="1" t="s">
        <v>1472</v>
      </c>
      <c r="B1473" s="3">
        <f>COUNTIF(PEDIDOS!$A:$A,FORNECEDOR!A1473)</f>
        <v>0</v>
      </c>
      <c r="C1473" s="3" t="e">
        <f>INDEX(PEDIDOS!$A:$D,MATCH(FORNECEDOR!A1473,PEDIDOS!$A:$A,0),2)</f>
        <v>#N/A</v>
      </c>
      <c r="D1473" s="3" t="e">
        <f>INDEX(PEDIDOS!$A:$D,MATCH(FORNECEDOR!A1473,PEDIDOS!$A:$A,0),3)</f>
        <v>#N/A</v>
      </c>
      <c r="E1473" s="3" t="e">
        <f>INDEX(PEDIDOS!$A:$D,MATCH(FORNECEDOR!A1473,PEDIDOS!$A:$A,0),4)</f>
        <v>#N/A</v>
      </c>
    </row>
    <row r="1474" spans="1:5" hidden="1" x14ac:dyDescent="0.25">
      <c r="A1474" s="1" t="s">
        <v>1473</v>
      </c>
      <c r="B1474" s="3">
        <f>COUNTIF(PEDIDOS!$A:$A,FORNECEDOR!A1474)</f>
        <v>0</v>
      </c>
      <c r="C1474" s="3" t="e">
        <f>INDEX(PEDIDOS!$A:$D,MATCH(FORNECEDOR!A1474,PEDIDOS!$A:$A,0),2)</f>
        <v>#N/A</v>
      </c>
      <c r="D1474" s="3" t="e">
        <f>INDEX(PEDIDOS!$A:$D,MATCH(FORNECEDOR!A1474,PEDIDOS!$A:$A,0),3)</f>
        <v>#N/A</v>
      </c>
      <c r="E1474" s="3" t="e">
        <f>INDEX(PEDIDOS!$A:$D,MATCH(FORNECEDOR!A1474,PEDIDOS!$A:$A,0),4)</f>
        <v>#N/A</v>
      </c>
    </row>
    <row r="1475" spans="1:5" x14ac:dyDescent="0.25">
      <c r="A1475" s="1" t="s">
        <v>1474</v>
      </c>
      <c r="B1475" s="3">
        <f>COUNTIF(PEDIDOS!$A:$A,FORNECEDOR!A1475)</f>
        <v>1</v>
      </c>
      <c r="C1475" s="3" t="str">
        <f>INDEX(PEDIDOS!$A:$D,MATCH(FORNECEDOR!A1475,PEDIDOS!$A:$A,0),2)</f>
        <v>CD NAVEGANTES</v>
      </c>
      <c r="D1475" s="3" t="str">
        <f>INDEX(PEDIDOS!$A:$D,MATCH(FORNECEDOR!A1475,PEDIDOS!$A:$A,0),3)</f>
        <v>MATRIZ</v>
      </c>
      <c r="E1475" s="3" t="str">
        <f>INDEX(PEDIDOS!$A:$D,MATCH(FORNECEDOR!A1475,PEDIDOS!$A:$A,0),4)</f>
        <v>CD NAVEGANTES</v>
      </c>
    </row>
    <row r="1476" spans="1:5" x14ac:dyDescent="0.25">
      <c r="A1476" s="1" t="s">
        <v>1475</v>
      </c>
      <c r="B1476" s="3">
        <f>COUNTIF(PEDIDOS!$A:$A,FORNECEDOR!A1476)</f>
        <v>1</v>
      </c>
      <c r="C1476" s="3" t="str">
        <f>INDEX(PEDIDOS!$A:$D,MATCH(FORNECEDOR!A1476,PEDIDOS!$A:$A,0),2)</f>
        <v>MATRIZ</v>
      </c>
      <c r="D1476" s="3" t="str">
        <f>INDEX(PEDIDOS!$A:$D,MATCH(FORNECEDOR!A1476,PEDIDOS!$A:$A,0),3)</f>
        <v>MATRIZ</v>
      </c>
      <c r="E1476" s="3" t="str">
        <f>INDEX(PEDIDOS!$A:$D,MATCH(FORNECEDOR!A1476,PEDIDOS!$A:$A,0),4)</f>
        <v>MATRIZ</v>
      </c>
    </row>
    <row r="1477" spans="1:5" hidden="1" x14ac:dyDescent="0.25">
      <c r="A1477" s="1" t="s">
        <v>1476</v>
      </c>
      <c r="B1477" s="3">
        <f>COUNTIF(PEDIDOS!$A:$A,FORNECEDOR!A1477)</f>
        <v>0</v>
      </c>
      <c r="C1477" s="3" t="e">
        <f>INDEX(PEDIDOS!$A:$D,MATCH(FORNECEDOR!A1477,PEDIDOS!$A:$A,0),2)</f>
        <v>#N/A</v>
      </c>
      <c r="D1477" s="3" t="e">
        <f>INDEX(PEDIDOS!$A:$D,MATCH(FORNECEDOR!A1477,PEDIDOS!$A:$A,0),3)</f>
        <v>#N/A</v>
      </c>
      <c r="E1477" s="3" t="e">
        <f>INDEX(PEDIDOS!$A:$D,MATCH(FORNECEDOR!A1477,PEDIDOS!$A:$A,0),4)</f>
        <v>#N/A</v>
      </c>
    </row>
    <row r="1478" spans="1:5" hidden="1" x14ac:dyDescent="0.25">
      <c r="A1478" s="1" t="s">
        <v>1477</v>
      </c>
      <c r="B1478" s="3">
        <f>COUNTIF(PEDIDOS!$A:$A,FORNECEDOR!A1478)</f>
        <v>0</v>
      </c>
      <c r="C1478" s="3" t="e">
        <f>INDEX(PEDIDOS!$A:$D,MATCH(FORNECEDOR!A1478,PEDIDOS!$A:$A,0),2)</f>
        <v>#N/A</v>
      </c>
      <c r="D1478" s="3" t="e">
        <f>INDEX(PEDIDOS!$A:$D,MATCH(FORNECEDOR!A1478,PEDIDOS!$A:$A,0),3)</f>
        <v>#N/A</v>
      </c>
      <c r="E1478" s="3" t="e">
        <f>INDEX(PEDIDOS!$A:$D,MATCH(FORNECEDOR!A1478,PEDIDOS!$A:$A,0),4)</f>
        <v>#N/A</v>
      </c>
    </row>
    <row r="1479" spans="1:5" hidden="1" x14ac:dyDescent="0.25">
      <c r="A1479" s="1" t="s">
        <v>1478</v>
      </c>
      <c r="B1479" s="3">
        <f>COUNTIF(PEDIDOS!$A:$A,FORNECEDOR!A1479)</f>
        <v>0</v>
      </c>
      <c r="C1479" s="3" t="e">
        <f>INDEX(PEDIDOS!$A:$D,MATCH(FORNECEDOR!A1479,PEDIDOS!$A:$A,0),2)</f>
        <v>#N/A</v>
      </c>
      <c r="D1479" s="3" t="e">
        <f>INDEX(PEDIDOS!$A:$D,MATCH(FORNECEDOR!A1479,PEDIDOS!$A:$A,0),3)</f>
        <v>#N/A</v>
      </c>
      <c r="E1479" s="3" t="e">
        <f>INDEX(PEDIDOS!$A:$D,MATCH(FORNECEDOR!A1479,PEDIDOS!$A:$A,0),4)</f>
        <v>#N/A</v>
      </c>
    </row>
    <row r="1480" spans="1:5" hidden="1" x14ac:dyDescent="0.25">
      <c r="A1480" s="1" t="s">
        <v>1479</v>
      </c>
      <c r="B1480" s="3">
        <f>COUNTIF(PEDIDOS!$A:$A,FORNECEDOR!A1480)</f>
        <v>0</v>
      </c>
      <c r="C1480" s="3" t="e">
        <f>INDEX(PEDIDOS!$A:$D,MATCH(FORNECEDOR!A1480,PEDIDOS!$A:$A,0),2)</f>
        <v>#N/A</v>
      </c>
      <c r="D1480" s="3" t="e">
        <f>INDEX(PEDIDOS!$A:$D,MATCH(FORNECEDOR!A1480,PEDIDOS!$A:$A,0),3)</f>
        <v>#N/A</v>
      </c>
      <c r="E1480" s="3" t="e">
        <f>INDEX(PEDIDOS!$A:$D,MATCH(FORNECEDOR!A1480,PEDIDOS!$A:$A,0),4)</f>
        <v>#N/A</v>
      </c>
    </row>
    <row r="1481" spans="1:5" hidden="1" x14ac:dyDescent="0.25">
      <c r="A1481" s="1" t="s">
        <v>1480</v>
      </c>
      <c r="B1481" s="3">
        <f>COUNTIF(PEDIDOS!$A:$A,FORNECEDOR!A1481)</f>
        <v>0</v>
      </c>
      <c r="C1481" s="3" t="e">
        <f>INDEX(PEDIDOS!$A:$D,MATCH(FORNECEDOR!A1481,PEDIDOS!$A:$A,0),2)</f>
        <v>#N/A</v>
      </c>
      <c r="D1481" s="3" t="e">
        <f>INDEX(PEDIDOS!$A:$D,MATCH(FORNECEDOR!A1481,PEDIDOS!$A:$A,0),3)</f>
        <v>#N/A</v>
      </c>
      <c r="E1481" s="3" t="e">
        <f>INDEX(PEDIDOS!$A:$D,MATCH(FORNECEDOR!A1481,PEDIDOS!$A:$A,0),4)</f>
        <v>#N/A</v>
      </c>
    </row>
    <row r="1482" spans="1:5" x14ac:dyDescent="0.25">
      <c r="A1482" s="1" t="s">
        <v>1481</v>
      </c>
      <c r="B1482" s="3">
        <f>COUNTIF(PEDIDOS!$A:$A,FORNECEDOR!A1482)</f>
        <v>1</v>
      </c>
      <c r="C1482" s="3" t="str">
        <f>INDEX(PEDIDOS!$A:$D,MATCH(FORNECEDOR!A1482,PEDIDOS!$A:$A,0),2)</f>
        <v>ANPPLA</v>
      </c>
      <c r="D1482" s="3" t="str">
        <f>INDEX(PEDIDOS!$A:$D,MATCH(FORNECEDOR!A1482,PEDIDOS!$A:$A,0),3)</f>
        <v>ANPPLA</v>
      </c>
      <c r="E1482" s="3" t="str">
        <f>INDEX(PEDIDOS!$A:$D,MATCH(FORNECEDOR!A1482,PEDIDOS!$A:$A,0),4)</f>
        <v>ANPPLA</v>
      </c>
    </row>
    <row r="1483" spans="1:5" hidden="1" x14ac:dyDescent="0.25">
      <c r="A1483" s="1" t="s">
        <v>1482</v>
      </c>
      <c r="B1483" s="3">
        <f>COUNTIF(PEDIDOS!$A:$A,FORNECEDOR!A1483)</f>
        <v>0</v>
      </c>
      <c r="C1483" s="3" t="e">
        <f>INDEX(PEDIDOS!$A:$D,MATCH(FORNECEDOR!A1483,PEDIDOS!$A:$A,0),2)</f>
        <v>#N/A</v>
      </c>
      <c r="D1483" s="3" t="e">
        <f>INDEX(PEDIDOS!$A:$D,MATCH(FORNECEDOR!A1483,PEDIDOS!$A:$A,0),3)</f>
        <v>#N/A</v>
      </c>
      <c r="E1483" s="3" t="e">
        <f>INDEX(PEDIDOS!$A:$D,MATCH(FORNECEDOR!A1483,PEDIDOS!$A:$A,0),4)</f>
        <v>#N/A</v>
      </c>
    </row>
    <row r="1484" spans="1:5" x14ac:dyDescent="0.25">
      <c r="A1484" s="1" t="s">
        <v>1483</v>
      </c>
      <c r="B1484" s="3">
        <f>COUNTIF(PEDIDOS!$A:$A,FORNECEDOR!A1484)</f>
        <v>4</v>
      </c>
      <c r="C1484" s="3" t="str">
        <f>INDEX(PEDIDOS!$A:$D,MATCH(FORNECEDOR!A1484,PEDIDOS!$A:$A,0),2)</f>
        <v>CD ARAQUARI</v>
      </c>
      <c r="D1484" s="3" t="str">
        <f>INDEX(PEDIDOS!$A:$D,MATCH(FORNECEDOR!A1484,PEDIDOS!$A:$A,0),3)</f>
        <v>MATRIZ</v>
      </c>
      <c r="E1484" s="3" t="str">
        <f>INDEX(PEDIDOS!$A:$D,MATCH(FORNECEDOR!A1484,PEDIDOS!$A:$A,0),4)</f>
        <v>CD ARAQUARI</v>
      </c>
    </row>
    <row r="1485" spans="1:5" hidden="1" x14ac:dyDescent="0.25">
      <c r="A1485" s="1" t="s">
        <v>1484</v>
      </c>
      <c r="B1485" s="3">
        <f>COUNTIF(PEDIDOS!$A:$A,FORNECEDOR!A1485)</f>
        <v>0</v>
      </c>
      <c r="C1485" s="3" t="e">
        <f>INDEX(PEDIDOS!$A:$D,MATCH(FORNECEDOR!A1485,PEDIDOS!$A:$A,0),2)</f>
        <v>#N/A</v>
      </c>
      <c r="D1485" s="3" t="e">
        <f>INDEX(PEDIDOS!$A:$D,MATCH(FORNECEDOR!A1485,PEDIDOS!$A:$A,0),3)</f>
        <v>#N/A</v>
      </c>
      <c r="E1485" s="3" t="e">
        <f>INDEX(PEDIDOS!$A:$D,MATCH(FORNECEDOR!A1485,PEDIDOS!$A:$A,0),4)</f>
        <v>#N/A</v>
      </c>
    </row>
    <row r="1486" spans="1:5" hidden="1" x14ac:dyDescent="0.25">
      <c r="A1486" s="1" t="s">
        <v>1485</v>
      </c>
      <c r="B1486" s="3">
        <f>COUNTIF(PEDIDOS!$A:$A,FORNECEDOR!A1486)</f>
        <v>0</v>
      </c>
      <c r="C1486" s="3" t="e">
        <f>INDEX(PEDIDOS!$A:$D,MATCH(FORNECEDOR!A1486,PEDIDOS!$A:$A,0),2)</f>
        <v>#N/A</v>
      </c>
      <c r="D1486" s="3" t="e">
        <f>INDEX(PEDIDOS!$A:$D,MATCH(FORNECEDOR!A1486,PEDIDOS!$A:$A,0),3)</f>
        <v>#N/A</v>
      </c>
      <c r="E1486" s="3" t="e">
        <f>INDEX(PEDIDOS!$A:$D,MATCH(FORNECEDOR!A1486,PEDIDOS!$A:$A,0),4)</f>
        <v>#N/A</v>
      </c>
    </row>
    <row r="1487" spans="1:5" hidden="1" x14ac:dyDescent="0.25">
      <c r="A1487" s="1" t="s">
        <v>1486</v>
      </c>
      <c r="B1487" s="3">
        <f>COUNTIF(PEDIDOS!$A:$A,FORNECEDOR!A1487)</f>
        <v>0</v>
      </c>
      <c r="C1487" s="3" t="e">
        <f>INDEX(PEDIDOS!$A:$D,MATCH(FORNECEDOR!A1487,PEDIDOS!$A:$A,0),2)</f>
        <v>#N/A</v>
      </c>
      <c r="D1487" s="3" t="e">
        <f>INDEX(PEDIDOS!$A:$D,MATCH(FORNECEDOR!A1487,PEDIDOS!$A:$A,0),3)</f>
        <v>#N/A</v>
      </c>
      <c r="E1487" s="3" t="e">
        <f>INDEX(PEDIDOS!$A:$D,MATCH(FORNECEDOR!A1487,PEDIDOS!$A:$A,0),4)</f>
        <v>#N/A</v>
      </c>
    </row>
    <row r="1488" spans="1:5" hidden="1" x14ac:dyDescent="0.25">
      <c r="A1488" s="1" t="s">
        <v>1487</v>
      </c>
      <c r="B1488" s="3">
        <f>COUNTIF(PEDIDOS!$A:$A,FORNECEDOR!A1488)</f>
        <v>0</v>
      </c>
      <c r="C1488" s="3" t="e">
        <f>INDEX(PEDIDOS!$A:$D,MATCH(FORNECEDOR!A1488,PEDIDOS!$A:$A,0),2)</f>
        <v>#N/A</v>
      </c>
      <c r="D1488" s="3" t="e">
        <f>INDEX(PEDIDOS!$A:$D,MATCH(FORNECEDOR!A1488,PEDIDOS!$A:$A,0),3)</f>
        <v>#N/A</v>
      </c>
      <c r="E1488" s="3" t="e">
        <f>INDEX(PEDIDOS!$A:$D,MATCH(FORNECEDOR!A1488,PEDIDOS!$A:$A,0),4)</f>
        <v>#N/A</v>
      </c>
    </row>
    <row r="1489" spans="1:5" x14ac:dyDescent="0.25">
      <c r="A1489" s="1" t="s">
        <v>1488</v>
      </c>
      <c r="B1489" s="3">
        <f>COUNTIF(PEDIDOS!$A:$A,FORNECEDOR!A1489)</f>
        <v>2</v>
      </c>
      <c r="C1489" s="3" t="str">
        <f>INDEX(PEDIDOS!$A:$D,MATCH(FORNECEDOR!A1489,PEDIDOS!$A:$A,0),2)</f>
        <v>PIRASSUNUNGA</v>
      </c>
      <c r="D1489" s="3" t="str">
        <f>INDEX(PEDIDOS!$A:$D,MATCH(FORNECEDOR!A1489,PEDIDOS!$A:$A,0),3)</f>
        <v>PIRASSUNUNGA</v>
      </c>
      <c r="E1489" s="3" t="str">
        <f>INDEX(PEDIDOS!$A:$D,MATCH(FORNECEDOR!A1489,PEDIDOS!$A:$A,0),4)</f>
        <v>PIRASSUNUNGA</v>
      </c>
    </row>
    <row r="1490" spans="1:5" hidden="1" x14ac:dyDescent="0.25">
      <c r="A1490" s="1" t="s">
        <v>1489</v>
      </c>
      <c r="B1490" s="3">
        <f>COUNTIF(PEDIDOS!$A:$A,FORNECEDOR!A1490)</f>
        <v>0</v>
      </c>
      <c r="C1490" s="3" t="e">
        <f>INDEX(PEDIDOS!$A:$D,MATCH(FORNECEDOR!A1490,PEDIDOS!$A:$A,0),2)</f>
        <v>#N/A</v>
      </c>
      <c r="D1490" s="3" t="e">
        <f>INDEX(PEDIDOS!$A:$D,MATCH(FORNECEDOR!A1490,PEDIDOS!$A:$A,0),3)</f>
        <v>#N/A</v>
      </c>
      <c r="E1490" s="3" t="e">
        <f>INDEX(PEDIDOS!$A:$D,MATCH(FORNECEDOR!A1490,PEDIDOS!$A:$A,0),4)</f>
        <v>#N/A</v>
      </c>
    </row>
    <row r="1491" spans="1:5" hidden="1" x14ac:dyDescent="0.25">
      <c r="A1491" s="1" t="s">
        <v>1490</v>
      </c>
      <c r="B1491" s="3">
        <f>COUNTIF(PEDIDOS!$A:$A,FORNECEDOR!A1491)</f>
        <v>0</v>
      </c>
      <c r="C1491" s="3" t="e">
        <f>INDEX(PEDIDOS!$A:$D,MATCH(FORNECEDOR!A1491,PEDIDOS!$A:$A,0),2)</f>
        <v>#N/A</v>
      </c>
      <c r="D1491" s="3" t="e">
        <f>INDEX(PEDIDOS!$A:$D,MATCH(FORNECEDOR!A1491,PEDIDOS!$A:$A,0),3)</f>
        <v>#N/A</v>
      </c>
      <c r="E1491" s="3" t="e">
        <f>INDEX(PEDIDOS!$A:$D,MATCH(FORNECEDOR!A1491,PEDIDOS!$A:$A,0),4)</f>
        <v>#N/A</v>
      </c>
    </row>
    <row r="1492" spans="1:5" hidden="1" x14ac:dyDescent="0.25">
      <c r="A1492" s="1" t="s">
        <v>1491</v>
      </c>
      <c r="B1492" s="3">
        <f>COUNTIF(PEDIDOS!$A:$A,FORNECEDOR!A1492)</f>
        <v>0</v>
      </c>
      <c r="C1492" s="3" t="e">
        <f>INDEX(PEDIDOS!$A:$D,MATCH(FORNECEDOR!A1492,PEDIDOS!$A:$A,0),2)</f>
        <v>#N/A</v>
      </c>
      <c r="D1492" s="3" t="e">
        <f>INDEX(PEDIDOS!$A:$D,MATCH(FORNECEDOR!A1492,PEDIDOS!$A:$A,0),3)</f>
        <v>#N/A</v>
      </c>
      <c r="E1492" s="3" t="e">
        <f>INDEX(PEDIDOS!$A:$D,MATCH(FORNECEDOR!A1492,PEDIDOS!$A:$A,0),4)</f>
        <v>#N/A</v>
      </c>
    </row>
    <row r="1493" spans="1:5" hidden="1" x14ac:dyDescent="0.25">
      <c r="A1493" s="1" t="s">
        <v>1492</v>
      </c>
      <c r="B1493" s="3">
        <f>COUNTIF(PEDIDOS!$A:$A,FORNECEDOR!A1493)</f>
        <v>0</v>
      </c>
      <c r="C1493" s="3" t="e">
        <f>INDEX(PEDIDOS!$A:$D,MATCH(FORNECEDOR!A1493,PEDIDOS!$A:$A,0),2)</f>
        <v>#N/A</v>
      </c>
      <c r="D1493" s="3" t="e">
        <f>INDEX(PEDIDOS!$A:$D,MATCH(FORNECEDOR!A1493,PEDIDOS!$A:$A,0),3)</f>
        <v>#N/A</v>
      </c>
      <c r="E1493" s="3" t="e">
        <f>INDEX(PEDIDOS!$A:$D,MATCH(FORNECEDOR!A1493,PEDIDOS!$A:$A,0),4)</f>
        <v>#N/A</v>
      </c>
    </row>
    <row r="1494" spans="1:5" hidden="1" x14ac:dyDescent="0.25">
      <c r="A1494" s="1" t="s">
        <v>1493</v>
      </c>
      <c r="B1494" s="3">
        <f>COUNTIF(PEDIDOS!$A:$A,FORNECEDOR!A1494)</f>
        <v>0</v>
      </c>
      <c r="C1494" s="3" t="e">
        <f>INDEX(PEDIDOS!$A:$D,MATCH(FORNECEDOR!A1494,PEDIDOS!$A:$A,0),2)</f>
        <v>#N/A</v>
      </c>
      <c r="D1494" s="3" t="e">
        <f>INDEX(PEDIDOS!$A:$D,MATCH(FORNECEDOR!A1494,PEDIDOS!$A:$A,0),3)</f>
        <v>#N/A</v>
      </c>
      <c r="E1494" s="3" t="e">
        <f>INDEX(PEDIDOS!$A:$D,MATCH(FORNECEDOR!A1494,PEDIDOS!$A:$A,0),4)</f>
        <v>#N/A</v>
      </c>
    </row>
    <row r="1495" spans="1:5" x14ac:dyDescent="0.25">
      <c r="A1495" s="1" t="s">
        <v>1494</v>
      </c>
      <c r="B1495" s="3">
        <f>COUNTIF(PEDIDOS!$A:$A,FORNECEDOR!A1495)</f>
        <v>1</v>
      </c>
      <c r="C1495" s="3" t="str">
        <f>INDEX(PEDIDOS!$A:$D,MATCH(FORNECEDOR!A1495,PEDIDOS!$A:$A,0),2)</f>
        <v>CD REGIS</v>
      </c>
      <c r="D1495" s="3" t="str">
        <f>INDEX(PEDIDOS!$A:$D,MATCH(FORNECEDOR!A1495,PEDIDOS!$A:$A,0),3)</f>
        <v>CD REGIS</v>
      </c>
      <c r="E1495" s="3" t="str">
        <f>INDEX(PEDIDOS!$A:$D,MATCH(FORNECEDOR!A1495,PEDIDOS!$A:$A,0),4)</f>
        <v>CD REGIS</v>
      </c>
    </row>
    <row r="1496" spans="1:5" hidden="1" x14ac:dyDescent="0.25">
      <c r="A1496" s="1" t="s">
        <v>1495</v>
      </c>
      <c r="B1496" s="3">
        <f>COUNTIF(PEDIDOS!$A:$A,FORNECEDOR!A1496)</f>
        <v>0</v>
      </c>
      <c r="C1496" s="3" t="e">
        <f>INDEX(PEDIDOS!$A:$D,MATCH(FORNECEDOR!A1496,PEDIDOS!$A:$A,0),2)</f>
        <v>#N/A</v>
      </c>
      <c r="D1496" s="3" t="e">
        <f>INDEX(PEDIDOS!$A:$D,MATCH(FORNECEDOR!A1496,PEDIDOS!$A:$A,0),3)</f>
        <v>#N/A</v>
      </c>
      <c r="E1496" s="3" t="e">
        <f>INDEX(PEDIDOS!$A:$D,MATCH(FORNECEDOR!A1496,PEDIDOS!$A:$A,0),4)</f>
        <v>#N/A</v>
      </c>
    </row>
    <row r="1497" spans="1:5" hidden="1" x14ac:dyDescent="0.25">
      <c r="A1497" s="1" t="s">
        <v>1496</v>
      </c>
      <c r="B1497" s="3">
        <f>COUNTIF(PEDIDOS!$A:$A,FORNECEDOR!A1497)</f>
        <v>0</v>
      </c>
      <c r="C1497" s="3" t="e">
        <f>INDEX(PEDIDOS!$A:$D,MATCH(FORNECEDOR!A1497,PEDIDOS!$A:$A,0),2)</f>
        <v>#N/A</v>
      </c>
      <c r="D1497" s="3" t="e">
        <f>INDEX(PEDIDOS!$A:$D,MATCH(FORNECEDOR!A1497,PEDIDOS!$A:$A,0),3)</f>
        <v>#N/A</v>
      </c>
      <c r="E1497" s="3" t="e">
        <f>INDEX(PEDIDOS!$A:$D,MATCH(FORNECEDOR!A1497,PEDIDOS!$A:$A,0),4)</f>
        <v>#N/A</v>
      </c>
    </row>
    <row r="1498" spans="1:5" x14ac:dyDescent="0.25">
      <c r="A1498" s="1" t="s">
        <v>1497</v>
      </c>
      <c r="B1498" s="3">
        <f>COUNTIF(PEDIDOS!$A:$A,FORNECEDOR!A1498)</f>
        <v>2</v>
      </c>
      <c r="C1498" s="3" t="str">
        <f>INDEX(PEDIDOS!$A:$D,MATCH(FORNECEDOR!A1498,PEDIDOS!$A:$A,0),2)</f>
        <v>CD NAVEGANTES</v>
      </c>
      <c r="D1498" s="3" t="str">
        <f>INDEX(PEDIDOS!$A:$D,MATCH(FORNECEDOR!A1498,PEDIDOS!$A:$A,0),3)</f>
        <v>MATRIZ</v>
      </c>
      <c r="E1498" s="3" t="str">
        <f>INDEX(PEDIDOS!$A:$D,MATCH(FORNECEDOR!A1498,PEDIDOS!$A:$A,0),4)</f>
        <v>CD NAVEGANTES</v>
      </c>
    </row>
    <row r="1499" spans="1:5" hidden="1" x14ac:dyDescent="0.25">
      <c r="A1499" s="1" t="s">
        <v>1498</v>
      </c>
      <c r="B1499" s="3">
        <f>COUNTIF(PEDIDOS!$A:$A,FORNECEDOR!A1499)</f>
        <v>0</v>
      </c>
      <c r="C1499" s="3" t="e">
        <f>INDEX(PEDIDOS!$A:$D,MATCH(FORNECEDOR!A1499,PEDIDOS!$A:$A,0),2)</f>
        <v>#N/A</v>
      </c>
      <c r="D1499" s="3" t="e">
        <f>INDEX(PEDIDOS!$A:$D,MATCH(FORNECEDOR!A1499,PEDIDOS!$A:$A,0),3)</f>
        <v>#N/A</v>
      </c>
      <c r="E1499" s="3" t="e">
        <f>INDEX(PEDIDOS!$A:$D,MATCH(FORNECEDOR!A1499,PEDIDOS!$A:$A,0),4)</f>
        <v>#N/A</v>
      </c>
    </row>
    <row r="1500" spans="1:5" hidden="1" x14ac:dyDescent="0.25">
      <c r="A1500" s="1" t="s">
        <v>1499</v>
      </c>
      <c r="B1500" s="3">
        <f>COUNTIF(PEDIDOS!$A:$A,FORNECEDOR!A1500)</f>
        <v>0</v>
      </c>
      <c r="C1500" s="3" t="e">
        <f>INDEX(PEDIDOS!$A:$D,MATCH(FORNECEDOR!A1500,PEDIDOS!$A:$A,0),2)</f>
        <v>#N/A</v>
      </c>
      <c r="D1500" s="3" t="e">
        <f>INDEX(PEDIDOS!$A:$D,MATCH(FORNECEDOR!A1500,PEDIDOS!$A:$A,0),3)</f>
        <v>#N/A</v>
      </c>
      <c r="E1500" s="3" t="e">
        <f>INDEX(PEDIDOS!$A:$D,MATCH(FORNECEDOR!A1500,PEDIDOS!$A:$A,0),4)</f>
        <v>#N/A</v>
      </c>
    </row>
    <row r="1501" spans="1:5" hidden="1" x14ac:dyDescent="0.25">
      <c r="A1501" s="1" t="s">
        <v>1500</v>
      </c>
      <c r="B1501" s="3">
        <f>COUNTIF(PEDIDOS!$A:$A,FORNECEDOR!A1501)</f>
        <v>0</v>
      </c>
      <c r="C1501" s="3" t="e">
        <f>INDEX(PEDIDOS!$A:$D,MATCH(FORNECEDOR!A1501,PEDIDOS!$A:$A,0),2)</f>
        <v>#N/A</v>
      </c>
      <c r="D1501" s="3" t="e">
        <f>INDEX(PEDIDOS!$A:$D,MATCH(FORNECEDOR!A1501,PEDIDOS!$A:$A,0),3)</f>
        <v>#N/A</v>
      </c>
      <c r="E1501" s="3" t="e">
        <f>INDEX(PEDIDOS!$A:$D,MATCH(FORNECEDOR!A1501,PEDIDOS!$A:$A,0),4)</f>
        <v>#N/A</v>
      </c>
    </row>
    <row r="1502" spans="1:5" hidden="1" x14ac:dyDescent="0.25">
      <c r="A1502" s="1" t="s">
        <v>1501</v>
      </c>
      <c r="B1502" s="3">
        <f>COUNTIF(PEDIDOS!$A:$A,FORNECEDOR!A1502)</f>
        <v>0</v>
      </c>
      <c r="C1502" s="3" t="e">
        <f>INDEX(PEDIDOS!$A:$D,MATCH(FORNECEDOR!A1502,PEDIDOS!$A:$A,0),2)</f>
        <v>#N/A</v>
      </c>
      <c r="D1502" s="3" t="e">
        <f>INDEX(PEDIDOS!$A:$D,MATCH(FORNECEDOR!A1502,PEDIDOS!$A:$A,0),3)</f>
        <v>#N/A</v>
      </c>
      <c r="E1502" s="3" t="e">
        <f>INDEX(PEDIDOS!$A:$D,MATCH(FORNECEDOR!A1502,PEDIDOS!$A:$A,0),4)</f>
        <v>#N/A</v>
      </c>
    </row>
    <row r="1503" spans="1:5" hidden="1" x14ac:dyDescent="0.25">
      <c r="A1503" s="1" t="s">
        <v>1502</v>
      </c>
      <c r="B1503" s="3">
        <f>COUNTIF(PEDIDOS!$A:$A,FORNECEDOR!A1503)</f>
        <v>0</v>
      </c>
      <c r="C1503" s="3" t="e">
        <f>INDEX(PEDIDOS!$A:$D,MATCH(FORNECEDOR!A1503,PEDIDOS!$A:$A,0),2)</f>
        <v>#N/A</v>
      </c>
      <c r="D1503" s="3" t="e">
        <f>INDEX(PEDIDOS!$A:$D,MATCH(FORNECEDOR!A1503,PEDIDOS!$A:$A,0),3)</f>
        <v>#N/A</v>
      </c>
      <c r="E1503" s="3" t="e">
        <f>INDEX(PEDIDOS!$A:$D,MATCH(FORNECEDOR!A1503,PEDIDOS!$A:$A,0),4)</f>
        <v>#N/A</v>
      </c>
    </row>
    <row r="1504" spans="1:5" hidden="1" x14ac:dyDescent="0.25">
      <c r="A1504" s="1" t="s">
        <v>1503</v>
      </c>
      <c r="B1504" s="3">
        <f>COUNTIF(PEDIDOS!$A:$A,FORNECEDOR!A1504)</f>
        <v>0</v>
      </c>
      <c r="C1504" s="3" t="e">
        <f>INDEX(PEDIDOS!$A:$D,MATCH(FORNECEDOR!A1504,PEDIDOS!$A:$A,0),2)</f>
        <v>#N/A</v>
      </c>
      <c r="D1504" s="3" t="e">
        <f>INDEX(PEDIDOS!$A:$D,MATCH(FORNECEDOR!A1504,PEDIDOS!$A:$A,0),3)</f>
        <v>#N/A</v>
      </c>
      <c r="E1504" s="3" t="e">
        <f>INDEX(PEDIDOS!$A:$D,MATCH(FORNECEDOR!A1504,PEDIDOS!$A:$A,0),4)</f>
        <v>#N/A</v>
      </c>
    </row>
    <row r="1505" spans="1:5" hidden="1" x14ac:dyDescent="0.25">
      <c r="A1505" s="1" t="s">
        <v>1504</v>
      </c>
      <c r="B1505" s="3">
        <f>COUNTIF(PEDIDOS!$A:$A,FORNECEDOR!A1505)</f>
        <v>0</v>
      </c>
      <c r="C1505" s="3" t="e">
        <f>INDEX(PEDIDOS!$A:$D,MATCH(FORNECEDOR!A1505,PEDIDOS!$A:$A,0),2)</f>
        <v>#N/A</v>
      </c>
      <c r="D1505" s="3" t="e">
        <f>INDEX(PEDIDOS!$A:$D,MATCH(FORNECEDOR!A1505,PEDIDOS!$A:$A,0),3)</f>
        <v>#N/A</v>
      </c>
      <c r="E1505" s="3" t="e">
        <f>INDEX(PEDIDOS!$A:$D,MATCH(FORNECEDOR!A1505,PEDIDOS!$A:$A,0),4)</f>
        <v>#N/A</v>
      </c>
    </row>
    <row r="1506" spans="1:5" hidden="1" x14ac:dyDescent="0.25">
      <c r="A1506" s="1" t="s">
        <v>1505</v>
      </c>
      <c r="B1506" s="3">
        <f>COUNTIF(PEDIDOS!$A:$A,FORNECEDOR!A1506)</f>
        <v>0</v>
      </c>
      <c r="C1506" s="3" t="e">
        <f>INDEX(PEDIDOS!$A:$D,MATCH(FORNECEDOR!A1506,PEDIDOS!$A:$A,0),2)</f>
        <v>#N/A</v>
      </c>
      <c r="D1506" s="3" t="e">
        <f>INDEX(PEDIDOS!$A:$D,MATCH(FORNECEDOR!A1506,PEDIDOS!$A:$A,0),3)</f>
        <v>#N/A</v>
      </c>
      <c r="E1506" s="3" t="e">
        <f>INDEX(PEDIDOS!$A:$D,MATCH(FORNECEDOR!A1506,PEDIDOS!$A:$A,0),4)</f>
        <v>#N/A</v>
      </c>
    </row>
    <row r="1507" spans="1:5" hidden="1" x14ac:dyDescent="0.25">
      <c r="A1507" s="1" t="s">
        <v>1506</v>
      </c>
      <c r="B1507" s="3">
        <f>COUNTIF(PEDIDOS!$A:$A,FORNECEDOR!A1507)</f>
        <v>0</v>
      </c>
      <c r="C1507" s="3" t="e">
        <f>INDEX(PEDIDOS!$A:$D,MATCH(FORNECEDOR!A1507,PEDIDOS!$A:$A,0),2)</f>
        <v>#N/A</v>
      </c>
      <c r="D1507" s="3" t="e">
        <f>INDEX(PEDIDOS!$A:$D,MATCH(FORNECEDOR!A1507,PEDIDOS!$A:$A,0),3)</f>
        <v>#N/A</v>
      </c>
      <c r="E1507" s="3" t="e">
        <f>INDEX(PEDIDOS!$A:$D,MATCH(FORNECEDOR!A1507,PEDIDOS!$A:$A,0),4)</f>
        <v>#N/A</v>
      </c>
    </row>
    <row r="1508" spans="1:5" hidden="1" x14ac:dyDescent="0.25">
      <c r="A1508" s="1" t="s">
        <v>1507</v>
      </c>
      <c r="B1508" s="3">
        <f>COUNTIF(PEDIDOS!$A:$A,FORNECEDOR!A1508)</f>
        <v>0</v>
      </c>
      <c r="C1508" s="3" t="e">
        <f>INDEX(PEDIDOS!$A:$D,MATCH(FORNECEDOR!A1508,PEDIDOS!$A:$A,0),2)</f>
        <v>#N/A</v>
      </c>
      <c r="D1508" s="3" t="e">
        <f>INDEX(PEDIDOS!$A:$D,MATCH(FORNECEDOR!A1508,PEDIDOS!$A:$A,0),3)</f>
        <v>#N/A</v>
      </c>
      <c r="E1508" s="3" t="e">
        <f>INDEX(PEDIDOS!$A:$D,MATCH(FORNECEDOR!A1508,PEDIDOS!$A:$A,0),4)</f>
        <v>#N/A</v>
      </c>
    </row>
    <row r="1509" spans="1:5" hidden="1" x14ac:dyDescent="0.25">
      <c r="A1509" s="1" t="s">
        <v>1508</v>
      </c>
      <c r="B1509" s="3">
        <f>COUNTIF(PEDIDOS!$A:$A,FORNECEDOR!A1509)</f>
        <v>0</v>
      </c>
      <c r="C1509" s="3" t="e">
        <f>INDEX(PEDIDOS!$A:$D,MATCH(FORNECEDOR!A1509,PEDIDOS!$A:$A,0),2)</f>
        <v>#N/A</v>
      </c>
      <c r="D1509" s="3" t="e">
        <f>INDEX(PEDIDOS!$A:$D,MATCH(FORNECEDOR!A1509,PEDIDOS!$A:$A,0),3)</f>
        <v>#N/A</v>
      </c>
      <c r="E1509" s="3" t="e">
        <f>INDEX(PEDIDOS!$A:$D,MATCH(FORNECEDOR!A1509,PEDIDOS!$A:$A,0),4)</f>
        <v>#N/A</v>
      </c>
    </row>
    <row r="1510" spans="1:5" hidden="1" x14ac:dyDescent="0.25">
      <c r="A1510" s="1" t="s">
        <v>1509</v>
      </c>
      <c r="B1510" s="3">
        <f>COUNTIF(PEDIDOS!$A:$A,FORNECEDOR!A1510)</f>
        <v>0</v>
      </c>
      <c r="C1510" s="3" t="e">
        <f>INDEX(PEDIDOS!$A:$D,MATCH(FORNECEDOR!A1510,PEDIDOS!$A:$A,0),2)</f>
        <v>#N/A</v>
      </c>
      <c r="D1510" s="3" t="e">
        <f>INDEX(PEDIDOS!$A:$D,MATCH(FORNECEDOR!A1510,PEDIDOS!$A:$A,0),3)</f>
        <v>#N/A</v>
      </c>
      <c r="E1510" s="3" t="e">
        <f>INDEX(PEDIDOS!$A:$D,MATCH(FORNECEDOR!A1510,PEDIDOS!$A:$A,0),4)</f>
        <v>#N/A</v>
      </c>
    </row>
    <row r="1511" spans="1:5" hidden="1" x14ac:dyDescent="0.25">
      <c r="A1511" s="1" t="s">
        <v>1510</v>
      </c>
      <c r="B1511" s="3">
        <f>COUNTIF(PEDIDOS!$A:$A,FORNECEDOR!A1511)</f>
        <v>0</v>
      </c>
      <c r="C1511" s="3" t="e">
        <f>INDEX(PEDIDOS!$A:$D,MATCH(FORNECEDOR!A1511,PEDIDOS!$A:$A,0),2)</f>
        <v>#N/A</v>
      </c>
      <c r="D1511" s="3" t="e">
        <f>INDEX(PEDIDOS!$A:$D,MATCH(FORNECEDOR!A1511,PEDIDOS!$A:$A,0),3)</f>
        <v>#N/A</v>
      </c>
      <c r="E1511" s="3" t="e">
        <f>INDEX(PEDIDOS!$A:$D,MATCH(FORNECEDOR!A1511,PEDIDOS!$A:$A,0),4)</f>
        <v>#N/A</v>
      </c>
    </row>
    <row r="1512" spans="1:5" hidden="1" x14ac:dyDescent="0.25">
      <c r="A1512" s="1" t="s">
        <v>1511</v>
      </c>
      <c r="B1512" s="3">
        <f>COUNTIF(PEDIDOS!$A:$A,FORNECEDOR!A1512)</f>
        <v>0</v>
      </c>
      <c r="C1512" s="3" t="e">
        <f>INDEX(PEDIDOS!$A:$D,MATCH(FORNECEDOR!A1512,PEDIDOS!$A:$A,0),2)</f>
        <v>#N/A</v>
      </c>
      <c r="D1512" s="3" t="e">
        <f>INDEX(PEDIDOS!$A:$D,MATCH(FORNECEDOR!A1512,PEDIDOS!$A:$A,0),3)</f>
        <v>#N/A</v>
      </c>
      <c r="E1512" s="3" t="e">
        <f>INDEX(PEDIDOS!$A:$D,MATCH(FORNECEDOR!A1512,PEDIDOS!$A:$A,0),4)</f>
        <v>#N/A</v>
      </c>
    </row>
    <row r="1513" spans="1:5" hidden="1" x14ac:dyDescent="0.25">
      <c r="A1513" s="1" t="s">
        <v>1512</v>
      </c>
      <c r="B1513" s="3">
        <f>COUNTIF(PEDIDOS!$A:$A,FORNECEDOR!A1513)</f>
        <v>0</v>
      </c>
      <c r="C1513" s="3" t="e">
        <f>INDEX(PEDIDOS!$A:$D,MATCH(FORNECEDOR!A1513,PEDIDOS!$A:$A,0),2)</f>
        <v>#N/A</v>
      </c>
      <c r="D1513" s="3" t="e">
        <f>INDEX(PEDIDOS!$A:$D,MATCH(FORNECEDOR!A1513,PEDIDOS!$A:$A,0),3)</f>
        <v>#N/A</v>
      </c>
      <c r="E1513" s="3" t="e">
        <f>INDEX(PEDIDOS!$A:$D,MATCH(FORNECEDOR!A1513,PEDIDOS!$A:$A,0),4)</f>
        <v>#N/A</v>
      </c>
    </row>
    <row r="1514" spans="1:5" hidden="1" x14ac:dyDescent="0.25">
      <c r="A1514" s="1" t="s">
        <v>1513</v>
      </c>
      <c r="B1514" s="3">
        <f>COUNTIF(PEDIDOS!$A:$A,FORNECEDOR!A1514)</f>
        <v>0</v>
      </c>
      <c r="C1514" s="3" t="e">
        <f>INDEX(PEDIDOS!$A:$D,MATCH(FORNECEDOR!A1514,PEDIDOS!$A:$A,0),2)</f>
        <v>#N/A</v>
      </c>
      <c r="D1514" s="3" t="e">
        <f>INDEX(PEDIDOS!$A:$D,MATCH(FORNECEDOR!A1514,PEDIDOS!$A:$A,0),3)</f>
        <v>#N/A</v>
      </c>
      <c r="E1514" s="3" t="e">
        <f>INDEX(PEDIDOS!$A:$D,MATCH(FORNECEDOR!A1514,PEDIDOS!$A:$A,0),4)</f>
        <v>#N/A</v>
      </c>
    </row>
    <row r="1515" spans="1:5" x14ac:dyDescent="0.25">
      <c r="A1515" s="1" t="s">
        <v>1514</v>
      </c>
      <c r="B1515" s="3">
        <f>COUNTIF(PEDIDOS!$A:$A,FORNECEDOR!A1515)</f>
        <v>3</v>
      </c>
      <c r="C1515" s="3" t="str">
        <f>INDEX(PEDIDOS!$A:$D,MATCH(FORNECEDOR!A1515,PEDIDOS!$A:$A,0),2)</f>
        <v>CD ARAQUARI</v>
      </c>
      <c r="D1515" s="3" t="str">
        <f>INDEX(PEDIDOS!$A:$D,MATCH(FORNECEDOR!A1515,PEDIDOS!$A:$A,0),3)</f>
        <v>MATRIZ</v>
      </c>
      <c r="E1515" s="3" t="str">
        <f>INDEX(PEDIDOS!$A:$D,MATCH(FORNECEDOR!A1515,PEDIDOS!$A:$A,0),4)</f>
        <v>CD ARAQUARI</v>
      </c>
    </row>
    <row r="1516" spans="1:5" x14ac:dyDescent="0.25">
      <c r="A1516" s="1" t="s">
        <v>1515</v>
      </c>
      <c r="B1516" s="3">
        <f>COUNTIF(PEDIDOS!$A:$A,FORNECEDOR!A1516)</f>
        <v>1</v>
      </c>
      <c r="C1516" s="3" t="str">
        <f>INDEX(PEDIDOS!$A:$D,MATCH(FORNECEDOR!A1516,PEDIDOS!$A:$A,0),2)</f>
        <v>CD ARAQUARI</v>
      </c>
      <c r="D1516" s="3" t="str">
        <f>INDEX(PEDIDOS!$A:$D,MATCH(FORNECEDOR!A1516,PEDIDOS!$A:$A,0),3)</f>
        <v>MATRIZ</v>
      </c>
      <c r="E1516" s="3" t="str">
        <f>INDEX(PEDIDOS!$A:$D,MATCH(FORNECEDOR!A1516,PEDIDOS!$A:$A,0),4)</f>
        <v>CD ARAQUARI</v>
      </c>
    </row>
    <row r="1517" spans="1:5" hidden="1" x14ac:dyDescent="0.25">
      <c r="A1517" s="1" t="s">
        <v>1516</v>
      </c>
      <c r="B1517" s="3">
        <f>COUNTIF(PEDIDOS!$A:$A,FORNECEDOR!A1517)</f>
        <v>0</v>
      </c>
      <c r="C1517" s="3" t="e">
        <f>INDEX(PEDIDOS!$A:$D,MATCH(FORNECEDOR!A1517,PEDIDOS!$A:$A,0),2)</f>
        <v>#N/A</v>
      </c>
      <c r="D1517" s="3" t="e">
        <f>INDEX(PEDIDOS!$A:$D,MATCH(FORNECEDOR!A1517,PEDIDOS!$A:$A,0),3)</f>
        <v>#N/A</v>
      </c>
      <c r="E1517" s="3" t="e">
        <f>INDEX(PEDIDOS!$A:$D,MATCH(FORNECEDOR!A1517,PEDIDOS!$A:$A,0),4)</f>
        <v>#N/A</v>
      </c>
    </row>
    <row r="1518" spans="1:5" x14ac:dyDescent="0.25">
      <c r="A1518" s="1" t="s">
        <v>1517</v>
      </c>
      <c r="B1518" s="3">
        <f>COUNTIF(PEDIDOS!$A:$A,FORNECEDOR!A1518)</f>
        <v>2</v>
      </c>
      <c r="C1518" s="3" t="str">
        <f>INDEX(PEDIDOS!$A:$D,MATCH(FORNECEDOR!A1518,PEDIDOS!$A:$A,0),2)</f>
        <v>SP - PARI</v>
      </c>
      <c r="D1518" s="3" t="str">
        <f>INDEX(PEDIDOS!$A:$D,MATCH(FORNECEDOR!A1518,PEDIDOS!$A:$A,0),3)</f>
        <v>SP - PARI</v>
      </c>
      <c r="E1518" s="3" t="str">
        <f>INDEX(PEDIDOS!$A:$D,MATCH(FORNECEDOR!A1518,PEDIDOS!$A:$A,0),4)</f>
        <v>SP - PARI</v>
      </c>
    </row>
    <row r="1519" spans="1:5" x14ac:dyDescent="0.25">
      <c r="A1519" s="1" t="s">
        <v>1518</v>
      </c>
      <c r="B1519" s="3">
        <f>COUNTIF(PEDIDOS!$A:$A,FORNECEDOR!A1519)</f>
        <v>2</v>
      </c>
      <c r="C1519" s="3" t="str">
        <f>INDEX(PEDIDOS!$A:$D,MATCH(FORNECEDOR!A1519,PEDIDOS!$A:$A,0),2)</f>
        <v>MATRIZ</v>
      </c>
      <c r="D1519" s="3" t="str">
        <f>INDEX(PEDIDOS!$A:$D,MATCH(FORNECEDOR!A1519,PEDIDOS!$A:$A,0),3)</f>
        <v>MATRIZ</v>
      </c>
      <c r="E1519" s="3" t="str">
        <f>INDEX(PEDIDOS!$A:$D,MATCH(FORNECEDOR!A1519,PEDIDOS!$A:$A,0),4)</f>
        <v>MATRIZ</v>
      </c>
    </row>
    <row r="1520" spans="1:5" hidden="1" x14ac:dyDescent="0.25">
      <c r="A1520" s="1" t="s">
        <v>1519</v>
      </c>
      <c r="B1520" s="3">
        <f>COUNTIF(PEDIDOS!$A:$A,FORNECEDOR!A1520)</f>
        <v>0</v>
      </c>
      <c r="C1520" s="3" t="e">
        <f>INDEX(PEDIDOS!$A:$D,MATCH(FORNECEDOR!A1520,PEDIDOS!$A:$A,0),2)</f>
        <v>#N/A</v>
      </c>
      <c r="D1520" s="3" t="e">
        <f>INDEX(PEDIDOS!$A:$D,MATCH(FORNECEDOR!A1520,PEDIDOS!$A:$A,0),3)</f>
        <v>#N/A</v>
      </c>
      <c r="E1520" s="3" t="e">
        <f>INDEX(PEDIDOS!$A:$D,MATCH(FORNECEDOR!A1520,PEDIDOS!$A:$A,0),4)</f>
        <v>#N/A</v>
      </c>
    </row>
    <row r="1521" spans="1:5" hidden="1" x14ac:dyDescent="0.25">
      <c r="A1521" s="1" t="s">
        <v>1520</v>
      </c>
      <c r="B1521" s="3">
        <f>COUNTIF(PEDIDOS!$A:$A,FORNECEDOR!A1521)</f>
        <v>0</v>
      </c>
      <c r="C1521" s="3" t="e">
        <f>INDEX(PEDIDOS!$A:$D,MATCH(FORNECEDOR!A1521,PEDIDOS!$A:$A,0),2)</f>
        <v>#N/A</v>
      </c>
      <c r="D1521" s="3" t="e">
        <f>INDEX(PEDIDOS!$A:$D,MATCH(FORNECEDOR!A1521,PEDIDOS!$A:$A,0),3)</f>
        <v>#N/A</v>
      </c>
      <c r="E1521" s="3" t="e">
        <f>INDEX(PEDIDOS!$A:$D,MATCH(FORNECEDOR!A1521,PEDIDOS!$A:$A,0),4)</f>
        <v>#N/A</v>
      </c>
    </row>
    <row r="1522" spans="1:5" hidden="1" x14ac:dyDescent="0.25">
      <c r="A1522" s="1" t="s">
        <v>1521</v>
      </c>
      <c r="B1522" s="3">
        <f>COUNTIF(PEDIDOS!$A:$A,FORNECEDOR!A1522)</f>
        <v>0</v>
      </c>
      <c r="C1522" s="3" t="e">
        <f>INDEX(PEDIDOS!$A:$D,MATCH(FORNECEDOR!A1522,PEDIDOS!$A:$A,0),2)</f>
        <v>#N/A</v>
      </c>
      <c r="D1522" s="3" t="e">
        <f>INDEX(PEDIDOS!$A:$D,MATCH(FORNECEDOR!A1522,PEDIDOS!$A:$A,0),3)</f>
        <v>#N/A</v>
      </c>
      <c r="E1522" s="3" t="e">
        <f>INDEX(PEDIDOS!$A:$D,MATCH(FORNECEDOR!A1522,PEDIDOS!$A:$A,0),4)</f>
        <v>#N/A</v>
      </c>
    </row>
    <row r="1523" spans="1:5" hidden="1" x14ac:dyDescent="0.25">
      <c r="A1523" s="1" t="s">
        <v>1522</v>
      </c>
      <c r="B1523" s="3">
        <f>COUNTIF(PEDIDOS!$A:$A,FORNECEDOR!A1523)</f>
        <v>0</v>
      </c>
      <c r="C1523" s="3" t="e">
        <f>INDEX(PEDIDOS!$A:$D,MATCH(FORNECEDOR!A1523,PEDIDOS!$A:$A,0),2)</f>
        <v>#N/A</v>
      </c>
      <c r="D1523" s="3" t="e">
        <f>INDEX(PEDIDOS!$A:$D,MATCH(FORNECEDOR!A1523,PEDIDOS!$A:$A,0),3)</f>
        <v>#N/A</v>
      </c>
      <c r="E1523" s="3" t="e">
        <f>INDEX(PEDIDOS!$A:$D,MATCH(FORNECEDOR!A1523,PEDIDOS!$A:$A,0),4)</f>
        <v>#N/A</v>
      </c>
    </row>
    <row r="1524" spans="1:5" hidden="1" x14ac:dyDescent="0.25">
      <c r="A1524" s="1" t="s">
        <v>1523</v>
      </c>
      <c r="B1524" s="3">
        <f>COUNTIF(PEDIDOS!$A:$A,FORNECEDOR!A1524)</f>
        <v>0</v>
      </c>
      <c r="C1524" s="3" t="e">
        <f>INDEX(PEDIDOS!$A:$D,MATCH(FORNECEDOR!A1524,PEDIDOS!$A:$A,0),2)</f>
        <v>#N/A</v>
      </c>
      <c r="D1524" s="3" t="e">
        <f>INDEX(PEDIDOS!$A:$D,MATCH(FORNECEDOR!A1524,PEDIDOS!$A:$A,0),3)</f>
        <v>#N/A</v>
      </c>
      <c r="E1524" s="3" t="e">
        <f>INDEX(PEDIDOS!$A:$D,MATCH(FORNECEDOR!A1524,PEDIDOS!$A:$A,0),4)</f>
        <v>#N/A</v>
      </c>
    </row>
    <row r="1525" spans="1:5" hidden="1" x14ac:dyDescent="0.25">
      <c r="A1525" s="1" t="s">
        <v>1524</v>
      </c>
      <c r="B1525" s="3">
        <f>COUNTIF(PEDIDOS!$A:$A,FORNECEDOR!A1525)</f>
        <v>0</v>
      </c>
      <c r="C1525" s="3" t="e">
        <f>INDEX(PEDIDOS!$A:$D,MATCH(FORNECEDOR!A1525,PEDIDOS!$A:$A,0),2)</f>
        <v>#N/A</v>
      </c>
      <c r="D1525" s="3" t="e">
        <f>INDEX(PEDIDOS!$A:$D,MATCH(FORNECEDOR!A1525,PEDIDOS!$A:$A,0),3)</f>
        <v>#N/A</v>
      </c>
      <c r="E1525" s="3" t="e">
        <f>INDEX(PEDIDOS!$A:$D,MATCH(FORNECEDOR!A1525,PEDIDOS!$A:$A,0),4)</f>
        <v>#N/A</v>
      </c>
    </row>
    <row r="1526" spans="1:5" hidden="1" x14ac:dyDescent="0.25">
      <c r="A1526" s="1" t="s">
        <v>1525</v>
      </c>
      <c r="B1526" s="3">
        <f>COUNTIF(PEDIDOS!$A:$A,FORNECEDOR!A1526)</f>
        <v>0</v>
      </c>
      <c r="C1526" s="3" t="e">
        <f>INDEX(PEDIDOS!$A:$D,MATCH(FORNECEDOR!A1526,PEDIDOS!$A:$A,0),2)</f>
        <v>#N/A</v>
      </c>
      <c r="D1526" s="3" t="e">
        <f>INDEX(PEDIDOS!$A:$D,MATCH(FORNECEDOR!A1526,PEDIDOS!$A:$A,0),3)</f>
        <v>#N/A</v>
      </c>
      <c r="E1526" s="3" t="e">
        <f>INDEX(PEDIDOS!$A:$D,MATCH(FORNECEDOR!A1526,PEDIDOS!$A:$A,0),4)</f>
        <v>#N/A</v>
      </c>
    </row>
    <row r="1527" spans="1:5" x14ac:dyDescent="0.25">
      <c r="A1527" s="1" t="s">
        <v>1526</v>
      </c>
      <c r="B1527" s="3">
        <f>COUNTIF(PEDIDOS!$A:$A,FORNECEDOR!A1527)</f>
        <v>2</v>
      </c>
      <c r="C1527" s="3" t="str">
        <f>INDEX(PEDIDOS!$A:$D,MATCH(FORNECEDOR!A1527,PEDIDOS!$A:$A,0),2)</f>
        <v>CD REGIS</v>
      </c>
      <c r="D1527" s="3" t="str">
        <f>INDEX(PEDIDOS!$A:$D,MATCH(FORNECEDOR!A1527,PEDIDOS!$A:$A,0),3)</f>
        <v>MATRIZ</v>
      </c>
      <c r="E1527" s="3" t="str">
        <f>INDEX(PEDIDOS!$A:$D,MATCH(FORNECEDOR!A1527,PEDIDOS!$A:$A,0),4)</f>
        <v>CD REGIS</v>
      </c>
    </row>
    <row r="1528" spans="1:5" x14ac:dyDescent="0.25">
      <c r="A1528" s="1" t="s">
        <v>1527</v>
      </c>
      <c r="B1528" s="3">
        <f>COUNTIF(PEDIDOS!$A:$A,FORNECEDOR!A1528)</f>
        <v>2</v>
      </c>
      <c r="C1528" s="3" t="str">
        <f>INDEX(PEDIDOS!$A:$D,MATCH(FORNECEDOR!A1528,PEDIDOS!$A:$A,0),2)</f>
        <v>CD REGIS</v>
      </c>
      <c r="D1528" s="3" t="str">
        <f>INDEX(PEDIDOS!$A:$D,MATCH(FORNECEDOR!A1528,PEDIDOS!$A:$A,0),3)</f>
        <v>MATRIZ</v>
      </c>
      <c r="E1528" s="3" t="str">
        <f>INDEX(PEDIDOS!$A:$D,MATCH(FORNECEDOR!A1528,PEDIDOS!$A:$A,0),4)</f>
        <v>CD REGIS</v>
      </c>
    </row>
    <row r="1529" spans="1:5" x14ac:dyDescent="0.25">
      <c r="A1529" s="1" t="s">
        <v>1528</v>
      </c>
      <c r="B1529" s="3">
        <f>COUNTIF(PEDIDOS!$A:$A,FORNECEDOR!A1529)</f>
        <v>1</v>
      </c>
      <c r="C1529" s="3" t="str">
        <f>INDEX(PEDIDOS!$A:$D,MATCH(FORNECEDOR!A1529,PEDIDOS!$A:$A,0),2)</f>
        <v>CD REGIS</v>
      </c>
      <c r="D1529" s="3" t="str">
        <f>INDEX(PEDIDOS!$A:$D,MATCH(FORNECEDOR!A1529,PEDIDOS!$A:$A,0),3)</f>
        <v>MATRIZ</v>
      </c>
      <c r="E1529" s="3" t="str">
        <f>INDEX(PEDIDOS!$A:$D,MATCH(FORNECEDOR!A1529,PEDIDOS!$A:$A,0),4)</f>
        <v>CD REGIS</v>
      </c>
    </row>
    <row r="1530" spans="1:5" hidden="1" x14ac:dyDescent="0.25">
      <c r="A1530" s="1" t="s">
        <v>1529</v>
      </c>
      <c r="B1530" s="3">
        <f>COUNTIF(PEDIDOS!$A:$A,FORNECEDOR!A1530)</f>
        <v>0</v>
      </c>
      <c r="C1530" s="3" t="e">
        <f>INDEX(PEDIDOS!$A:$D,MATCH(FORNECEDOR!A1530,PEDIDOS!$A:$A,0),2)</f>
        <v>#N/A</v>
      </c>
      <c r="D1530" s="3" t="e">
        <f>INDEX(PEDIDOS!$A:$D,MATCH(FORNECEDOR!A1530,PEDIDOS!$A:$A,0),3)</f>
        <v>#N/A</v>
      </c>
      <c r="E1530" s="3" t="e">
        <f>INDEX(PEDIDOS!$A:$D,MATCH(FORNECEDOR!A1530,PEDIDOS!$A:$A,0),4)</f>
        <v>#N/A</v>
      </c>
    </row>
    <row r="1531" spans="1:5" hidden="1" x14ac:dyDescent="0.25">
      <c r="A1531" s="1" t="s">
        <v>1530</v>
      </c>
      <c r="B1531" s="3">
        <f>COUNTIF(PEDIDOS!$A:$A,FORNECEDOR!A1531)</f>
        <v>0</v>
      </c>
      <c r="C1531" s="3" t="e">
        <f>INDEX(PEDIDOS!$A:$D,MATCH(FORNECEDOR!A1531,PEDIDOS!$A:$A,0),2)</f>
        <v>#N/A</v>
      </c>
      <c r="D1531" s="3" t="e">
        <f>INDEX(PEDIDOS!$A:$D,MATCH(FORNECEDOR!A1531,PEDIDOS!$A:$A,0),3)</f>
        <v>#N/A</v>
      </c>
      <c r="E1531" s="3" t="e">
        <f>INDEX(PEDIDOS!$A:$D,MATCH(FORNECEDOR!A1531,PEDIDOS!$A:$A,0),4)</f>
        <v>#N/A</v>
      </c>
    </row>
    <row r="1532" spans="1:5" hidden="1" x14ac:dyDescent="0.25">
      <c r="A1532" s="1" t="s">
        <v>1531</v>
      </c>
      <c r="B1532" s="3">
        <f>COUNTIF(PEDIDOS!$A:$A,FORNECEDOR!A1532)</f>
        <v>0</v>
      </c>
      <c r="C1532" s="3" t="e">
        <f>INDEX(PEDIDOS!$A:$D,MATCH(FORNECEDOR!A1532,PEDIDOS!$A:$A,0),2)</f>
        <v>#N/A</v>
      </c>
      <c r="D1532" s="3" t="e">
        <f>INDEX(PEDIDOS!$A:$D,MATCH(FORNECEDOR!A1532,PEDIDOS!$A:$A,0),3)</f>
        <v>#N/A</v>
      </c>
      <c r="E1532" s="3" t="e">
        <f>INDEX(PEDIDOS!$A:$D,MATCH(FORNECEDOR!A1532,PEDIDOS!$A:$A,0),4)</f>
        <v>#N/A</v>
      </c>
    </row>
    <row r="1533" spans="1:5" hidden="1" x14ac:dyDescent="0.25">
      <c r="A1533" s="1" t="s">
        <v>1532</v>
      </c>
      <c r="B1533" s="3">
        <f>COUNTIF(PEDIDOS!$A:$A,FORNECEDOR!A1533)</f>
        <v>0</v>
      </c>
      <c r="C1533" s="3" t="e">
        <f>INDEX(PEDIDOS!$A:$D,MATCH(FORNECEDOR!A1533,PEDIDOS!$A:$A,0),2)</f>
        <v>#N/A</v>
      </c>
      <c r="D1533" s="3" t="e">
        <f>INDEX(PEDIDOS!$A:$D,MATCH(FORNECEDOR!A1533,PEDIDOS!$A:$A,0),3)</f>
        <v>#N/A</v>
      </c>
      <c r="E1533" s="3" t="e">
        <f>INDEX(PEDIDOS!$A:$D,MATCH(FORNECEDOR!A1533,PEDIDOS!$A:$A,0),4)</f>
        <v>#N/A</v>
      </c>
    </row>
    <row r="1534" spans="1:5" hidden="1" x14ac:dyDescent="0.25">
      <c r="A1534" s="1" t="s">
        <v>1533</v>
      </c>
      <c r="B1534" s="3">
        <f>COUNTIF(PEDIDOS!$A:$A,FORNECEDOR!A1534)</f>
        <v>0</v>
      </c>
      <c r="C1534" s="3" t="e">
        <f>INDEX(PEDIDOS!$A:$D,MATCH(FORNECEDOR!A1534,PEDIDOS!$A:$A,0),2)</f>
        <v>#N/A</v>
      </c>
      <c r="D1534" s="3" t="e">
        <f>INDEX(PEDIDOS!$A:$D,MATCH(FORNECEDOR!A1534,PEDIDOS!$A:$A,0),3)</f>
        <v>#N/A</v>
      </c>
      <c r="E1534" s="3" t="e">
        <f>INDEX(PEDIDOS!$A:$D,MATCH(FORNECEDOR!A1534,PEDIDOS!$A:$A,0),4)</f>
        <v>#N/A</v>
      </c>
    </row>
    <row r="1535" spans="1:5" hidden="1" x14ac:dyDescent="0.25">
      <c r="A1535" s="1" t="s">
        <v>1534</v>
      </c>
      <c r="B1535" s="3">
        <f>COUNTIF(PEDIDOS!$A:$A,FORNECEDOR!A1535)</f>
        <v>0</v>
      </c>
      <c r="C1535" s="3" t="e">
        <f>INDEX(PEDIDOS!$A:$D,MATCH(FORNECEDOR!A1535,PEDIDOS!$A:$A,0),2)</f>
        <v>#N/A</v>
      </c>
      <c r="D1535" s="3" t="e">
        <f>INDEX(PEDIDOS!$A:$D,MATCH(FORNECEDOR!A1535,PEDIDOS!$A:$A,0),3)</f>
        <v>#N/A</v>
      </c>
      <c r="E1535" s="3" t="e">
        <f>INDEX(PEDIDOS!$A:$D,MATCH(FORNECEDOR!A1535,PEDIDOS!$A:$A,0),4)</f>
        <v>#N/A</v>
      </c>
    </row>
    <row r="1536" spans="1:5" hidden="1" x14ac:dyDescent="0.25">
      <c r="A1536" s="1" t="s">
        <v>1535</v>
      </c>
      <c r="B1536" s="3">
        <f>COUNTIF(PEDIDOS!$A:$A,FORNECEDOR!A1536)</f>
        <v>0</v>
      </c>
      <c r="C1536" s="3" t="e">
        <f>INDEX(PEDIDOS!$A:$D,MATCH(FORNECEDOR!A1536,PEDIDOS!$A:$A,0),2)</f>
        <v>#N/A</v>
      </c>
      <c r="D1536" s="3" t="e">
        <f>INDEX(PEDIDOS!$A:$D,MATCH(FORNECEDOR!A1536,PEDIDOS!$A:$A,0),3)</f>
        <v>#N/A</v>
      </c>
      <c r="E1536" s="3" t="e">
        <f>INDEX(PEDIDOS!$A:$D,MATCH(FORNECEDOR!A1536,PEDIDOS!$A:$A,0),4)</f>
        <v>#N/A</v>
      </c>
    </row>
    <row r="1537" spans="1:5" x14ac:dyDescent="0.25">
      <c r="A1537" s="1" t="s">
        <v>1536</v>
      </c>
      <c r="B1537" s="3">
        <f>COUNTIF(PEDIDOS!$A:$A,FORNECEDOR!A1537)</f>
        <v>1</v>
      </c>
      <c r="C1537" s="3" t="str">
        <f>INDEX(PEDIDOS!$A:$D,MATCH(FORNECEDOR!A1537,PEDIDOS!$A:$A,0),2)</f>
        <v>MATRIZ</v>
      </c>
      <c r="D1537" s="3" t="str">
        <f>INDEX(PEDIDOS!$A:$D,MATCH(FORNECEDOR!A1537,PEDIDOS!$A:$A,0),3)</f>
        <v>MATRIZ</v>
      </c>
      <c r="E1537" s="3" t="str">
        <f>INDEX(PEDIDOS!$A:$D,MATCH(FORNECEDOR!A1537,PEDIDOS!$A:$A,0),4)</f>
        <v>MATRIZ</v>
      </c>
    </row>
    <row r="1538" spans="1:5" hidden="1" x14ac:dyDescent="0.25">
      <c r="A1538" s="1" t="s">
        <v>1537</v>
      </c>
      <c r="B1538" s="3">
        <f>COUNTIF(PEDIDOS!$A:$A,FORNECEDOR!A1538)</f>
        <v>0</v>
      </c>
      <c r="C1538" s="3" t="e">
        <f>INDEX(PEDIDOS!$A:$D,MATCH(FORNECEDOR!A1538,PEDIDOS!$A:$A,0),2)</f>
        <v>#N/A</v>
      </c>
      <c r="D1538" s="3" t="e">
        <f>INDEX(PEDIDOS!$A:$D,MATCH(FORNECEDOR!A1538,PEDIDOS!$A:$A,0),3)</f>
        <v>#N/A</v>
      </c>
      <c r="E1538" s="3" t="e">
        <f>INDEX(PEDIDOS!$A:$D,MATCH(FORNECEDOR!A1538,PEDIDOS!$A:$A,0),4)</f>
        <v>#N/A</v>
      </c>
    </row>
    <row r="1539" spans="1:5" x14ac:dyDescent="0.25">
      <c r="A1539" s="1" t="s">
        <v>1538</v>
      </c>
      <c r="B1539" s="3">
        <f>COUNTIF(PEDIDOS!$A:$A,FORNECEDOR!A1539)</f>
        <v>2</v>
      </c>
      <c r="C1539" s="3" t="str">
        <f>INDEX(PEDIDOS!$A:$D,MATCH(FORNECEDOR!A1539,PEDIDOS!$A:$A,0),2)</f>
        <v>CD REGIS</v>
      </c>
      <c r="D1539" s="3" t="str">
        <f>INDEX(PEDIDOS!$A:$D,MATCH(FORNECEDOR!A1539,PEDIDOS!$A:$A,0),3)</f>
        <v>MATRIZ</v>
      </c>
      <c r="E1539" s="3" t="str">
        <f>INDEX(PEDIDOS!$A:$D,MATCH(FORNECEDOR!A1539,PEDIDOS!$A:$A,0),4)</f>
        <v>CD REGIS</v>
      </c>
    </row>
    <row r="1540" spans="1:5" hidden="1" x14ac:dyDescent="0.25">
      <c r="A1540" s="1" t="s">
        <v>1539</v>
      </c>
      <c r="B1540" s="3">
        <f>COUNTIF(PEDIDOS!$A:$A,FORNECEDOR!A1540)</f>
        <v>0</v>
      </c>
      <c r="C1540" s="3" t="e">
        <f>INDEX(PEDIDOS!$A:$D,MATCH(FORNECEDOR!A1540,PEDIDOS!$A:$A,0),2)</f>
        <v>#N/A</v>
      </c>
      <c r="D1540" s="3" t="e">
        <f>INDEX(PEDIDOS!$A:$D,MATCH(FORNECEDOR!A1540,PEDIDOS!$A:$A,0),3)</f>
        <v>#N/A</v>
      </c>
      <c r="E1540" s="3" t="e">
        <f>INDEX(PEDIDOS!$A:$D,MATCH(FORNECEDOR!A1540,PEDIDOS!$A:$A,0),4)</f>
        <v>#N/A</v>
      </c>
    </row>
    <row r="1541" spans="1:5" hidden="1" x14ac:dyDescent="0.25">
      <c r="A1541" s="1" t="s">
        <v>1540</v>
      </c>
      <c r="B1541" s="3">
        <f>COUNTIF(PEDIDOS!$A:$A,FORNECEDOR!A1541)</f>
        <v>0</v>
      </c>
      <c r="C1541" s="3" t="e">
        <f>INDEX(PEDIDOS!$A:$D,MATCH(FORNECEDOR!A1541,PEDIDOS!$A:$A,0),2)</f>
        <v>#N/A</v>
      </c>
      <c r="D1541" s="3" t="e">
        <f>INDEX(PEDIDOS!$A:$D,MATCH(FORNECEDOR!A1541,PEDIDOS!$A:$A,0),3)</f>
        <v>#N/A</v>
      </c>
      <c r="E1541" s="3" t="e">
        <f>INDEX(PEDIDOS!$A:$D,MATCH(FORNECEDOR!A1541,PEDIDOS!$A:$A,0),4)</f>
        <v>#N/A</v>
      </c>
    </row>
    <row r="1542" spans="1:5" hidden="1" x14ac:dyDescent="0.25">
      <c r="A1542" s="1" t="s">
        <v>1541</v>
      </c>
      <c r="B1542" s="3">
        <f>COUNTIF(PEDIDOS!$A:$A,FORNECEDOR!A1542)</f>
        <v>0</v>
      </c>
      <c r="C1542" s="3" t="e">
        <f>INDEX(PEDIDOS!$A:$D,MATCH(FORNECEDOR!A1542,PEDIDOS!$A:$A,0),2)</f>
        <v>#N/A</v>
      </c>
      <c r="D1542" s="3" t="e">
        <f>INDEX(PEDIDOS!$A:$D,MATCH(FORNECEDOR!A1542,PEDIDOS!$A:$A,0),3)</f>
        <v>#N/A</v>
      </c>
      <c r="E1542" s="3" t="e">
        <f>INDEX(PEDIDOS!$A:$D,MATCH(FORNECEDOR!A1542,PEDIDOS!$A:$A,0),4)</f>
        <v>#N/A</v>
      </c>
    </row>
    <row r="1543" spans="1:5" x14ac:dyDescent="0.25">
      <c r="A1543" s="1" t="s">
        <v>1542</v>
      </c>
      <c r="B1543" s="3">
        <f>COUNTIF(PEDIDOS!$A:$A,FORNECEDOR!A1543)</f>
        <v>1</v>
      </c>
      <c r="C1543" s="3" t="str">
        <f>INDEX(PEDIDOS!$A:$D,MATCH(FORNECEDOR!A1543,PEDIDOS!$A:$A,0),2)</f>
        <v>SP - PARI</v>
      </c>
      <c r="D1543" s="3" t="str">
        <f>INDEX(PEDIDOS!$A:$D,MATCH(FORNECEDOR!A1543,PEDIDOS!$A:$A,0),3)</f>
        <v>SP - PARI</v>
      </c>
      <c r="E1543" s="3" t="str">
        <f>INDEX(PEDIDOS!$A:$D,MATCH(FORNECEDOR!A1543,PEDIDOS!$A:$A,0),4)</f>
        <v>SP - PARI</v>
      </c>
    </row>
    <row r="1544" spans="1:5" hidden="1" x14ac:dyDescent="0.25">
      <c r="A1544" s="1" t="s">
        <v>1543</v>
      </c>
      <c r="B1544" s="3">
        <f>COUNTIF(PEDIDOS!$A:$A,FORNECEDOR!A1544)</f>
        <v>0</v>
      </c>
      <c r="C1544" s="3" t="e">
        <f>INDEX(PEDIDOS!$A:$D,MATCH(FORNECEDOR!A1544,PEDIDOS!$A:$A,0),2)</f>
        <v>#N/A</v>
      </c>
      <c r="D1544" s="3" t="e">
        <f>INDEX(PEDIDOS!$A:$D,MATCH(FORNECEDOR!A1544,PEDIDOS!$A:$A,0),3)</f>
        <v>#N/A</v>
      </c>
      <c r="E1544" s="3" t="e">
        <f>INDEX(PEDIDOS!$A:$D,MATCH(FORNECEDOR!A1544,PEDIDOS!$A:$A,0),4)</f>
        <v>#N/A</v>
      </c>
    </row>
    <row r="1545" spans="1:5" hidden="1" x14ac:dyDescent="0.25">
      <c r="A1545" s="1" t="s">
        <v>1544</v>
      </c>
      <c r="B1545" s="3">
        <f>COUNTIF(PEDIDOS!$A:$A,FORNECEDOR!A1545)</f>
        <v>0</v>
      </c>
      <c r="C1545" s="3" t="e">
        <f>INDEX(PEDIDOS!$A:$D,MATCH(FORNECEDOR!A1545,PEDIDOS!$A:$A,0),2)</f>
        <v>#N/A</v>
      </c>
      <c r="D1545" s="3" t="e">
        <f>INDEX(PEDIDOS!$A:$D,MATCH(FORNECEDOR!A1545,PEDIDOS!$A:$A,0),3)</f>
        <v>#N/A</v>
      </c>
      <c r="E1545" s="3" t="e">
        <f>INDEX(PEDIDOS!$A:$D,MATCH(FORNECEDOR!A1545,PEDIDOS!$A:$A,0),4)</f>
        <v>#N/A</v>
      </c>
    </row>
    <row r="1546" spans="1:5" hidden="1" x14ac:dyDescent="0.25">
      <c r="A1546" s="1" t="s">
        <v>1545</v>
      </c>
      <c r="B1546" s="3">
        <f>COUNTIF(PEDIDOS!$A:$A,FORNECEDOR!A1546)</f>
        <v>0</v>
      </c>
      <c r="C1546" s="3" t="e">
        <f>INDEX(PEDIDOS!$A:$D,MATCH(FORNECEDOR!A1546,PEDIDOS!$A:$A,0),2)</f>
        <v>#N/A</v>
      </c>
      <c r="D1546" s="3" t="e">
        <f>INDEX(PEDIDOS!$A:$D,MATCH(FORNECEDOR!A1546,PEDIDOS!$A:$A,0),3)</f>
        <v>#N/A</v>
      </c>
      <c r="E1546" s="3" t="e">
        <f>INDEX(PEDIDOS!$A:$D,MATCH(FORNECEDOR!A1546,PEDIDOS!$A:$A,0),4)</f>
        <v>#N/A</v>
      </c>
    </row>
    <row r="1547" spans="1:5" hidden="1" x14ac:dyDescent="0.25">
      <c r="A1547" s="1" t="s">
        <v>1546</v>
      </c>
      <c r="B1547" s="3">
        <f>COUNTIF(PEDIDOS!$A:$A,FORNECEDOR!A1547)</f>
        <v>0</v>
      </c>
      <c r="C1547" s="3" t="e">
        <f>INDEX(PEDIDOS!$A:$D,MATCH(FORNECEDOR!A1547,PEDIDOS!$A:$A,0),2)</f>
        <v>#N/A</v>
      </c>
      <c r="D1547" s="3" t="e">
        <f>INDEX(PEDIDOS!$A:$D,MATCH(FORNECEDOR!A1547,PEDIDOS!$A:$A,0),3)</f>
        <v>#N/A</v>
      </c>
      <c r="E1547" s="3" t="e">
        <f>INDEX(PEDIDOS!$A:$D,MATCH(FORNECEDOR!A1547,PEDIDOS!$A:$A,0),4)</f>
        <v>#N/A</v>
      </c>
    </row>
    <row r="1548" spans="1:5" hidden="1" x14ac:dyDescent="0.25">
      <c r="A1548" s="1" t="s">
        <v>1547</v>
      </c>
      <c r="B1548" s="3">
        <f>COUNTIF(PEDIDOS!$A:$A,FORNECEDOR!A1548)</f>
        <v>0</v>
      </c>
      <c r="C1548" s="3" t="e">
        <f>INDEX(PEDIDOS!$A:$D,MATCH(FORNECEDOR!A1548,PEDIDOS!$A:$A,0),2)</f>
        <v>#N/A</v>
      </c>
      <c r="D1548" s="3" t="e">
        <f>INDEX(PEDIDOS!$A:$D,MATCH(FORNECEDOR!A1548,PEDIDOS!$A:$A,0),3)</f>
        <v>#N/A</v>
      </c>
      <c r="E1548" s="3" t="e">
        <f>INDEX(PEDIDOS!$A:$D,MATCH(FORNECEDOR!A1548,PEDIDOS!$A:$A,0),4)</f>
        <v>#N/A</v>
      </c>
    </row>
    <row r="1549" spans="1:5" hidden="1" x14ac:dyDescent="0.25">
      <c r="A1549" s="1" t="s">
        <v>1548</v>
      </c>
      <c r="B1549" s="3">
        <f>COUNTIF(PEDIDOS!$A:$A,FORNECEDOR!A1549)</f>
        <v>0</v>
      </c>
      <c r="C1549" s="3" t="e">
        <f>INDEX(PEDIDOS!$A:$D,MATCH(FORNECEDOR!A1549,PEDIDOS!$A:$A,0),2)</f>
        <v>#N/A</v>
      </c>
      <c r="D1549" s="3" t="e">
        <f>INDEX(PEDIDOS!$A:$D,MATCH(FORNECEDOR!A1549,PEDIDOS!$A:$A,0),3)</f>
        <v>#N/A</v>
      </c>
      <c r="E1549" s="3" t="e">
        <f>INDEX(PEDIDOS!$A:$D,MATCH(FORNECEDOR!A1549,PEDIDOS!$A:$A,0),4)</f>
        <v>#N/A</v>
      </c>
    </row>
    <row r="1550" spans="1:5" hidden="1" x14ac:dyDescent="0.25">
      <c r="A1550" s="1" t="s">
        <v>1549</v>
      </c>
      <c r="B1550" s="3">
        <f>COUNTIF(PEDIDOS!$A:$A,FORNECEDOR!A1550)</f>
        <v>0</v>
      </c>
      <c r="C1550" s="3" t="e">
        <f>INDEX(PEDIDOS!$A:$D,MATCH(FORNECEDOR!A1550,PEDIDOS!$A:$A,0),2)</f>
        <v>#N/A</v>
      </c>
      <c r="D1550" s="3" t="e">
        <f>INDEX(PEDIDOS!$A:$D,MATCH(FORNECEDOR!A1550,PEDIDOS!$A:$A,0),3)</f>
        <v>#N/A</v>
      </c>
      <c r="E1550" s="3" t="e">
        <f>INDEX(PEDIDOS!$A:$D,MATCH(FORNECEDOR!A1550,PEDIDOS!$A:$A,0),4)</f>
        <v>#N/A</v>
      </c>
    </row>
    <row r="1551" spans="1:5" hidden="1" x14ac:dyDescent="0.25">
      <c r="A1551" s="1" t="s">
        <v>1550</v>
      </c>
      <c r="B1551" s="3">
        <f>COUNTIF(PEDIDOS!$A:$A,FORNECEDOR!A1551)</f>
        <v>0</v>
      </c>
      <c r="C1551" s="3" t="e">
        <f>INDEX(PEDIDOS!$A:$D,MATCH(FORNECEDOR!A1551,PEDIDOS!$A:$A,0),2)</f>
        <v>#N/A</v>
      </c>
      <c r="D1551" s="3" t="e">
        <f>INDEX(PEDIDOS!$A:$D,MATCH(FORNECEDOR!A1551,PEDIDOS!$A:$A,0),3)</f>
        <v>#N/A</v>
      </c>
      <c r="E1551" s="3" t="e">
        <f>INDEX(PEDIDOS!$A:$D,MATCH(FORNECEDOR!A1551,PEDIDOS!$A:$A,0),4)</f>
        <v>#N/A</v>
      </c>
    </row>
    <row r="1552" spans="1:5" x14ac:dyDescent="0.25">
      <c r="A1552" s="1" t="s">
        <v>1551</v>
      </c>
      <c r="B1552" s="3">
        <f>COUNTIF(PEDIDOS!$A:$A,FORNECEDOR!A1552)</f>
        <v>1</v>
      </c>
      <c r="C1552" s="3" t="str">
        <f>INDEX(PEDIDOS!$A:$D,MATCH(FORNECEDOR!A1552,PEDIDOS!$A:$A,0),2)</f>
        <v>MATRIZ</v>
      </c>
      <c r="D1552" s="3" t="str">
        <f>INDEX(PEDIDOS!$A:$D,MATCH(FORNECEDOR!A1552,PEDIDOS!$A:$A,0),3)</f>
        <v>MATRIZ</v>
      </c>
      <c r="E1552" s="3" t="str">
        <f>INDEX(PEDIDOS!$A:$D,MATCH(FORNECEDOR!A1552,PEDIDOS!$A:$A,0),4)</f>
        <v>MATRIZ</v>
      </c>
    </row>
    <row r="1553" spans="1:5" hidden="1" x14ac:dyDescent="0.25">
      <c r="A1553" s="1" t="s">
        <v>1552</v>
      </c>
      <c r="B1553" s="3">
        <f>COUNTIF(PEDIDOS!$A:$A,FORNECEDOR!A1553)</f>
        <v>0</v>
      </c>
      <c r="C1553" s="3" t="e">
        <f>INDEX(PEDIDOS!$A:$D,MATCH(FORNECEDOR!A1553,PEDIDOS!$A:$A,0),2)</f>
        <v>#N/A</v>
      </c>
      <c r="D1553" s="3" t="e">
        <f>INDEX(PEDIDOS!$A:$D,MATCH(FORNECEDOR!A1553,PEDIDOS!$A:$A,0),3)</f>
        <v>#N/A</v>
      </c>
      <c r="E1553" s="3" t="e">
        <f>INDEX(PEDIDOS!$A:$D,MATCH(FORNECEDOR!A1553,PEDIDOS!$A:$A,0),4)</f>
        <v>#N/A</v>
      </c>
    </row>
    <row r="1554" spans="1:5" x14ac:dyDescent="0.25">
      <c r="A1554" s="1" t="s">
        <v>1553</v>
      </c>
      <c r="B1554" s="3">
        <f>COUNTIF(PEDIDOS!$A:$A,FORNECEDOR!A1554)</f>
        <v>1</v>
      </c>
      <c r="C1554" s="3" t="str">
        <f>INDEX(PEDIDOS!$A:$D,MATCH(FORNECEDOR!A1554,PEDIDOS!$A:$A,0),2)</f>
        <v>MATRIZ</v>
      </c>
      <c r="D1554" s="3" t="str">
        <f>INDEX(PEDIDOS!$A:$D,MATCH(FORNECEDOR!A1554,PEDIDOS!$A:$A,0),3)</f>
        <v>MATRIZ</v>
      </c>
      <c r="E1554" s="3" t="str">
        <f>INDEX(PEDIDOS!$A:$D,MATCH(FORNECEDOR!A1554,PEDIDOS!$A:$A,0),4)</f>
        <v>MATRIZ</v>
      </c>
    </row>
    <row r="1555" spans="1:5" hidden="1" x14ac:dyDescent="0.25">
      <c r="A1555" s="1" t="s">
        <v>1554</v>
      </c>
      <c r="B1555" s="3">
        <f>COUNTIF(PEDIDOS!$A:$A,FORNECEDOR!A1555)</f>
        <v>0</v>
      </c>
      <c r="C1555" s="3" t="e">
        <f>INDEX(PEDIDOS!$A:$D,MATCH(FORNECEDOR!A1555,PEDIDOS!$A:$A,0),2)</f>
        <v>#N/A</v>
      </c>
      <c r="D1555" s="3" t="e">
        <f>INDEX(PEDIDOS!$A:$D,MATCH(FORNECEDOR!A1555,PEDIDOS!$A:$A,0),3)</f>
        <v>#N/A</v>
      </c>
      <c r="E1555" s="3" t="e">
        <f>INDEX(PEDIDOS!$A:$D,MATCH(FORNECEDOR!A1555,PEDIDOS!$A:$A,0),4)</f>
        <v>#N/A</v>
      </c>
    </row>
    <row r="1556" spans="1:5" hidden="1" x14ac:dyDescent="0.25">
      <c r="A1556" s="1" t="s">
        <v>1555</v>
      </c>
      <c r="B1556" s="3">
        <f>COUNTIF(PEDIDOS!$A:$A,FORNECEDOR!A1556)</f>
        <v>0</v>
      </c>
      <c r="C1556" s="3" t="e">
        <f>INDEX(PEDIDOS!$A:$D,MATCH(FORNECEDOR!A1556,PEDIDOS!$A:$A,0),2)</f>
        <v>#N/A</v>
      </c>
      <c r="D1556" s="3" t="e">
        <f>INDEX(PEDIDOS!$A:$D,MATCH(FORNECEDOR!A1556,PEDIDOS!$A:$A,0),3)</f>
        <v>#N/A</v>
      </c>
      <c r="E1556" s="3" t="e">
        <f>INDEX(PEDIDOS!$A:$D,MATCH(FORNECEDOR!A1556,PEDIDOS!$A:$A,0),4)</f>
        <v>#N/A</v>
      </c>
    </row>
    <row r="1557" spans="1:5" hidden="1" x14ac:dyDescent="0.25">
      <c r="A1557" s="1" t="s">
        <v>1556</v>
      </c>
      <c r="B1557" s="3">
        <f>COUNTIF(PEDIDOS!$A:$A,FORNECEDOR!A1557)</f>
        <v>0</v>
      </c>
      <c r="C1557" s="3" t="e">
        <f>INDEX(PEDIDOS!$A:$D,MATCH(FORNECEDOR!A1557,PEDIDOS!$A:$A,0),2)</f>
        <v>#N/A</v>
      </c>
      <c r="D1557" s="3" t="e">
        <f>INDEX(PEDIDOS!$A:$D,MATCH(FORNECEDOR!A1557,PEDIDOS!$A:$A,0),3)</f>
        <v>#N/A</v>
      </c>
      <c r="E1557" s="3" t="e">
        <f>INDEX(PEDIDOS!$A:$D,MATCH(FORNECEDOR!A1557,PEDIDOS!$A:$A,0),4)</f>
        <v>#N/A</v>
      </c>
    </row>
    <row r="1558" spans="1:5" hidden="1" x14ac:dyDescent="0.25">
      <c r="A1558" s="1" t="s">
        <v>1557</v>
      </c>
      <c r="B1558" s="3">
        <f>COUNTIF(PEDIDOS!$A:$A,FORNECEDOR!A1558)</f>
        <v>0</v>
      </c>
      <c r="C1558" s="3" t="e">
        <f>INDEX(PEDIDOS!$A:$D,MATCH(FORNECEDOR!A1558,PEDIDOS!$A:$A,0),2)</f>
        <v>#N/A</v>
      </c>
      <c r="D1558" s="3" t="e">
        <f>INDEX(PEDIDOS!$A:$D,MATCH(FORNECEDOR!A1558,PEDIDOS!$A:$A,0),3)</f>
        <v>#N/A</v>
      </c>
      <c r="E1558" s="3" t="e">
        <f>INDEX(PEDIDOS!$A:$D,MATCH(FORNECEDOR!A1558,PEDIDOS!$A:$A,0),4)</f>
        <v>#N/A</v>
      </c>
    </row>
    <row r="1559" spans="1:5" x14ac:dyDescent="0.25">
      <c r="A1559" s="1" t="s">
        <v>1558</v>
      </c>
      <c r="B1559" s="3">
        <f>COUNTIF(PEDIDOS!$A:$A,FORNECEDOR!A1559)</f>
        <v>1</v>
      </c>
      <c r="C1559" s="3" t="str">
        <f>INDEX(PEDIDOS!$A:$D,MATCH(FORNECEDOR!A1559,PEDIDOS!$A:$A,0),2)</f>
        <v>CD REGIS</v>
      </c>
      <c r="D1559" s="3" t="str">
        <f>INDEX(PEDIDOS!$A:$D,MATCH(FORNECEDOR!A1559,PEDIDOS!$A:$A,0),3)</f>
        <v>MATRIZ</v>
      </c>
      <c r="E1559" s="3" t="str">
        <f>INDEX(PEDIDOS!$A:$D,MATCH(FORNECEDOR!A1559,PEDIDOS!$A:$A,0),4)</f>
        <v>CD REGIS</v>
      </c>
    </row>
    <row r="1560" spans="1:5" hidden="1" x14ac:dyDescent="0.25">
      <c r="A1560" s="1" t="s">
        <v>1559</v>
      </c>
      <c r="B1560" s="3">
        <f>COUNTIF(PEDIDOS!$A:$A,FORNECEDOR!A1560)</f>
        <v>0</v>
      </c>
      <c r="C1560" s="3" t="e">
        <f>INDEX(PEDIDOS!$A:$D,MATCH(FORNECEDOR!A1560,PEDIDOS!$A:$A,0),2)</f>
        <v>#N/A</v>
      </c>
      <c r="D1560" s="3" t="e">
        <f>INDEX(PEDIDOS!$A:$D,MATCH(FORNECEDOR!A1560,PEDIDOS!$A:$A,0),3)</f>
        <v>#N/A</v>
      </c>
      <c r="E1560" s="3" t="e">
        <f>INDEX(PEDIDOS!$A:$D,MATCH(FORNECEDOR!A1560,PEDIDOS!$A:$A,0),4)</f>
        <v>#N/A</v>
      </c>
    </row>
    <row r="1561" spans="1:5" hidden="1" x14ac:dyDescent="0.25">
      <c r="A1561" s="1" t="s">
        <v>1560</v>
      </c>
      <c r="B1561" s="3">
        <f>COUNTIF(PEDIDOS!$A:$A,FORNECEDOR!A1561)</f>
        <v>0</v>
      </c>
      <c r="C1561" s="3" t="e">
        <f>INDEX(PEDIDOS!$A:$D,MATCH(FORNECEDOR!A1561,PEDIDOS!$A:$A,0),2)</f>
        <v>#N/A</v>
      </c>
      <c r="D1561" s="3" t="e">
        <f>INDEX(PEDIDOS!$A:$D,MATCH(FORNECEDOR!A1561,PEDIDOS!$A:$A,0),3)</f>
        <v>#N/A</v>
      </c>
      <c r="E1561" s="3" t="e">
        <f>INDEX(PEDIDOS!$A:$D,MATCH(FORNECEDOR!A1561,PEDIDOS!$A:$A,0),4)</f>
        <v>#N/A</v>
      </c>
    </row>
    <row r="1562" spans="1:5" hidden="1" x14ac:dyDescent="0.25">
      <c r="A1562" s="1" t="s">
        <v>1561</v>
      </c>
      <c r="B1562" s="3">
        <f>COUNTIF(PEDIDOS!$A:$A,FORNECEDOR!A1562)</f>
        <v>0</v>
      </c>
      <c r="C1562" s="3" t="e">
        <f>INDEX(PEDIDOS!$A:$D,MATCH(FORNECEDOR!A1562,PEDIDOS!$A:$A,0),2)</f>
        <v>#N/A</v>
      </c>
      <c r="D1562" s="3" t="e">
        <f>INDEX(PEDIDOS!$A:$D,MATCH(FORNECEDOR!A1562,PEDIDOS!$A:$A,0),3)</f>
        <v>#N/A</v>
      </c>
      <c r="E1562" s="3" t="e">
        <f>INDEX(PEDIDOS!$A:$D,MATCH(FORNECEDOR!A1562,PEDIDOS!$A:$A,0),4)</f>
        <v>#N/A</v>
      </c>
    </row>
    <row r="1563" spans="1:5" hidden="1" x14ac:dyDescent="0.25">
      <c r="A1563" s="1" t="s">
        <v>1562</v>
      </c>
      <c r="B1563" s="3">
        <f>COUNTIF(PEDIDOS!$A:$A,FORNECEDOR!A1563)</f>
        <v>0</v>
      </c>
      <c r="C1563" s="3" t="e">
        <f>INDEX(PEDIDOS!$A:$D,MATCH(FORNECEDOR!A1563,PEDIDOS!$A:$A,0),2)</f>
        <v>#N/A</v>
      </c>
      <c r="D1563" s="3" t="e">
        <f>INDEX(PEDIDOS!$A:$D,MATCH(FORNECEDOR!A1563,PEDIDOS!$A:$A,0),3)</f>
        <v>#N/A</v>
      </c>
      <c r="E1563" s="3" t="e">
        <f>INDEX(PEDIDOS!$A:$D,MATCH(FORNECEDOR!A1563,PEDIDOS!$A:$A,0),4)</f>
        <v>#N/A</v>
      </c>
    </row>
    <row r="1564" spans="1:5" x14ac:dyDescent="0.25">
      <c r="A1564" s="1" t="s">
        <v>1563</v>
      </c>
      <c r="B1564" s="3">
        <f>COUNTIF(PEDIDOS!$A:$A,FORNECEDOR!A1564)</f>
        <v>2</v>
      </c>
      <c r="C1564" s="3" t="str">
        <f>INDEX(PEDIDOS!$A:$D,MATCH(FORNECEDOR!A1564,PEDIDOS!$A:$A,0),2)</f>
        <v>CD REGIS</v>
      </c>
      <c r="D1564" s="3" t="str">
        <f>INDEX(PEDIDOS!$A:$D,MATCH(FORNECEDOR!A1564,PEDIDOS!$A:$A,0),3)</f>
        <v>MATRIZ</v>
      </c>
      <c r="E1564" s="3" t="str">
        <f>INDEX(PEDIDOS!$A:$D,MATCH(FORNECEDOR!A1564,PEDIDOS!$A:$A,0),4)</f>
        <v>CD REGIS</v>
      </c>
    </row>
    <row r="1565" spans="1:5" hidden="1" x14ac:dyDescent="0.25">
      <c r="A1565" s="1" t="s">
        <v>1564</v>
      </c>
      <c r="B1565" s="3">
        <f>COUNTIF(PEDIDOS!$A:$A,FORNECEDOR!A1565)</f>
        <v>0</v>
      </c>
      <c r="C1565" s="3" t="e">
        <f>INDEX(PEDIDOS!$A:$D,MATCH(FORNECEDOR!A1565,PEDIDOS!$A:$A,0),2)</f>
        <v>#N/A</v>
      </c>
      <c r="D1565" s="3" t="e">
        <f>INDEX(PEDIDOS!$A:$D,MATCH(FORNECEDOR!A1565,PEDIDOS!$A:$A,0),3)</f>
        <v>#N/A</v>
      </c>
      <c r="E1565" s="3" t="e">
        <f>INDEX(PEDIDOS!$A:$D,MATCH(FORNECEDOR!A1565,PEDIDOS!$A:$A,0),4)</f>
        <v>#N/A</v>
      </c>
    </row>
    <row r="1566" spans="1:5" hidden="1" x14ac:dyDescent="0.25">
      <c r="A1566" s="1" t="s">
        <v>1565</v>
      </c>
      <c r="B1566" s="3">
        <f>COUNTIF(PEDIDOS!$A:$A,FORNECEDOR!A1566)</f>
        <v>0</v>
      </c>
      <c r="C1566" s="3" t="e">
        <f>INDEX(PEDIDOS!$A:$D,MATCH(FORNECEDOR!A1566,PEDIDOS!$A:$A,0),2)</f>
        <v>#N/A</v>
      </c>
      <c r="D1566" s="3" t="e">
        <f>INDEX(PEDIDOS!$A:$D,MATCH(FORNECEDOR!A1566,PEDIDOS!$A:$A,0),3)</f>
        <v>#N/A</v>
      </c>
      <c r="E1566" s="3" t="e">
        <f>INDEX(PEDIDOS!$A:$D,MATCH(FORNECEDOR!A1566,PEDIDOS!$A:$A,0),4)</f>
        <v>#N/A</v>
      </c>
    </row>
    <row r="1567" spans="1:5" hidden="1" x14ac:dyDescent="0.25">
      <c r="A1567" s="1" t="s">
        <v>1566</v>
      </c>
      <c r="B1567" s="3">
        <f>COUNTIF(PEDIDOS!$A:$A,FORNECEDOR!A1567)</f>
        <v>0</v>
      </c>
      <c r="C1567" s="3" t="e">
        <f>INDEX(PEDIDOS!$A:$D,MATCH(FORNECEDOR!A1567,PEDIDOS!$A:$A,0),2)</f>
        <v>#N/A</v>
      </c>
      <c r="D1567" s="3" t="e">
        <f>INDEX(PEDIDOS!$A:$D,MATCH(FORNECEDOR!A1567,PEDIDOS!$A:$A,0),3)</f>
        <v>#N/A</v>
      </c>
      <c r="E1567" s="3" t="e">
        <f>INDEX(PEDIDOS!$A:$D,MATCH(FORNECEDOR!A1567,PEDIDOS!$A:$A,0),4)</f>
        <v>#N/A</v>
      </c>
    </row>
    <row r="1568" spans="1:5" x14ac:dyDescent="0.25">
      <c r="A1568" s="1" t="s">
        <v>1567</v>
      </c>
      <c r="B1568" s="3">
        <f>COUNTIF(PEDIDOS!$A:$A,FORNECEDOR!A1568)</f>
        <v>1</v>
      </c>
      <c r="C1568" s="3" t="str">
        <f>INDEX(PEDIDOS!$A:$D,MATCH(FORNECEDOR!A1568,PEDIDOS!$A:$A,0),2)</f>
        <v>CD REGIS</v>
      </c>
      <c r="D1568" s="3" t="str">
        <f>INDEX(PEDIDOS!$A:$D,MATCH(FORNECEDOR!A1568,PEDIDOS!$A:$A,0),3)</f>
        <v>MATRIZ</v>
      </c>
      <c r="E1568" s="3" t="str">
        <f>INDEX(PEDIDOS!$A:$D,MATCH(FORNECEDOR!A1568,PEDIDOS!$A:$A,0),4)</f>
        <v>CD REGIS</v>
      </c>
    </row>
    <row r="1569" spans="1:5" hidden="1" x14ac:dyDescent="0.25">
      <c r="A1569" s="1" t="s">
        <v>1568</v>
      </c>
      <c r="B1569" s="3">
        <f>COUNTIF(PEDIDOS!$A:$A,FORNECEDOR!A1569)</f>
        <v>0</v>
      </c>
      <c r="C1569" s="3" t="e">
        <f>INDEX(PEDIDOS!$A:$D,MATCH(FORNECEDOR!A1569,PEDIDOS!$A:$A,0),2)</f>
        <v>#N/A</v>
      </c>
      <c r="D1569" s="3" t="e">
        <f>INDEX(PEDIDOS!$A:$D,MATCH(FORNECEDOR!A1569,PEDIDOS!$A:$A,0),3)</f>
        <v>#N/A</v>
      </c>
      <c r="E1569" s="3" t="e">
        <f>INDEX(PEDIDOS!$A:$D,MATCH(FORNECEDOR!A1569,PEDIDOS!$A:$A,0),4)</f>
        <v>#N/A</v>
      </c>
    </row>
    <row r="1570" spans="1:5" hidden="1" x14ac:dyDescent="0.25">
      <c r="A1570" s="1" t="s">
        <v>1569</v>
      </c>
      <c r="B1570" s="3">
        <f>COUNTIF(PEDIDOS!$A:$A,FORNECEDOR!A1570)</f>
        <v>0</v>
      </c>
      <c r="C1570" s="3" t="e">
        <f>INDEX(PEDIDOS!$A:$D,MATCH(FORNECEDOR!A1570,PEDIDOS!$A:$A,0),2)</f>
        <v>#N/A</v>
      </c>
      <c r="D1570" s="3" t="e">
        <f>INDEX(PEDIDOS!$A:$D,MATCH(FORNECEDOR!A1570,PEDIDOS!$A:$A,0),3)</f>
        <v>#N/A</v>
      </c>
      <c r="E1570" s="3" t="e">
        <f>INDEX(PEDIDOS!$A:$D,MATCH(FORNECEDOR!A1570,PEDIDOS!$A:$A,0),4)</f>
        <v>#N/A</v>
      </c>
    </row>
    <row r="1571" spans="1:5" hidden="1" x14ac:dyDescent="0.25">
      <c r="A1571" s="1" t="s">
        <v>1570</v>
      </c>
      <c r="B1571" s="3">
        <f>COUNTIF(PEDIDOS!$A:$A,FORNECEDOR!A1571)</f>
        <v>0</v>
      </c>
      <c r="C1571" s="3" t="e">
        <f>INDEX(PEDIDOS!$A:$D,MATCH(FORNECEDOR!A1571,PEDIDOS!$A:$A,0),2)</f>
        <v>#N/A</v>
      </c>
      <c r="D1571" s="3" t="e">
        <f>INDEX(PEDIDOS!$A:$D,MATCH(FORNECEDOR!A1571,PEDIDOS!$A:$A,0),3)</f>
        <v>#N/A</v>
      </c>
      <c r="E1571" s="3" t="e">
        <f>INDEX(PEDIDOS!$A:$D,MATCH(FORNECEDOR!A1571,PEDIDOS!$A:$A,0),4)</f>
        <v>#N/A</v>
      </c>
    </row>
    <row r="1572" spans="1:5" x14ac:dyDescent="0.25">
      <c r="A1572" s="1" t="s">
        <v>1571</v>
      </c>
      <c r="B1572" s="3">
        <f>COUNTIF(PEDIDOS!$A:$A,FORNECEDOR!A1572)</f>
        <v>2</v>
      </c>
      <c r="C1572" s="3" t="str">
        <f>INDEX(PEDIDOS!$A:$D,MATCH(FORNECEDOR!A1572,PEDIDOS!$A:$A,0),2)</f>
        <v>CD REGIS</v>
      </c>
      <c r="D1572" s="3" t="str">
        <f>INDEX(PEDIDOS!$A:$D,MATCH(FORNECEDOR!A1572,PEDIDOS!$A:$A,0),3)</f>
        <v>MATRIZ</v>
      </c>
      <c r="E1572" s="3" t="str">
        <f>INDEX(PEDIDOS!$A:$D,MATCH(FORNECEDOR!A1572,PEDIDOS!$A:$A,0),4)</f>
        <v>CD REGIS</v>
      </c>
    </row>
    <row r="1573" spans="1:5" x14ac:dyDescent="0.25">
      <c r="A1573" s="1" t="s">
        <v>1572</v>
      </c>
      <c r="B1573" s="3">
        <f>COUNTIF(PEDIDOS!$A:$A,FORNECEDOR!A1573)</f>
        <v>2</v>
      </c>
      <c r="C1573" s="3" t="str">
        <f>INDEX(PEDIDOS!$A:$D,MATCH(FORNECEDOR!A1573,PEDIDOS!$A:$A,0),2)</f>
        <v>CD REGIS</v>
      </c>
      <c r="D1573" s="3" t="str">
        <f>INDEX(PEDIDOS!$A:$D,MATCH(FORNECEDOR!A1573,PEDIDOS!$A:$A,0),3)</f>
        <v>MATRIZ</v>
      </c>
      <c r="E1573" s="3" t="str">
        <f>INDEX(PEDIDOS!$A:$D,MATCH(FORNECEDOR!A1573,PEDIDOS!$A:$A,0),4)</f>
        <v>CD REGIS</v>
      </c>
    </row>
    <row r="1574" spans="1:5" hidden="1" x14ac:dyDescent="0.25">
      <c r="A1574" s="1" t="s">
        <v>1573</v>
      </c>
      <c r="B1574" s="3">
        <f>COUNTIF(PEDIDOS!$A:$A,FORNECEDOR!A1574)</f>
        <v>0</v>
      </c>
      <c r="C1574" s="3" t="e">
        <f>INDEX(PEDIDOS!$A:$D,MATCH(FORNECEDOR!A1574,PEDIDOS!$A:$A,0),2)</f>
        <v>#N/A</v>
      </c>
      <c r="D1574" s="3" t="e">
        <f>INDEX(PEDIDOS!$A:$D,MATCH(FORNECEDOR!A1574,PEDIDOS!$A:$A,0),3)</f>
        <v>#N/A</v>
      </c>
      <c r="E1574" s="3" t="e">
        <f>INDEX(PEDIDOS!$A:$D,MATCH(FORNECEDOR!A1574,PEDIDOS!$A:$A,0),4)</f>
        <v>#N/A</v>
      </c>
    </row>
    <row r="1575" spans="1:5" hidden="1" x14ac:dyDescent="0.25">
      <c r="A1575" s="1" t="s">
        <v>1574</v>
      </c>
      <c r="B1575" s="3">
        <f>COUNTIF(PEDIDOS!$A:$A,FORNECEDOR!A1575)</f>
        <v>0</v>
      </c>
      <c r="C1575" s="3" t="e">
        <f>INDEX(PEDIDOS!$A:$D,MATCH(FORNECEDOR!A1575,PEDIDOS!$A:$A,0),2)</f>
        <v>#N/A</v>
      </c>
      <c r="D1575" s="3" t="e">
        <f>INDEX(PEDIDOS!$A:$D,MATCH(FORNECEDOR!A1575,PEDIDOS!$A:$A,0),3)</f>
        <v>#N/A</v>
      </c>
      <c r="E1575" s="3" t="e">
        <f>INDEX(PEDIDOS!$A:$D,MATCH(FORNECEDOR!A1575,PEDIDOS!$A:$A,0),4)</f>
        <v>#N/A</v>
      </c>
    </row>
    <row r="1576" spans="1:5" x14ac:dyDescent="0.25">
      <c r="A1576" s="1" t="s">
        <v>1575</v>
      </c>
      <c r="B1576" s="3">
        <f>COUNTIF(PEDIDOS!$A:$A,FORNECEDOR!A1576)</f>
        <v>1</v>
      </c>
      <c r="C1576" s="3" t="str">
        <f>INDEX(PEDIDOS!$A:$D,MATCH(FORNECEDOR!A1576,PEDIDOS!$A:$A,0),2)</f>
        <v>CD REGIS</v>
      </c>
      <c r="D1576" s="3" t="str">
        <f>INDEX(PEDIDOS!$A:$D,MATCH(FORNECEDOR!A1576,PEDIDOS!$A:$A,0),3)</f>
        <v>CD REGIS</v>
      </c>
      <c r="E1576" s="3" t="str">
        <f>INDEX(PEDIDOS!$A:$D,MATCH(FORNECEDOR!A1576,PEDIDOS!$A:$A,0),4)</f>
        <v>CD REGIS</v>
      </c>
    </row>
    <row r="1577" spans="1:5" x14ac:dyDescent="0.25">
      <c r="A1577" s="1" t="s">
        <v>1576</v>
      </c>
      <c r="B1577" s="3">
        <f>COUNTIF(PEDIDOS!$A:$A,FORNECEDOR!A1577)</f>
        <v>3</v>
      </c>
      <c r="C1577" s="3" t="str">
        <f>INDEX(PEDIDOS!$A:$D,MATCH(FORNECEDOR!A1577,PEDIDOS!$A:$A,0),2)</f>
        <v>CD ARAQUARI</v>
      </c>
      <c r="D1577" s="3" t="str">
        <f>INDEX(PEDIDOS!$A:$D,MATCH(FORNECEDOR!A1577,PEDIDOS!$A:$A,0),3)</f>
        <v>CD REGIS</v>
      </c>
      <c r="E1577" s="3" t="str">
        <f>INDEX(PEDIDOS!$A:$D,MATCH(FORNECEDOR!A1577,PEDIDOS!$A:$A,0),4)</f>
        <v>CD ARAQUARI</v>
      </c>
    </row>
    <row r="1578" spans="1:5" hidden="1" x14ac:dyDescent="0.25">
      <c r="A1578" s="1" t="s">
        <v>1577</v>
      </c>
      <c r="B1578" s="3">
        <f>COUNTIF(PEDIDOS!$A:$A,FORNECEDOR!A1578)</f>
        <v>0</v>
      </c>
      <c r="C1578" s="3" t="e">
        <f>INDEX(PEDIDOS!$A:$D,MATCH(FORNECEDOR!A1578,PEDIDOS!$A:$A,0),2)</f>
        <v>#N/A</v>
      </c>
      <c r="D1578" s="3" t="e">
        <f>INDEX(PEDIDOS!$A:$D,MATCH(FORNECEDOR!A1578,PEDIDOS!$A:$A,0),3)</f>
        <v>#N/A</v>
      </c>
      <c r="E1578" s="3" t="e">
        <f>INDEX(PEDIDOS!$A:$D,MATCH(FORNECEDOR!A1578,PEDIDOS!$A:$A,0),4)</f>
        <v>#N/A</v>
      </c>
    </row>
    <row r="1579" spans="1:5" x14ac:dyDescent="0.25">
      <c r="A1579" s="1" t="s">
        <v>1578</v>
      </c>
      <c r="B1579" s="3">
        <f>COUNTIF(PEDIDOS!$A:$A,FORNECEDOR!A1579)</f>
        <v>3</v>
      </c>
      <c r="C1579" s="3" t="str">
        <f>INDEX(PEDIDOS!$A:$D,MATCH(FORNECEDOR!A1579,PEDIDOS!$A:$A,0),2)</f>
        <v>ANPPLA</v>
      </c>
      <c r="D1579" s="3" t="str">
        <f>INDEX(PEDIDOS!$A:$D,MATCH(FORNECEDOR!A1579,PEDIDOS!$A:$A,0),3)</f>
        <v>ANPPLA</v>
      </c>
      <c r="E1579" s="3" t="str">
        <f>INDEX(PEDIDOS!$A:$D,MATCH(FORNECEDOR!A1579,PEDIDOS!$A:$A,0),4)</f>
        <v>ANPPLA</v>
      </c>
    </row>
    <row r="1580" spans="1:5" hidden="1" x14ac:dyDescent="0.25">
      <c r="A1580" s="1" t="s">
        <v>1579</v>
      </c>
      <c r="B1580" s="3">
        <f>COUNTIF(PEDIDOS!$A:$A,FORNECEDOR!A1580)</f>
        <v>0</v>
      </c>
      <c r="C1580" s="3" t="e">
        <f>INDEX(PEDIDOS!$A:$D,MATCH(FORNECEDOR!A1580,PEDIDOS!$A:$A,0),2)</f>
        <v>#N/A</v>
      </c>
      <c r="D1580" s="3" t="e">
        <f>INDEX(PEDIDOS!$A:$D,MATCH(FORNECEDOR!A1580,PEDIDOS!$A:$A,0),3)</f>
        <v>#N/A</v>
      </c>
      <c r="E1580" s="3" t="e">
        <f>INDEX(PEDIDOS!$A:$D,MATCH(FORNECEDOR!A1580,PEDIDOS!$A:$A,0),4)</f>
        <v>#N/A</v>
      </c>
    </row>
    <row r="1581" spans="1:5" hidden="1" x14ac:dyDescent="0.25">
      <c r="A1581" s="1" t="s">
        <v>1580</v>
      </c>
      <c r="B1581" s="3">
        <f>COUNTIF(PEDIDOS!$A:$A,FORNECEDOR!A1581)</f>
        <v>0</v>
      </c>
      <c r="C1581" s="3" t="e">
        <f>INDEX(PEDIDOS!$A:$D,MATCH(FORNECEDOR!A1581,PEDIDOS!$A:$A,0),2)</f>
        <v>#N/A</v>
      </c>
      <c r="D1581" s="3" t="e">
        <f>INDEX(PEDIDOS!$A:$D,MATCH(FORNECEDOR!A1581,PEDIDOS!$A:$A,0),3)</f>
        <v>#N/A</v>
      </c>
      <c r="E1581" s="3" t="e">
        <f>INDEX(PEDIDOS!$A:$D,MATCH(FORNECEDOR!A1581,PEDIDOS!$A:$A,0),4)</f>
        <v>#N/A</v>
      </c>
    </row>
    <row r="1582" spans="1:5" hidden="1" x14ac:dyDescent="0.25">
      <c r="A1582" s="1" t="s">
        <v>1581</v>
      </c>
      <c r="B1582" s="3">
        <f>COUNTIF(PEDIDOS!$A:$A,FORNECEDOR!A1582)</f>
        <v>0</v>
      </c>
      <c r="C1582" s="3" t="e">
        <f>INDEX(PEDIDOS!$A:$D,MATCH(FORNECEDOR!A1582,PEDIDOS!$A:$A,0),2)</f>
        <v>#N/A</v>
      </c>
      <c r="D1582" s="3" t="e">
        <f>INDEX(PEDIDOS!$A:$D,MATCH(FORNECEDOR!A1582,PEDIDOS!$A:$A,0),3)</f>
        <v>#N/A</v>
      </c>
      <c r="E1582" s="3" t="e">
        <f>INDEX(PEDIDOS!$A:$D,MATCH(FORNECEDOR!A1582,PEDIDOS!$A:$A,0),4)</f>
        <v>#N/A</v>
      </c>
    </row>
    <row r="1583" spans="1:5" hidden="1" x14ac:dyDescent="0.25">
      <c r="A1583" s="1" t="s">
        <v>1582</v>
      </c>
      <c r="B1583" s="3">
        <f>COUNTIF(PEDIDOS!$A:$A,FORNECEDOR!A1583)</f>
        <v>0</v>
      </c>
      <c r="C1583" s="3" t="e">
        <f>INDEX(PEDIDOS!$A:$D,MATCH(FORNECEDOR!A1583,PEDIDOS!$A:$A,0),2)</f>
        <v>#N/A</v>
      </c>
      <c r="D1583" s="3" t="e">
        <f>INDEX(PEDIDOS!$A:$D,MATCH(FORNECEDOR!A1583,PEDIDOS!$A:$A,0),3)</f>
        <v>#N/A</v>
      </c>
      <c r="E1583" s="3" t="e">
        <f>INDEX(PEDIDOS!$A:$D,MATCH(FORNECEDOR!A1583,PEDIDOS!$A:$A,0),4)</f>
        <v>#N/A</v>
      </c>
    </row>
    <row r="1584" spans="1:5" hidden="1" x14ac:dyDescent="0.25">
      <c r="A1584" s="1" t="s">
        <v>1583</v>
      </c>
      <c r="B1584" s="3">
        <f>COUNTIF(PEDIDOS!$A:$A,FORNECEDOR!A1584)</f>
        <v>0</v>
      </c>
      <c r="C1584" s="3" t="e">
        <f>INDEX(PEDIDOS!$A:$D,MATCH(FORNECEDOR!A1584,PEDIDOS!$A:$A,0),2)</f>
        <v>#N/A</v>
      </c>
      <c r="D1584" s="3" t="e">
        <f>INDEX(PEDIDOS!$A:$D,MATCH(FORNECEDOR!A1584,PEDIDOS!$A:$A,0),3)</f>
        <v>#N/A</v>
      </c>
      <c r="E1584" s="3" t="e">
        <f>INDEX(PEDIDOS!$A:$D,MATCH(FORNECEDOR!A1584,PEDIDOS!$A:$A,0),4)</f>
        <v>#N/A</v>
      </c>
    </row>
    <row r="1585" spans="1:5" x14ac:dyDescent="0.25">
      <c r="A1585" s="1" t="s">
        <v>1584</v>
      </c>
      <c r="B1585" s="3">
        <f>COUNTIF(PEDIDOS!$A:$A,FORNECEDOR!A1585)</f>
        <v>1</v>
      </c>
      <c r="C1585" s="3" t="str">
        <f>INDEX(PEDIDOS!$A:$D,MATCH(FORNECEDOR!A1585,PEDIDOS!$A:$A,0),2)</f>
        <v>POA</v>
      </c>
      <c r="D1585" s="3" t="str">
        <f>INDEX(PEDIDOS!$A:$D,MATCH(FORNECEDOR!A1585,PEDIDOS!$A:$A,0),3)</f>
        <v>POA</v>
      </c>
      <c r="E1585" s="3" t="str">
        <f>INDEX(PEDIDOS!$A:$D,MATCH(FORNECEDOR!A1585,PEDIDOS!$A:$A,0),4)</f>
        <v>POA</v>
      </c>
    </row>
    <row r="1586" spans="1:5" x14ac:dyDescent="0.25">
      <c r="A1586" s="1" t="s">
        <v>1585</v>
      </c>
      <c r="B1586" s="3">
        <f>COUNTIF(PEDIDOS!$A:$A,FORNECEDOR!A1586)</f>
        <v>2</v>
      </c>
      <c r="C1586" s="3" t="str">
        <f>INDEX(PEDIDOS!$A:$D,MATCH(FORNECEDOR!A1586,PEDIDOS!$A:$A,0),2)</f>
        <v>CD ARAQUARI</v>
      </c>
      <c r="D1586" s="3" t="str">
        <f>INDEX(PEDIDOS!$A:$D,MATCH(FORNECEDOR!A1586,PEDIDOS!$A:$A,0),3)</f>
        <v>MATRIZ</v>
      </c>
      <c r="E1586" s="3" t="str">
        <f>INDEX(PEDIDOS!$A:$D,MATCH(FORNECEDOR!A1586,PEDIDOS!$A:$A,0),4)</f>
        <v>CD ARAQUARI</v>
      </c>
    </row>
    <row r="1587" spans="1:5" x14ac:dyDescent="0.25">
      <c r="A1587" s="1" t="s">
        <v>1586</v>
      </c>
      <c r="B1587" s="3">
        <f>COUNTIF(PEDIDOS!$A:$A,FORNECEDOR!A1587)</f>
        <v>6</v>
      </c>
      <c r="C1587" s="3" t="str">
        <f>INDEX(PEDIDOS!$A:$D,MATCH(FORNECEDOR!A1587,PEDIDOS!$A:$A,0),2)</f>
        <v>CD ARAQUARI</v>
      </c>
      <c r="D1587" s="3" t="str">
        <f>INDEX(PEDIDOS!$A:$D,MATCH(FORNECEDOR!A1587,PEDIDOS!$A:$A,0),3)</f>
        <v>MATRIZ</v>
      </c>
      <c r="E1587" s="3" t="str">
        <f>INDEX(PEDIDOS!$A:$D,MATCH(FORNECEDOR!A1587,PEDIDOS!$A:$A,0),4)</f>
        <v>CD ARAQUARI</v>
      </c>
    </row>
    <row r="1588" spans="1:5" hidden="1" x14ac:dyDescent="0.25">
      <c r="A1588" s="1" t="s">
        <v>1587</v>
      </c>
      <c r="B1588" s="3">
        <f>COUNTIF(PEDIDOS!$A:$A,FORNECEDOR!A1588)</f>
        <v>0</v>
      </c>
      <c r="C1588" s="3" t="e">
        <f>INDEX(PEDIDOS!$A:$D,MATCH(FORNECEDOR!A1588,PEDIDOS!$A:$A,0),2)</f>
        <v>#N/A</v>
      </c>
      <c r="D1588" s="3" t="e">
        <f>INDEX(PEDIDOS!$A:$D,MATCH(FORNECEDOR!A1588,PEDIDOS!$A:$A,0),3)</f>
        <v>#N/A</v>
      </c>
      <c r="E1588" s="3" t="e">
        <f>INDEX(PEDIDOS!$A:$D,MATCH(FORNECEDOR!A1588,PEDIDOS!$A:$A,0),4)</f>
        <v>#N/A</v>
      </c>
    </row>
    <row r="1589" spans="1:5" hidden="1" x14ac:dyDescent="0.25">
      <c r="A1589" s="1" t="s">
        <v>1588</v>
      </c>
      <c r="B1589" s="3">
        <f>COUNTIF(PEDIDOS!$A:$A,FORNECEDOR!A1589)</f>
        <v>0</v>
      </c>
      <c r="C1589" s="3" t="e">
        <f>INDEX(PEDIDOS!$A:$D,MATCH(FORNECEDOR!A1589,PEDIDOS!$A:$A,0),2)</f>
        <v>#N/A</v>
      </c>
      <c r="D1589" s="3" t="e">
        <f>INDEX(PEDIDOS!$A:$D,MATCH(FORNECEDOR!A1589,PEDIDOS!$A:$A,0),3)</f>
        <v>#N/A</v>
      </c>
      <c r="E1589" s="3" t="e">
        <f>INDEX(PEDIDOS!$A:$D,MATCH(FORNECEDOR!A1589,PEDIDOS!$A:$A,0),4)</f>
        <v>#N/A</v>
      </c>
    </row>
    <row r="1590" spans="1:5" hidden="1" x14ac:dyDescent="0.25">
      <c r="A1590" s="1" t="s">
        <v>1589</v>
      </c>
      <c r="B1590" s="3">
        <f>COUNTIF(PEDIDOS!$A:$A,FORNECEDOR!A1590)</f>
        <v>0</v>
      </c>
      <c r="C1590" s="3" t="e">
        <f>INDEX(PEDIDOS!$A:$D,MATCH(FORNECEDOR!A1590,PEDIDOS!$A:$A,0),2)</f>
        <v>#N/A</v>
      </c>
      <c r="D1590" s="3" t="e">
        <f>INDEX(PEDIDOS!$A:$D,MATCH(FORNECEDOR!A1590,PEDIDOS!$A:$A,0),3)</f>
        <v>#N/A</v>
      </c>
      <c r="E1590" s="3" t="e">
        <f>INDEX(PEDIDOS!$A:$D,MATCH(FORNECEDOR!A1590,PEDIDOS!$A:$A,0),4)</f>
        <v>#N/A</v>
      </c>
    </row>
    <row r="1591" spans="1:5" hidden="1" x14ac:dyDescent="0.25">
      <c r="A1591" s="1" t="s">
        <v>1590</v>
      </c>
      <c r="B1591" s="3">
        <f>COUNTIF(PEDIDOS!$A:$A,FORNECEDOR!A1591)</f>
        <v>0</v>
      </c>
      <c r="C1591" s="3" t="e">
        <f>INDEX(PEDIDOS!$A:$D,MATCH(FORNECEDOR!A1591,PEDIDOS!$A:$A,0),2)</f>
        <v>#N/A</v>
      </c>
      <c r="D1591" s="3" t="e">
        <f>INDEX(PEDIDOS!$A:$D,MATCH(FORNECEDOR!A1591,PEDIDOS!$A:$A,0),3)</f>
        <v>#N/A</v>
      </c>
      <c r="E1591" s="3" t="e">
        <f>INDEX(PEDIDOS!$A:$D,MATCH(FORNECEDOR!A1591,PEDIDOS!$A:$A,0),4)</f>
        <v>#N/A</v>
      </c>
    </row>
    <row r="1592" spans="1:5" hidden="1" x14ac:dyDescent="0.25">
      <c r="A1592" s="1" t="s">
        <v>1591</v>
      </c>
      <c r="B1592" s="3">
        <f>COUNTIF(PEDIDOS!$A:$A,FORNECEDOR!A1592)</f>
        <v>0</v>
      </c>
      <c r="C1592" s="3" t="e">
        <f>INDEX(PEDIDOS!$A:$D,MATCH(FORNECEDOR!A1592,PEDIDOS!$A:$A,0),2)</f>
        <v>#N/A</v>
      </c>
      <c r="D1592" s="3" t="e">
        <f>INDEX(PEDIDOS!$A:$D,MATCH(FORNECEDOR!A1592,PEDIDOS!$A:$A,0),3)</f>
        <v>#N/A</v>
      </c>
      <c r="E1592" s="3" t="e">
        <f>INDEX(PEDIDOS!$A:$D,MATCH(FORNECEDOR!A1592,PEDIDOS!$A:$A,0),4)</f>
        <v>#N/A</v>
      </c>
    </row>
    <row r="1593" spans="1:5" x14ac:dyDescent="0.25">
      <c r="A1593" s="1" t="s">
        <v>1592</v>
      </c>
      <c r="B1593" s="3">
        <f>COUNTIF(PEDIDOS!$A:$A,FORNECEDOR!A1593)</f>
        <v>4</v>
      </c>
      <c r="C1593" s="3" t="str">
        <f>INDEX(PEDIDOS!$A:$D,MATCH(FORNECEDOR!A1593,PEDIDOS!$A:$A,0),2)</f>
        <v>CD ARAQUARI</v>
      </c>
      <c r="D1593" s="3" t="str">
        <f>INDEX(PEDIDOS!$A:$D,MATCH(FORNECEDOR!A1593,PEDIDOS!$A:$A,0),3)</f>
        <v>MATRIZ</v>
      </c>
      <c r="E1593" s="3" t="str">
        <f>INDEX(PEDIDOS!$A:$D,MATCH(FORNECEDOR!A1593,PEDIDOS!$A:$A,0),4)</f>
        <v>CD ARAQUARI</v>
      </c>
    </row>
    <row r="1594" spans="1:5" hidden="1" x14ac:dyDescent="0.25">
      <c r="A1594" s="1" t="s">
        <v>1593</v>
      </c>
      <c r="B1594" s="3">
        <f>COUNTIF(PEDIDOS!$A:$A,FORNECEDOR!A1594)</f>
        <v>0</v>
      </c>
      <c r="C1594" s="3" t="e">
        <f>INDEX(PEDIDOS!$A:$D,MATCH(FORNECEDOR!A1594,PEDIDOS!$A:$A,0),2)</f>
        <v>#N/A</v>
      </c>
      <c r="D1594" s="3" t="e">
        <f>INDEX(PEDIDOS!$A:$D,MATCH(FORNECEDOR!A1594,PEDIDOS!$A:$A,0),3)</f>
        <v>#N/A</v>
      </c>
      <c r="E1594" s="3" t="e">
        <f>INDEX(PEDIDOS!$A:$D,MATCH(FORNECEDOR!A1594,PEDIDOS!$A:$A,0),4)</f>
        <v>#N/A</v>
      </c>
    </row>
    <row r="1595" spans="1:5" hidden="1" x14ac:dyDescent="0.25">
      <c r="A1595" s="1" t="s">
        <v>1594</v>
      </c>
      <c r="B1595" s="3">
        <f>COUNTIF(PEDIDOS!$A:$A,FORNECEDOR!A1595)</f>
        <v>0</v>
      </c>
      <c r="C1595" s="3" t="e">
        <f>INDEX(PEDIDOS!$A:$D,MATCH(FORNECEDOR!A1595,PEDIDOS!$A:$A,0),2)</f>
        <v>#N/A</v>
      </c>
      <c r="D1595" s="3" t="e">
        <f>INDEX(PEDIDOS!$A:$D,MATCH(FORNECEDOR!A1595,PEDIDOS!$A:$A,0),3)</f>
        <v>#N/A</v>
      </c>
      <c r="E1595" s="3" t="e">
        <f>INDEX(PEDIDOS!$A:$D,MATCH(FORNECEDOR!A1595,PEDIDOS!$A:$A,0),4)</f>
        <v>#N/A</v>
      </c>
    </row>
    <row r="1596" spans="1:5" x14ac:dyDescent="0.25">
      <c r="A1596" s="1" t="s">
        <v>1595</v>
      </c>
      <c r="B1596" s="3">
        <f>COUNTIF(PEDIDOS!$A:$A,FORNECEDOR!A1596)</f>
        <v>1</v>
      </c>
      <c r="C1596" s="3" t="str">
        <f>INDEX(PEDIDOS!$A:$D,MATCH(FORNECEDOR!A1596,PEDIDOS!$A:$A,0),2)</f>
        <v>TAUBATE</v>
      </c>
      <c r="D1596" s="3" t="str">
        <f>INDEX(PEDIDOS!$A:$D,MATCH(FORNECEDOR!A1596,PEDIDOS!$A:$A,0),3)</f>
        <v>TAUBATE</v>
      </c>
      <c r="E1596" s="3" t="str">
        <f>INDEX(PEDIDOS!$A:$D,MATCH(FORNECEDOR!A1596,PEDIDOS!$A:$A,0),4)</f>
        <v>TAUBATE</v>
      </c>
    </row>
    <row r="1597" spans="1:5" x14ac:dyDescent="0.25">
      <c r="A1597" s="1" t="s">
        <v>1596</v>
      </c>
      <c r="B1597" s="3">
        <f>COUNTIF(PEDIDOS!$A:$A,FORNECEDOR!A1597)</f>
        <v>2</v>
      </c>
      <c r="C1597" s="3" t="str">
        <f>INDEX(PEDIDOS!$A:$D,MATCH(FORNECEDOR!A1597,PEDIDOS!$A:$A,0),2)</f>
        <v>PIRASSUNUNGA</v>
      </c>
      <c r="D1597" s="3" t="str">
        <f>INDEX(PEDIDOS!$A:$D,MATCH(FORNECEDOR!A1597,PEDIDOS!$A:$A,0),3)</f>
        <v>PIRASSUNUNGA</v>
      </c>
      <c r="E1597" s="3" t="str">
        <f>INDEX(PEDIDOS!$A:$D,MATCH(FORNECEDOR!A1597,PEDIDOS!$A:$A,0),4)</f>
        <v>PIRASSUNUNGA</v>
      </c>
    </row>
    <row r="1598" spans="1:5" x14ac:dyDescent="0.25">
      <c r="A1598" s="1" t="s">
        <v>1597</v>
      </c>
      <c r="B1598" s="3">
        <f>COUNTIF(PEDIDOS!$A:$A,FORNECEDOR!A1598)</f>
        <v>1</v>
      </c>
      <c r="C1598" s="3" t="str">
        <f>INDEX(PEDIDOS!$A:$D,MATCH(FORNECEDOR!A1598,PEDIDOS!$A:$A,0),2)</f>
        <v>SP - PARI</v>
      </c>
      <c r="D1598" s="3" t="str">
        <f>INDEX(PEDIDOS!$A:$D,MATCH(FORNECEDOR!A1598,PEDIDOS!$A:$A,0),3)</f>
        <v>SP - PARI</v>
      </c>
      <c r="E1598" s="3" t="str">
        <f>INDEX(PEDIDOS!$A:$D,MATCH(FORNECEDOR!A1598,PEDIDOS!$A:$A,0),4)</f>
        <v>SP - PARI</v>
      </c>
    </row>
    <row r="1599" spans="1:5" hidden="1" x14ac:dyDescent="0.25">
      <c r="A1599" s="1" t="s">
        <v>1598</v>
      </c>
      <c r="B1599" s="3">
        <f>COUNTIF(PEDIDOS!$A:$A,FORNECEDOR!A1599)</f>
        <v>0</v>
      </c>
      <c r="C1599" s="3" t="e">
        <f>INDEX(PEDIDOS!$A:$D,MATCH(FORNECEDOR!A1599,PEDIDOS!$A:$A,0),2)</f>
        <v>#N/A</v>
      </c>
      <c r="D1599" s="3" t="e">
        <f>INDEX(PEDIDOS!$A:$D,MATCH(FORNECEDOR!A1599,PEDIDOS!$A:$A,0),3)</f>
        <v>#N/A</v>
      </c>
      <c r="E1599" s="3" t="e">
        <f>INDEX(PEDIDOS!$A:$D,MATCH(FORNECEDOR!A1599,PEDIDOS!$A:$A,0),4)</f>
        <v>#N/A</v>
      </c>
    </row>
    <row r="1600" spans="1:5" hidden="1" x14ac:dyDescent="0.25">
      <c r="A1600" s="1" t="s">
        <v>1599</v>
      </c>
      <c r="B1600" s="3">
        <f>COUNTIF(PEDIDOS!$A:$A,FORNECEDOR!A1600)</f>
        <v>0</v>
      </c>
      <c r="C1600" s="3" t="e">
        <f>INDEX(PEDIDOS!$A:$D,MATCH(FORNECEDOR!A1600,PEDIDOS!$A:$A,0),2)</f>
        <v>#N/A</v>
      </c>
      <c r="D1600" s="3" t="e">
        <f>INDEX(PEDIDOS!$A:$D,MATCH(FORNECEDOR!A1600,PEDIDOS!$A:$A,0),3)</f>
        <v>#N/A</v>
      </c>
      <c r="E1600" s="3" t="e">
        <f>INDEX(PEDIDOS!$A:$D,MATCH(FORNECEDOR!A1600,PEDIDOS!$A:$A,0),4)</f>
        <v>#N/A</v>
      </c>
    </row>
    <row r="1601" spans="1:5" hidden="1" x14ac:dyDescent="0.25">
      <c r="A1601" s="1" t="s">
        <v>1600</v>
      </c>
      <c r="B1601" s="3">
        <f>COUNTIF(PEDIDOS!$A:$A,FORNECEDOR!A1601)</f>
        <v>0</v>
      </c>
      <c r="C1601" s="3" t="e">
        <f>INDEX(PEDIDOS!$A:$D,MATCH(FORNECEDOR!A1601,PEDIDOS!$A:$A,0),2)</f>
        <v>#N/A</v>
      </c>
      <c r="D1601" s="3" t="e">
        <f>INDEX(PEDIDOS!$A:$D,MATCH(FORNECEDOR!A1601,PEDIDOS!$A:$A,0),3)</f>
        <v>#N/A</v>
      </c>
      <c r="E1601" s="3" t="e">
        <f>INDEX(PEDIDOS!$A:$D,MATCH(FORNECEDOR!A1601,PEDIDOS!$A:$A,0),4)</f>
        <v>#N/A</v>
      </c>
    </row>
    <row r="1602" spans="1:5" hidden="1" x14ac:dyDescent="0.25">
      <c r="A1602" s="1" t="s">
        <v>1601</v>
      </c>
      <c r="B1602" s="3">
        <f>COUNTIF(PEDIDOS!$A:$A,FORNECEDOR!A1602)</f>
        <v>0</v>
      </c>
      <c r="C1602" s="3" t="e">
        <f>INDEX(PEDIDOS!$A:$D,MATCH(FORNECEDOR!A1602,PEDIDOS!$A:$A,0),2)</f>
        <v>#N/A</v>
      </c>
      <c r="D1602" s="3" t="e">
        <f>INDEX(PEDIDOS!$A:$D,MATCH(FORNECEDOR!A1602,PEDIDOS!$A:$A,0),3)</f>
        <v>#N/A</v>
      </c>
      <c r="E1602" s="3" t="e">
        <f>INDEX(PEDIDOS!$A:$D,MATCH(FORNECEDOR!A1602,PEDIDOS!$A:$A,0),4)</f>
        <v>#N/A</v>
      </c>
    </row>
    <row r="1603" spans="1:5" hidden="1" x14ac:dyDescent="0.25">
      <c r="A1603" s="1" t="s">
        <v>1602</v>
      </c>
      <c r="B1603" s="3">
        <f>COUNTIF(PEDIDOS!$A:$A,FORNECEDOR!A1603)</f>
        <v>0</v>
      </c>
      <c r="C1603" s="3" t="e">
        <f>INDEX(PEDIDOS!$A:$D,MATCH(FORNECEDOR!A1603,PEDIDOS!$A:$A,0),2)</f>
        <v>#N/A</v>
      </c>
      <c r="D1603" s="3" t="e">
        <f>INDEX(PEDIDOS!$A:$D,MATCH(FORNECEDOR!A1603,PEDIDOS!$A:$A,0),3)</f>
        <v>#N/A</v>
      </c>
      <c r="E1603" s="3" t="e">
        <f>INDEX(PEDIDOS!$A:$D,MATCH(FORNECEDOR!A1603,PEDIDOS!$A:$A,0),4)</f>
        <v>#N/A</v>
      </c>
    </row>
    <row r="1604" spans="1:5" x14ac:dyDescent="0.25">
      <c r="A1604" s="1" t="s">
        <v>1603</v>
      </c>
      <c r="B1604" s="3">
        <f>COUNTIF(PEDIDOS!$A:$A,FORNECEDOR!A1604)</f>
        <v>1</v>
      </c>
      <c r="C1604" s="3" t="str">
        <f>INDEX(PEDIDOS!$A:$D,MATCH(FORNECEDOR!A1604,PEDIDOS!$A:$A,0),2)</f>
        <v>CD REGIS</v>
      </c>
      <c r="D1604" s="3" t="str">
        <f>INDEX(PEDIDOS!$A:$D,MATCH(FORNECEDOR!A1604,PEDIDOS!$A:$A,0),3)</f>
        <v>MATRIZ</v>
      </c>
      <c r="E1604" s="3" t="str">
        <f>INDEX(PEDIDOS!$A:$D,MATCH(FORNECEDOR!A1604,PEDIDOS!$A:$A,0),4)</f>
        <v>CD REGIS</v>
      </c>
    </row>
    <row r="1605" spans="1:5" x14ac:dyDescent="0.25">
      <c r="A1605" s="1" t="s">
        <v>1604</v>
      </c>
      <c r="B1605" s="3">
        <f>COUNTIF(PEDIDOS!$A:$A,FORNECEDOR!A1605)</f>
        <v>1</v>
      </c>
      <c r="C1605" s="3" t="str">
        <f>INDEX(PEDIDOS!$A:$D,MATCH(FORNECEDOR!A1605,PEDIDOS!$A:$A,0),2)</f>
        <v>MATRIZ</v>
      </c>
      <c r="D1605" s="3" t="str">
        <f>INDEX(PEDIDOS!$A:$D,MATCH(FORNECEDOR!A1605,PEDIDOS!$A:$A,0),3)</f>
        <v>MATRIZ</v>
      </c>
      <c r="E1605" s="3" t="str">
        <f>INDEX(PEDIDOS!$A:$D,MATCH(FORNECEDOR!A1605,PEDIDOS!$A:$A,0),4)</f>
        <v>MATRIZ</v>
      </c>
    </row>
    <row r="1606" spans="1:5" hidden="1" x14ac:dyDescent="0.25">
      <c r="A1606" s="1" t="s">
        <v>1605</v>
      </c>
      <c r="B1606" s="3">
        <f>COUNTIF(PEDIDOS!$A:$A,FORNECEDOR!A1606)</f>
        <v>0</v>
      </c>
      <c r="C1606" s="3" t="e">
        <f>INDEX(PEDIDOS!$A:$D,MATCH(FORNECEDOR!A1606,PEDIDOS!$A:$A,0),2)</f>
        <v>#N/A</v>
      </c>
      <c r="D1606" s="3" t="e">
        <f>INDEX(PEDIDOS!$A:$D,MATCH(FORNECEDOR!A1606,PEDIDOS!$A:$A,0),3)</f>
        <v>#N/A</v>
      </c>
      <c r="E1606" s="3" t="e">
        <f>INDEX(PEDIDOS!$A:$D,MATCH(FORNECEDOR!A1606,PEDIDOS!$A:$A,0),4)</f>
        <v>#N/A</v>
      </c>
    </row>
    <row r="1607" spans="1:5" x14ac:dyDescent="0.25">
      <c r="A1607" s="1" t="s">
        <v>1606</v>
      </c>
      <c r="B1607" s="3">
        <f>COUNTIF(PEDIDOS!$A:$A,FORNECEDOR!A1607)</f>
        <v>29</v>
      </c>
      <c r="C1607" s="3" t="str">
        <f>INDEX(PEDIDOS!$A:$D,MATCH(FORNECEDOR!A1607,PEDIDOS!$A:$A,0),2)</f>
        <v>AVANTI</v>
      </c>
      <c r="D1607" s="3" t="str">
        <f>INDEX(PEDIDOS!$A:$D,MATCH(FORNECEDOR!A1607,PEDIDOS!$A:$A,0),3)</f>
        <v>AVANTI</v>
      </c>
      <c r="E1607" s="3" t="str">
        <f>INDEX(PEDIDOS!$A:$D,MATCH(FORNECEDOR!A1607,PEDIDOS!$A:$A,0),4)</f>
        <v>AVANTI</v>
      </c>
    </row>
    <row r="1608" spans="1:5" hidden="1" x14ac:dyDescent="0.25">
      <c r="A1608" s="1" t="s">
        <v>1607</v>
      </c>
      <c r="B1608" s="3">
        <f>COUNTIF(PEDIDOS!$A:$A,FORNECEDOR!A1608)</f>
        <v>0</v>
      </c>
      <c r="C1608" s="3" t="e">
        <f>INDEX(PEDIDOS!$A:$D,MATCH(FORNECEDOR!A1608,PEDIDOS!$A:$A,0),2)</f>
        <v>#N/A</v>
      </c>
      <c r="D1608" s="3" t="e">
        <f>INDEX(PEDIDOS!$A:$D,MATCH(FORNECEDOR!A1608,PEDIDOS!$A:$A,0),3)</f>
        <v>#N/A</v>
      </c>
      <c r="E1608" s="3" t="e">
        <f>INDEX(PEDIDOS!$A:$D,MATCH(FORNECEDOR!A1608,PEDIDOS!$A:$A,0),4)</f>
        <v>#N/A</v>
      </c>
    </row>
    <row r="1609" spans="1:5" x14ac:dyDescent="0.25">
      <c r="A1609" s="1" t="s">
        <v>1608</v>
      </c>
      <c r="B1609" s="3">
        <f>COUNTIF(PEDIDOS!$A:$A,FORNECEDOR!A1609)</f>
        <v>1</v>
      </c>
      <c r="C1609" s="3" t="str">
        <f>INDEX(PEDIDOS!$A:$D,MATCH(FORNECEDOR!A1609,PEDIDOS!$A:$A,0),2)</f>
        <v>SP - PARI</v>
      </c>
      <c r="D1609" s="3" t="str">
        <f>INDEX(PEDIDOS!$A:$D,MATCH(FORNECEDOR!A1609,PEDIDOS!$A:$A,0),3)</f>
        <v>SP - PARI</v>
      </c>
      <c r="E1609" s="3" t="str">
        <f>INDEX(PEDIDOS!$A:$D,MATCH(FORNECEDOR!A1609,PEDIDOS!$A:$A,0),4)</f>
        <v>SP - PARI</v>
      </c>
    </row>
    <row r="1610" spans="1:5" hidden="1" x14ac:dyDescent="0.25">
      <c r="A1610" s="1" t="s">
        <v>1609</v>
      </c>
      <c r="B1610" s="3">
        <f>COUNTIF(PEDIDOS!$A:$A,FORNECEDOR!A1610)</f>
        <v>0</v>
      </c>
      <c r="C1610" s="3" t="e">
        <f>INDEX(PEDIDOS!$A:$D,MATCH(FORNECEDOR!A1610,PEDIDOS!$A:$A,0),2)</f>
        <v>#N/A</v>
      </c>
      <c r="D1610" s="3" t="e">
        <f>INDEX(PEDIDOS!$A:$D,MATCH(FORNECEDOR!A1610,PEDIDOS!$A:$A,0),3)</f>
        <v>#N/A</v>
      </c>
      <c r="E1610" s="3" t="e">
        <f>INDEX(PEDIDOS!$A:$D,MATCH(FORNECEDOR!A1610,PEDIDOS!$A:$A,0),4)</f>
        <v>#N/A</v>
      </c>
    </row>
    <row r="1611" spans="1:5" hidden="1" x14ac:dyDescent="0.25">
      <c r="A1611" s="1" t="s">
        <v>1610</v>
      </c>
      <c r="B1611" s="3">
        <f>COUNTIF(PEDIDOS!$A:$A,FORNECEDOR!A1611)</f>
        <v>0</v>
      </c>
      <c r="C1611" s="3" t="e">
        <f>INDEX(PEDIDOS!$A:$D,MATCH(FORNECEDOR!A1611,PEDIDOS!$A:$A,0),2)</f>
        <v>#N/A</v>
      </c>
      <c r="D1611" s="3" t="e">
        <f>INDEX(PEDIDOS!$A:$D,MATCH(FORNECEDOR!A1611,PEDIDOS!$A:$A,0),3)</f>
        <v>#N/A</v>
      </c>
      <c r="E1611" s="3" t="e">
        <f>INDEX(PEDIDOS!$A:$D,MATCH(FORNECEDOR!A1611,PEDIDOS!$A:$A,0),4)</f>
        <v>#N/A</v>
      </c>
    </row>
    <row r="1612" spans="1:5" hidden="1" x14ac:dyDescent="0.25">
      <c r="A1612" s="1" t="s">
        <v>1611</v>
      </c>
      <c r="B1612" s="3">
        <f>COUNTIF(PEDIDOS!$A:$A,FORNECEDOR!A1612)</f>
        <v>0</v>
      </c>
      <c r="C1612" s="3" t="e">
        <f>INDEX(PEDIDOS!$A:$D,MATCH(FORNECEDOR!A1612,PEDIDOS!$A:$A,0),2)</f>
        <v>#N/A</v>
      </c>
      <c r="D1612" s="3" t="e">
        <f>INDEX(PEDIDOS!$A:$D,MATCH(FORNECEDOR!A1612,PEDIDOS!$A:$A,0),3)</f>
        <v>#N/A</v>
      </c>
      <c r="E1612" s="3" t="e">
        <f>INDEX(PEDIDOS!$A:$D,MATCH(FORNECEDOR!A1612,PEDIDOS!$A:$A,0),4)</f>
        <v>#N/A</v>
      </c>
    </row>
    <row r="1613" spans="1:5" x14ac:dyDescent="0.25">
      <c r="A1613" s="1" t="s">
        <v>1612</v>
      </c>
      <c r="B1613" s="3">
        <f>COUNTIF(PEDIDOS!$A:$A,FORNECEDOR!A1613)</f>
        <v>2</v>
      </c>
      <c r="C1613" s="3" t="str">
        <f>INDEX(PEDIDOS!$A:$D,MATCH(FORNECEDOR!A1613,PEDIDOS!$A:$A,0),2)</f>
        <v>CD REGIS</v>
      </c>
      <c r="D1613" s="3" t="str">
        <f>INDEX(PEDIDOS!$A:$D,MATCH(FORNECEDOR!A1613,PEDIDOS!$A:$A,0),3)</f>
        <v>MATRIZ</v>
      </c>
      <c r="E1613" s="3" t="str">
        <f>INDEX(PEDIDOS!$A:$D,MATCH(FORNECEDOR!A1613,PEDIDOS!$A:$A,0),4)</f>
        <v>CD REGIS</v>
      </c>
    </row>
    <row r="1614" spans="1:5" hidden="1" x14ac:dyDescent="0.25">
      <c r="A1614" s="1" t="s">
        <v>1613</v>
      </c>
      <c r="B1614" s="3">
        <f>COUNTIF(PEDIDOS!$A:$A,FORNECEDOR!A1614)</f>
        <v>0</v>
      </c>
      <c r="C1614" s="3" t="e">
        <f>INDEX(PEDIDOS!$A:$D,MATCH(FORNECEDOR!A1614,PEDIDOS!$A:$A,0),2)</f>
        <v>#N/A</v>
      </c>
      <c r="D1614" s="3" t="e">
        <f>INDEX(PEDIDOS!$A:$D,MATCH(FORNECEDOR!A1614,PEDIDOS!$A:$A,0),3)</f>
        <v>#N/A</v>
      </c>
      <c r="E1614" s="3" t="e">
        <f>INDEX(PEDIDOS!$A:$D,MATCH(FORNECEDOR!A1614,PEDIDOS!$A:$A,0),4)</f>
        <v>#N/A</v>
      </c>
    </row>
    <row r="1615" spans="1:5" hidden="1" x14ac:dyDescent="0.25">
      <c r="A1615" s="1" t="s">
        <v>1614</v>
      </c>
      <c r="B1615" s="3">
        <f>COUNTIF(PEDIDOS!$A:$A,FORNECEDOR!A1615)</f>
        <v>0</v>
      </c>
      <c r="C1615" s="3" t="e">
        <f>INDEX(PEDIDOS!$A:$D,MATCH(FORNECEDOR!A1615,PEDIDOS!$A:$A,0),2)</f>
        <v>#N/A</v>
      </c>
      <c r="D1615" s="3" t="e">
        <f>INDEX(PEDIDOS!$A:$D,MATCH(FORNECEDOR!A1615,PEDIDOS!$A:$A,0),3)</f>
        <v>#N/A</v>
      </c>
      <c r="E1615" s="3" t="e">
        <f>INDEX(PEDIDOS!$A:$D,MATCH(FORNECEDOR!A1615,PEDIDOS!$A:$A,0),4)</f>
        <v>#N/A</v>
      </c>
    </row>
    <row r="1616" spans="1:5" hidden="1" x14ac:dyDescent="0.25">
      <c r="A1616" s="1" t="s">
        <v>1615</v>
      </c>
      <c r="B1616" s="3">
        <f>COUNTIF(PEDIDOS!$A:$A,FORNECEDOR!A1616)</f>
        <v>0</v>
      </c>
      <c r="C1616" s="3" t="e">
        <f>INDEX(PEDIDOS!$A:$D,MATCH(FORNECEDOR!A1616,PEDIDOS!$A:$A,0),2)</f>
        <v>#N/A</v>
      </c>
      <c r="D1616" s="3" t="e">
        <f>INDEX(PEDIDOS!$A:$D,MATCH(FORNECEDOR!A1616,PEDIDOS!$A:$A,0),3)</f>
        <v>#N/A</v>
      </c>
      <c r="E1616" s="3" t="e">
        <f>INDEX(PEDIDOS!$A:$D,MATCH(FORNECEDOR!A1616,PEDIDOS!$A:$A,0),4)</f>
        <v>#N/A</v>
      </c>
    </row>
    <row r="1617" spans="1:5" x14ac:dyDescent="0.25">
      <c r="A1617" s="1" t="s">
        <v>1616</v>
      </c>
      <c r="B1617" s="3">
        <f>COUNTIF(PEDIDOS!$A:$A,FORNECEDOR!A1617)</f>
        <v>1</v>
      </c>
      <c r="C1617" s="3" t="str">
        <f>INDEX(PEDIDOS!$A:$D,MATCH(FORNECEDOR!A1617,PEDIDOS!$A:$A,0),2)</f>
        <v>CD REGIS</v>
      </c>
      <c r="D1617" s="3" t="str">
        <f>INDEX(PEDIDOS!$A:$D,MATCH(FORNECEDOR!A1617,PEDIDOS!$A:$A,0),3)</f>
        <v>MATRIZ</v>
      </c>
      <c r="E1617" s="3" t="str">
        <f>INDEX(PEDIDOS!$A:$D,MATCH(FORNECEDOR!A1617,PEDIDOS!$A:$A,0),4)</f>
        <v>CD REGIS</v>
      </c>
    </row>
    <row r="1618" spans="1:5" x14ac:dyDescent="0.25">
      <c r="A1618" s="1" t="s">
        <v>1617</v>
      </c>
      <c r="B1618" s="3">
        <f>COUNTIF(PEDIDOS!$A:$A,FORNECEDOR!A1618)</f>
        <v>2</v>
      </c>
      <c r="C1618" s="3" t="str">
        <f>INDEX(PEDIDOS!$A:$D,MATCH(FORNECEDOR!A1618,PEDIDOS!$A:$A,0),2)</f>
        <v>CD REGIS</v>
      </c>
      <c r="D1618" s="3" t="str">
        <f>INDEX(PEDIDOS!$A:$D,MATCH(FORNECEDOR!A1618,PEDIDOS!$A:$A,0),3)</f>
        <v>MATRIZ</v>
      </c>
      <c r="E1618" s="3" t="str">
        <f>INDEX(PEDIDOS!$A:$D,MATCH(FORNECEDOR!A1618,PEDIDOS!$A:$A,0),4)</f>
        <v>CD REGIS</v>
      </c>
    </row>
    <row r="1619" spans="1:5" x14ac:dyDescent="0.25">
      <c r="A1619" s="1" t="s">
        <v>1618</v>
      </c>
      <c r="B1619" s="3">
        <f>COUNTIF(PEDIDOS!$A:$A,FORNECEDOR!A1619)</f>
        <v>1</v>
      </c>
      <c r="C1619" s="3" t="str">
        <f>INDEX(PEDIDOS!$A:$D,MATCH(FORNECEDOR!A1619,PEDIDOS!$A:$A,0),2)</f>
        <v>CD REGIS</v>
      </c>
      <c r="D1619" s="3" t="str">
        <f>INDEX(PEDIDOS!$A:$D,MATCH(FORNECEDOR!A1619,PEDIDOS!$A:$A,0),3)</f>
        <v>TATUAPE</v>
      </c>
      <c r="E1619" s="3" t="str">
        <f>INDEX(PEDIDOS!$A:$D,MATCH(FORNECEDOR!A1619,PEDIDOS!$A:$A,0),4)</f>
        <v>CD REGIS</v>
      </c>
    </row>
    <row r="1620" spans="1:5" hidden="1" x14ac:dyDescent="0.25">
      <c r="A1620" s="1" t="s">
        <v>1619</v>
      </c>
      <c r="B1620" s="3">
        <f>COUNTIF(PEDIDOS!$A:$A,FORNECEDOR!A1620)</f>
        <v>0</v>
      </c>
      <c r="C1620" s="3" t="e">
        <f>INDEX(PEDIDOS!$A:$D,MATCH(FORNECEDOR!A1620,PEDIDOS!$A:$A,0),2)</f>
        <v>#N/A</v>
      </c>
      <c r="D1620" s="3" t="e">
        <f>INDEX(PEDIDOS!$A:$D,MATCH(FORNECEDOR!A1620,PEDIDOS!$A:$A,0),3)</f>
        <v>#N/A</v>
      </c>
      <c r="E1620" s="3" t="e">
        <f>INDEX(PEDIDOS!$A:$D,MATCH(FORNECEDOR!A1620,PEDIDOS!$A:$A,0),4)</f>
        <v>#N/A</v>
      </c>
    </row>
    <row r="1621" spans="1:5" hidden="1" x14ac:dyDescent="0.25">
      <c r="A1621" s="1" t="s">
        <v>1620</v>
      </c>
      <c r="B1621" s="3">
        <f>COUNTIF(PEDIDOS!$A:$A,FORNECEDOR!A1621)</f>
        <v>0</v>
      </c>
      <c r="C1621" s="3" t="e">
        <f>INDEX(PEDIDOS!$A:$D,MATCH(FORNECEDOR!A1621,PEDIDOS!$A:$A,0),2)</f>
        <v>#N/A</v>
      </c>
      <c r="D1621" s="3" t="e">
        <f>INDEX(PEDIDOS!$A:$D,MATCH(FORNECEDOR!A1621,PEDIDOS!$A:$A,0),3)</f>
        <v>#N/A</v>
      </c>
      <c r="E1621" s="3" t="e">
        <f>INDEX(PEDIDOS!$A:$D,MATCH(FORNECEDOR!A1621,PEDIDOS!$A:$A,0),4)</f>
        <v>#N/A</v>
      </c>
    </row>
    <row r="1622" spans="1:5" x14ac:dyDescent="0.25">
      <c r="A1622" s="1" t="s">
        <v>1621</v>
      </c>
      <c r="B1622" s="3">
        <f>COUNTIF(PEDIDOS!$A:$A,FORNECEDOR!A1622)</f>
        <v>1</v>
      </c>
      <c r="C1622" s="3" t="str">
        <f>INDEX(PEDIDOS!$A:$D,MATCH(FORNECEDOR!A1622,PEDIDOS!$A:$A,0),2)</f>
        <v>CD NAVEGANTES</v>
      </c>
      <c r="D1622" s="3" t="str">
        <f>INDEX(PEDIDOS!$A:$D,MATCH(FORNECEDOR!A1622,PEDIDOS!$A:$A,0),3)</f>
        <v>MATRIZ</v>
      </c>
      <c r="E1622" s="3" t="str">
        <f>INDEX(PEDIDOS!$A:$D,MATCH(FORNECEDOR!A1622,PEDIDOS!$A:$A,0),4)</f>
        <v>CD NAVEGANTES</v>
      </c>
    </row>
    <row r="1623" spans="1:5" x14ac:dyDescent="0.25">
      <c r="A1623" s="1" t="s">
        <v>1622</v>
      </c>
      <c r="B1623" s="3">
        <f>COUNTIF(PEDIDOS!$A:$A,FORNECEDOR!A1623)</f>
        <v>2</v>
      </c>
      <c r="C1623" s="3" t="str">
        <f>INDEX(PEDIDOS!$A:$D,MATCH(FORNECEDOR!A1623,PEDIDOS!$A:$A,0),2)</f>
        <v>CD REGIS</v>
      </c>
      <c r="D1623" s="3" t="str">
        <f>INDEX(PEDIDOS!$A:$D,MATCH(FORNECEDOR!A1623,PEDIDOS!$A:$A,0),3)</f>
        <v>MATRIZ</v>
      </c>
      <c r="E1623" s="3" t="str">
        <f>INDEX(PEDIDOS!$A:$D,MATCH(FORNECEDOR!A1623,PEDIDOS!$A:$A,0),4)</f>
        <v>CD REGIS</v>
      </c>
    </row>
    <row r="1624" spans="1:5" x14ac:dyDescent="0.25">
      <c r="A1624" s="1" t="s">
        <v>1623</v>
      </c>
      <c r="B1624" s="3">
        <f>COUNTIF(PEDIDOS!$A:$A,FORNECEDOR!A1624)</f>
        <v>1</v>
      </c>
      <c r="C1624" s="3" t="str">
        <f>INDEX(PEDIDOS!$A:$D,MATCH(FORNECEDOR!A1624,PEDIDOS!$A:$A,0),2)</f>
        <v>MATRIZ</v>
      </c>
      <c r="D1624" s="3" t="str">
        <f>INDEX(PEDIDOS!$A:$D,MATCH(FORNECEDOR!A1624,PEDIDOS!$A:$A,0),3)</f>
        <v>MATRIZ</v>
      </c>
      <c r="E1624" s="3" t="str">
        <f>INDEX(PEDIDOS!$A:$D,MATCH(FORNECEDOR!A1624,PEDIDOS!$A:$A,0),4)</f>
        <v>MATRIZ</v>
      </c>
    </row>
    <row r="1625" spans="1:5" hidden="1" x14ac:dyDescent="0.25">
      <c r="A1625" s="1" t="s">
        <v>1624</v>
      </c>
      <c r="B1625" s="3">
        <f>COUNTIF(PEDIDOS!$A:$A,FORNECEDOR!A1625)</f>
        <v>0</v>
      </c>
      <c r="C1625" s="3" t="e">
        <f>INDEX(PEDIDOS!$A:$D,MATCH(FORNECEDOR!A1625,PEDIDOS!$A:$A,0),2)</f>
        <v>#N/A</v>
      </c>
      <c r="D1625" s="3" t="e">
        <f>INDEX(PEDIDOS!$A:$D,MATCH(FORNECEDOR!A1625,PEDIDOS!$A:$A,0),3)</f>
        <v>#N/A</v>
      </c>
      <c r="E1625" s="3" t="e">
        <f>INDEX(PEDIDOS!$A:$D,MATCH(FORNECEDOR!A1625,PEDIDOS!$A:$A,0),4)</f>
        <v>#N/A</v>
      </c>
    </row>
    <row r="1626" spans="1:5" x14ac:dyDescent="0.25">
      <c r="A1626" s="1" t="s">
        <v>1625</v>
      </c>
      <c r="B1626" s="3">
        <f>COUNTIF(PEDIDOS!$A:$A,FORNECEDOR!A1626)</f>
        <v>6</v>
      </c>
      <c r="C1626" s="3" t="str">
        <f>INDEX(PEDIDOS!$A:$D,MATCH(FORNECEDOR!A1626,PEDIDOS!$A:$A,0),2)</f>
        <v>AVANTI- ADM C.CREDITO</v>
      </c>
      <c r="D1626" s="3" t="str">
        <f>INDEX(PEDIDOS!$A:$D,MATCH(FORNECEDOR!A1626,PEDIDOS!$A:$A,0),3)</f>
        <v>AVANTI- ADM C.CREDITO</v>
      </c>
      <c r="E1626" s="3" t="str">
        <f>INDEX(PEDIDOS!$A:$D,MATCH(FORNECEDOR!A1626,PEDIDOS!$A:$A,0),4)</f>
        <v>AVANTI- ADM C.CREDITO</v>
      </c>
    </row>
    <row r="1627" spans="1:5" hidden="1" x14ac:dyDescent="0.25">
      <c r="A1627" s="1" t="s">
        <v>1626</v>
      </c>
      <c r="B1627" s="3">
        <f>COUNTIF(PEDIDOS!$A:$A,FORNECEDOR!A1627)</f>
        <v>0</v>
      </c>
      <c r="C1627" s="3" t="e">
        <f>INDEX(PEDIDOS!$A:$D,MATCH(FORNECEDOR!A1627,PEDIDOS!$A:$A,0),2)</f>
        <v>#N/A</v>
      </c>
      <c r="D1627" s="3" t="e">
        <f>INDEX(PEDIDOS!$A:$D,MATCH(FORNECEDOR!A1627,PEDIDOS!$A:$A,0),3)</f>
        <v>#N/A</v>
      </c>
      <c r="E1627" s="3" t="e">
        <f>INDEX(PEDIDOS!$A:$D,MATCH(FORNECEDOR!A1627,PEDIDOS!$A:$A,0),4)</f>
        <v>#N/A</v>
      </c>
    </row>
    <row r="1628" spans="1:5" hidden="1" x14ac:dyDescent="0.25">
      <c r="A1628" s="1" t="s">
        <v>1627</v>
      </c>
      <c r="B1628" s="3">
        <f>COUNTIF(PEDIDOS!$A:$A,FORNECEDOR!A1628)</f>
        <v>0</v>
      </c>
      <c r="C1628" s="3" t="e">
        <f>INDEX(PEDIDOS!$A:$D,MATCH(FORNECEDOR!A1628,PEDIDOS!$A:$A,0),2)</f>
        <v>#N/A</v>
      </c>
      <c r="D1628" s="3" t="e">
        <f>INDEX(PEDIDOS!$A:$D,MATCH(FORNECEDOR!A1628,PEDIDOS!$A:$A,0),3)</f>
        <v>#N/A</v>
      </c>
      <c r="E1628" s="3" t="e">
        <f>INDEX(PEDIDOS!$A:$D,MATCH(FORNECEDOR!A1628,PEDIDOS!$A:$A,0),4)</f>
        <v>#N/A</v>
      </c>
    </row>
    <row r="1629" spans="1:5" hidden="1" x14ac:dyDescent="0.25">
      <c r="A1629" s="1" t="s">
        <v>1628</v>
      </c>
      <c r="B1629" s="3">
        <f>COUNTIF(PEDIDOS!$A:$A,FORNECEDOR!A1629)</f>
        <v>0</v>
      </c>
      <c r="C1629" s="3" t="e">
        <f>INDEX(PEDIDOS!$A:$D,MATCH(FORNECEDOR!A1629,PEDIDOS!$A:$A,0),2)</f>
        <v>#N/A</v>
      </c>
      <c r="D1629" s="3" t="e">
        <f>INDEX(PEDIDOS!$A:$D,MATCH(FORNECEDOR!A1629,PEDIDOS!$A:$A,0),3)</f>
        <v>#N/A</v>
      </c>
      <c r="E1629" s="3" t="e">
        <f>INDEX(PEDIDOS!$A:$D,MATCH(FORNECEDOR!A1629,PEDIDOS!$A:$A,0),4)</f>
        <v>#N/A</v>
      </c>
    </row>
    <row r="1630" spans="1:5" hidden="1" x14ac:dyDescent="0.25">
      <c r="A1630" s="1" t="s">
        <v>1629</v>
      </c>
      <c r="B1630" s="3">
        <f>COUNTIF(PEDIDOS!$A:$A,FORNECEDOR!A1630)</f>
        <v>0</v>
      </c>
      <c r="C1630" s="3" t="e">
        <f>INDEX(PEDIDOS!$A:$D,MATCH(FORNECEDOR!A1630,PEDIDOS!$A:$A,0),2)</f>
        <v>#N/A</v>
      </c>
      <c r="D1630" s="3" t="e">
        <f>INDEX(PEDIDOS!$A:$D,MATCH(FORNECEDOR!A1630,PEDIDOS!$A:$A,0),3)</f>
        <v>#N/A</v>
      </c>
      <c r="E1630" s="3" t="e">
        <f>INDEX(PEDIDOS!$A:$D,MATCH(FORNECEDOR!A1630,PEDIDOS!$A:$A,0),4)</f>
        <v>#N/A</v>
      </c>
    </row>
    <row r="1631" spans="1:5" hidden="1" x14ac:dyDescent="0.25">
      <c r="A1631" s="1" t="s">
        <v>1630</v>
      </c>
      <c r="B1631" s="3">
        <f>COUNTIF(PEDIDOS!$A:$A,FORNECEDOR!A1631)</f>
        <v>0</v>
      </c>
      <c r="C1631" s="3" t="e">
        <f>INDEX(PEDIDOS!$A:$D,MATCH(FORNECEDOR!A1631,PEDIDOS!$A:$A,0),2)</f>
        <v>#N/A</v>
      </c>
      <c r="D1631" s="3" t="e">
        <f>INDEX(PEDIDOS!$A:$D,MATCH(FORNECEDOR!A1631,PEDIDOS!$A:$A,0),3)</f>
        <v>#N/A</v>
      </c>
      <c r="E1631" s="3" t="e">
        <f>INDEX(PEDIDOS!$A:$D,MATCH(FORNECEDOR!A1631,PEDIDOS!$A:$A,0),4)</f>
        <v>#N/A</v>
      </c>
    </row>
    <row r="1632" spans="1:5" x14ac:dyDescent="0.25">
      <c r="A1632" s="1" t="s">
        <v>1631</v>
      </c>
      <c r="B1632" s="3">
        <f>COUNTIF(PEDIDOS!$A:$A,FORNECEDOR!A1632)</f>
        <v>2</v>
      </c>
      <c r="C1632" s="3" t="str">
        <f>INDEX(PEDIDOS!$A:$D,MATCH(FORNECEDOR!A1632,PEDIDOS!$A:$A,0),2)</f>
        <v>CD REGIS</v>
      </c>
      <c r="D1632" s="3" t="str">
        <f>INDEX(PEDIDOS!$A:$D,MATCH(FORNECEDOR!A1632,PEDIDOS!$A:$A,0),3)</f>
        <v>MATRIZ</v>
      </c>
      <c r="E1632" s="3" t="str">
        <f>INDEX(PEDIDOS!$A:$D,MATCH(FORNECEDOR!A1632,PEDIDOS!$A:$A,0),4)</f>
        <v>CD REGIS</v>
      </c>
    </row>
    <row r="1633" spans="1:5" x14ac:dyDescent="0.25">
      <c r="A1633" s="1" t="s">
        <v>1632</v>
      </c>
      <c r="B1633" s="3">
        <f>COUNTIF(PEDIDOS!$A:$A,FORNECEDOR!A1633)</f>
        <v>1</v>
      </c>
      <c r="C1633" s="3" t="str">
        <f>INDEX(PEDIDOS!$A:$D,MATCH(FORNECEDOR!A1633,PEDIDOS!$A:$A,0),2)</f>
        <v>CD REGIS</v>
      </c>
      <c r="D1633" s="3" t="str">
        <f>INDEX(PEDIDOS!$A:$D,MATCH(FORNECEDOR!A1633,PEDIDOS!$A:$A,0),3)</f>
        <v>MATRIZ</v>
      </c>
      <c r="E1633" s="3" t="str">
        <f>INDEX(PEDIDOS!$A:$D,MATCH(FORNECEDOR!A1633,PEDIDOS!$A:$A,0),4)</f>
        <v>CD REGIS</v>
      </c>
    </row>
    <row r="1634" spans="1:5" x14ac:dyDescent="0.25">
      <c r="A1634" s="1" t="s">
        <v>1633</v>
      </c>
      <c r="B1634" s="3">
        <f>COUNTIF(PEDIDOS!$A:$A,FORNECEDOR!A1634)</f>
        <v>1</v>
      </c>
      <c r="C1634" s="3" t="str">
        <f>INDEX(PEDIDOS!$A:$D,MATCH(FORNECEDOR!A1634,PEDIDOS!$A:$A,0),2)</f>
        <v>CD REGIS</v>
      </c>
      <c r="D1634" s="3" t="str">
        <f>INDEX(PEDIDOS!$A:$D,MATCH(FORNECEDOR!A1634,PEDIDOS!$A:$A,0),3)</f>
        <v>MATRIZ</v>
      </c>
      <c r="E1634" s="3" t="str">
        <f>INDEX(PEDIDOS!$A:$D,MATCH(FORNECEDOR!A1634,PEDIDOS!$A:$A,0),4)</f>
        <v>CD REGIS</v>
      </c>
    </row>
    <row r="1635" spans="1:5" hidden="1" x14ac:dyDescent="0.25">
      <c r="A1635" s="1" t="s">
        <v>1634</v>
      </c>
      <c r="B1635" s="3">
        <f>COUNTIF(PEDIDOS!$A:$A,FORNECEDOR!A1635)</f>
        <v>0</v>
      </c>
      <c r="C1635" s="3" t="e">
        <f>INDEX(PEDIDOS!$A:$D,MATCH(FORNECEDOR!A1635,PEDIDOS!$A:$A,0),2)</f>
        <v>#N/A</v>
      </c>
      <c r="D1635" s="3" t="e">
        <f>INDEX(PEDIDOS!$A:$D,MATCH(FORNECEDOR!A1635,PEDIDOS!$A:$A,0),3)</f>
        <v>#N/A</v>
      </c>
      <c r="E1635" s="3" t="e">
        <f>INDEX(PEDIDOS!$A:$D,MATCH(FORNECEDOR!A1635,PEDIDOS!$A:$A,0),4)</f>
        <v>#N/A</v>
      </c>
    </row>
    <row r="1636" spans="1:5" x14ac:dyDescent="0.25">
      <c r="A1636" s="1" t="s">
        <v>1635</v>
      </c>
      <c r="B1636" s="3">
        <f>COUNTIF(PEDIDOS!$A:$A,FORNECEDOR!A1636)</f>
        <v>1</v>
      </c>
      <c r="C1636" s="3" t="str">
        <f>INDEX(PEDIDOS!$A:$D,MATCH(FORNECEDOR!A1636,PEDIDOS!$A:$A,0),2)</f>
        <v>CD NAVEGANTES</v>
      </c>
      <c r="D1636" s="3" t="str">
        <f>INDEX(PEDIDOS!$A:$D,MATCH(FORNECEDOR!A1636,PEDIDOS!$A:$A,0),3)</f>
        <v>MATRIZ</v>
      </c>
      <c r="E1636" s="3" t="str">
        <f>INDEX(PEDIDOS!$A:$D,MATCH(FORNECEDOR!A1636,PEDIDOS!$A:$A,0),4)</f>
        <v>CD NAVEGANTES</v>
      </c>
    </row>
    <row r="1637" spans="1:5" hidden="1" x14ac:dyDescent="0.25">
      <c r="A1637" s="1" t="s">
        <v>1636</v>
      </c>
      <c r="B1637" s="3">
        <f>COUNTIF(PEDIDOS!$A:$A,FORNECEDOR!A1637)</f>
        <v>0</v>
      </c>
      <c r="C1637" s="3" t="e">
        <f>INDEX(PEDIDOS!$A:$D,MATCH(FORNECEDOR!A1637,PEDIDOS!$A:$A,0),2)</f>
        <v>#N/A</v>
      </c>
      <c r="D1637" s="3" t="e">
        <f>INDEX(PEDIDOS!$A:$D,MATCH(FORNECEDOR!A1637,PEDIDOS!$A:$A,0),3)</f>
        <v>#N/A</v>
      </c>
      <c r="E1637" s="3" t="e">
        <f>INDEX(PEDIDOS!$A:$D,MATCH(FORNECEDOR!A1637,PEDIDOS!$A:$A,0),4)</f>
        <v>#N/A</v>
      </c>
    </row>
    <row r="1638" spans="1:5" hidden="1" x14ac:dyDescent="0.25">
      <c r="A1638" s="1" t="s">
        <v>1637</v>
      </c>
      <c r="B1638" s="3">
        <f>COUNTIF(PEDIDOS!$A:$A,FORNECEDOR!A1638)</f>
        <v>0</v>
      </c>
      <c r="C1638" s="3" t="e">
        <f>INDEX(PEDIDOS!$A:$D,MATCH(FORNECEDOR!A1638,PEDIDOS!$A:$A,0),2)</f>
        <v>#N/A</v>
      </c>
      <c r="D1638" s="3" t="e">
        <f>INDEX(PEDIDOS!$A:$D,MATCH(FORNECEDOR!A1638,PEDIDOS!$A:$A,0),3)</f>
        <v>#N/A</v>
      </c>
      <c r="E1638" s="3" t="e">
        <f>INDEX(PEDIDOS!$A:$D,MATCH(FORNECEDOR!A1638,PEDIDOS!$A:$A,0),4)</f>
        <v>#N/A</v>
      </c>
    </row>
    <row r="1639" spans="1:5" x14ac:dyDescent="0.25">
      <c r="A1639" s="1" t="s">
        <v>1638</v>
      </c>
      <c r="B1639" s="3">
        <f>COUNTIF(PEDIDOS!$A:$A,FORNECEDOR!A1639)</f>
        <v>1</v>
      </c>
      <c r="C1639" s="3" t="str">
        <f>INDEX(PEDIDOS!$A:$D,MATCH(FORNECEDOR!A1639,PEDIDOS!$A:$A,0),2)</f>
        <v>CD REGIS</v>
      </c>
      <c r="D1639" s="3" t="str">
        <f>INDEX(PEDIDOS!$A:$D,MATCH(FORNECEDOR!A1639,PEDIDOS!$A:$A,0),3)</f>
        <v>CD REGIS</v>
      </c>
      <c r="E1639" s="3" t="str">
        <f>INDEX(PEDIDOS!$A:$D,MATCH(FORNECEDOR!A1639,PEDIDOS!$A:$A,0),4)</f>
        <v>CD REGIS</v>
      </c>
    </row>
    <row r="1640" spans="1:5" hidden="1" x14ac:dyDescent="0.25">
      <c r="A1640" s="1" t="s">
        <v>1639</v>
      </c>
      <c r="B1640" s="3">
        <f>COUNTIF(PEDIDOS!$A:$A,FORNECEDOR!A1640)</f>
        <v>0</v>
      </c>
      <c r="C1640" s="3" t="e">
        <f>INDEX(PEDIDOS!$A:$D,MATCH(FORNECEDOR!A1640,PEDIDOS!$A:$A,0),2)</f>
        <v>#N/A</v>
      </c>
      <c r="D1640" s="3" t="e">
        <f>INDEX(PEDIDOS!$A:$D,MATCH(FORNECEDOR!A1640,PEDIDOS!$A:$A,0),3)</f>
        <v>#N/A</v>
      </c>
      <c r="E1640" s="3" t="e">
        <f>INDEX(PEDIDOS!$A:$D,MATCH(FORNECEDOR!A1640,PEDIDOS!$A:$A,0),4)</f>
        <v>#N/A</v>
      </c>
    </row>
    <row r="1641" spans="1:5" hidden="1" x14ac:dyDescent="0.25">
      <c r="A1641" s="1" t="s">
        <v>1640</v>
      </c>
      <c r="B1641" s="3">
        <f>COUNTIF(PEDIDOS!$A:$A,FORNECEDOR!A1641)</f>
        <v>0</v>
      </c>
      <c r="C1641" s="3" t="e">
        <f>INDEX(PEDIDOS!$A:$D,MATCH(FORNECEDOR!A1641,PEDIDOS!$A:$A,0),2)</f>
        <v>#N/A</v>
      </c>
      <c r="D1641" s="3" t="e">
        <f>INDEX(PEDIDOS!$A:$D,MATCH(FORNECEDOR!A1641,PEDIDOS!$A:$A,0),3)</f>
        <v>#N/A</v>
      </c>
      <c r="E1641" s="3" t="e">
        <f>INDEX(PEDIDOS!$A:$D,MATCH(FORNECEDOR!A1641,PEDIDOS!$A:$A,0),4)</f>
        <v>#N/A</v>
      </c>
    </row>
    <row r="1642" spans="1:5" hidden="1" x14ac:dyDescent="0.25">
      <c r="A1642" s="1" t="s">
        <v>1641</v>
      </c>
      <c r="B1642" s="3">
        <f>COUNTIF(PEDIDOS!$A:$A,FORNECEDOR!A1642)</f>
        <v>0</v>
      </c>
      <c r="C1642" s="3" t="e">
        <f>INDEX(PEDIDOS!$A:$D,MATCH(FORNECEDOR!A1642,PEDIDOS!$A:$A,0),2)</f>
        <v>#N/A</v>
      </c>
      <c r="D1642" s="3" t="e">
        <f>INDEX(PEDIDOS!$A:$D,MATCH(FORNECEDOR!A1642,PEDIDOS!$A:$A,0),3)</f>
        <v>#N/A</v>
      </c>
      <c r="E1642" s="3" t="e">
        <f>INDEX(PEDIDOS!$A:$D,MATCH(FORNECEDOR!A1642,PEDIDOS!$A:$A,0),4)</f>
        <v>#N/A</v>
      </c>
    </row>
    <row r="1643" spans="1:5" hidden="1" x14ac:dyDescent="0.25">
      <c r="A1643" s="1" t="s">
        <v>1642</v>
      </c>
      <c r="B1643" s="3">
        <f>COUNTIF(PEDIDOS!$A:$A,FORNECEDOR!A1643)</f>
        <v>0</v>
      </c>
      <c r="C1643" s="3" t="e">
        <f>INDEX(PEDIDOS!$A:$D,MATCH(FORNECEDOR!A1643,PEDIDOS!$A:$A,0),2)</f>
        <v>#N/A</v>
      </c>
      <c r="D1643" s="3" t="e">
        <f>INDEX(PEDIDOS!$A:$D,MATCH(FORNECEDOR!A1643,PEDIDOS!$A:$A,0),3)</f>
        <v>#N/A</v>
      </c>
      <c r="E1643" s="3" t="e">
        <f>INDEX(PEDIDOS!$A:$D,MATCH(FORNECEDOR!A1643,PEDIDOS!$A:$A,0),4)</f>
        <v>#N/A</v>
      </c>
    </row>
    <row r="1644" spans="1:5" hidden="1" x14ac:dyDescent="0.25">
      <c r="A1644" s="1" t="s">
        <v>1643</v>
      </c>
      <c r="B1644" s="3">
        <f>COUNTIF(PEDIDOS!$A:$A,FORNECEDOR!A1644)</f>
        <v>0</v>
      </c>
      <c r="C1644" s="3" t="e">
        <f>INDEX(PEDIDOS!$A:$D,MATCH(FORNECEDOR!A1644,PEDIDOS!$A:$A,0),2)</f>
        <v>#N/A</v>
      </c>
      <c r="D1644" s="3" t="e">
        <f>INDEX(PEDIDOS!$A:$D,MATCH(FORNECEDOR!A1644,PEDIDOS!$A:$A,0),3)</f>
        <v>#N/A</v>
      </c>
      <c r="E1644" s="3" t="e">
        <f>INDEX(PEDIDOS!$A:$D,MATCH(FORNECEDOR!A1644,PEDIDOS!$A:$A,0),4)</f>
        <v>#N/A</v>
      </c>
    </row>
    <row r="1645" spans="1:5" x14ac:dyDescent="0.25">
      <c r="A1645" s="1" t="s">
        <v>1644</v>
      </c>
      <c r="B1645" s="3">
        <f>COUNTIF(PEDIDOS!$A:$A,FORNECEDOR!A1645)</f>
        <v>1</v>
      </c>
      <c r="C1645" s="3" t="str">
        <f>INDEX(PEDIDOS!$A:$D,MATCH(FORNECEDOR!A1645,PEDIDOS!$A:$A,0),2)</f>
        <v>AVANTI- ADM C.CREDITO</v>
      </c>
      <c r="D1645" s="3" t="str">
        <f>INDEX(PEDIDOS!$A:$D,MATCH(FORNECEDOR!A1645,PEDIDOS!$A:$A,0),3)</f>
        <v>AVANTI- ADM C.CREDITO</v>
      </c>
      <c r="E1645" s="3" t="str">
        <f>INDEX(PEDIDOS!$A:$D,MATCH(FORNECEDOR!A1645,PEDIDOS!$A:$A,0),4)</f>
        <v>AVANTI- ADM C.CREDITO</v>
      </c>
    </row>
    <row r="1646" spans="1:5" x14ac:dyDescent="0.25">
      <c r="A1646" s="1" t="s">
        <v>1645</v>
      </c>
      <c r="B1646" s="3">
        <f>COUNTIF(PEDIDOS!$A:$A,FORNECEDOR!A1646)</f>
        <v>1</v>
      </c>
      <c r="C1646" s="3" t="str">
        <f>INDEX(PEDIDOS!$A:$D,MATCH(FORNECEDOR!A1646,PEDIDOS!$A:$A,0),2)</f>
        <v>AVANTI- ADM C.CREDITO</v>
      </c>
      <c r="D1646" s="3" t="str">
        <f>INDEX(PEDIDOS!$A:$D,MATCH(FORNECEDOR!A1646,PEDIDOS!$A:$A,0),3)</f>
        <v>AVANTI- ADM C.CREDITO</v>
      </c>
      <c r="E1646" s="3" t="str">
        <f>INDEX(PEDIDOS!$A:$D,MATCH(FORNECEDOR!A1646,PEDIDOS!$A:$A,0),4)</f>
        <v>AVANTI- ADM C.CREDITO</v>
      </c>
    </row>
    <row r="1647" spans="1:5" hidden="1" x14ac:dyDescent="0.25">
      <c r="A1647" s="1" t="s">
        <v>1646</v>
      </c>
      <c r="B1647" s="3">
        <f>COUNTIF(PEDIDOS!$A:$A,FORNECEDOR!A1647)</f>
        <v>0</v>
      </c>
      <c r="C1647" s="3" t="e">
        <f>INDEX(PEDIDOS!$A:$D,MATCH(FORNECEDOR!A1647,PEDIDOS!$A:$A,0),2)</f>
        <v>#N/A</v>
      </c>
      <c r="D1647" s="3" t="e">
        <f>INDEX(PEDIDOS!$A:$D,MATCH(FORNECEDOR!A1647,PEDIDOS!$A:$A,0),3)</f>
        <v>#N/A</v>
      </c>
      <c r="E1647" s="3" t="e">
        <f>INDEX(PEDIDOS!$A:$D,MATCH(FORNECEDOR!A1647,PEDIDOS!$A:$A,0),4)</f>
        <v>#N/A</v>
      </c>
    </row>
    <row r="1648" spans="1:5" x14ac:dyDescent="0.25">
      <c r="A1648" s="1" t="s">
        <v>1647</v>
      </c>
      <c r="B1648" s="3">
        <f>COUNTIF(PEDIDOS!$A:$A,FORNECEDOR!A1648)</f>
        <v>1</v>
      </c>
      <c r="C1648" s="3" t="str">
        <f>INDEX(PEDIDOS!$A:$D,MATCH(FORNECEDOR!A1648,PEDIDOS!$A:$A,0),2)</f>
        <v>SP - PARI</v>
      </c>
      <c r="D1648" s="3" t="str">
        <f>INDEX(PEDIDOS!$A:$D,MATCH(FORNECEDOR!A1648,PEDIDOS!$A:$A,0),3)</f>
        <v>SP - PARI</v>
      </c>
      <c r="E1648" s="3" t="str">
        <f>INDEX(PEDIDOS!$A:$D,MATCH(FORNECEDOR!A1648,PEDIDOS!$A:$A,0),4)</f>
        <v>SP - PARI</v>
      </c>
    </row>
    <row r="1649" spans="1:5" x14ac:dyDescent="0.25">
      <c r="A1649" s="1" t="s">
        <v>1648</v>
      </c>
      <c r="B1649" s="3">
        <f>COUNTIF(PEDIDOS!$A:$A,FORNECEDOR!A1649)</f>
        <v>1</v>
      </c>
      <c r="C1649" s="3" t="str">
        <f>INDEX(PEDIDOS!$A:$D,MATCH(FORNECEDOR!A1649,PEDIDOS!$A:$A,0),2)</f>
        <v>MATRIZ</v>
      </c>
      <c r="D1649" s="3" t="str">
        <f>INDEX(PEDIDOS!$A:$D,MATCH(FORNECEDOR!A1649,PEDIDOS!$A:$A,0),3)</f>
        <v>MATRIZ</v>
      </c>
      <c r="E1649" s="3" t="str">
        <f>INDEX(PEDIDOS!$A:$D,MATCH(FORNECEDOR!A1649,PEDIDOS!$A:$A,0),4)</f>
        <v>MATRIZ</v>
      </c>
    </row>
    <row r="1650" spans="1:5" hidden="1" x14ac:dyDescent="0.25">
      <c r="A1650" s="1" t="s">
        <v>1649</v>
      </c>
      <c r="B1650" s="3">
        <f>COUNTIF(PEDIDOS!$A:$A,FORNECEDOR!A1650)</f>
        <v>0</v>
      </c>
      <c r="C1650" s="3" t="e">
        <f>INDEX(PEDIDOS!$A:$D,MATCH(FORNECEDOR!A1650,PEDIDOS!$A:$A,0),2)</f>
        <v>#N/A</v>
      </c>
      <c r="D1650" s="3" t="e">
        <f>INDEX(PEDIDOS!$A:$D,MATCH(FORNECEDOR!A1650,PEDIDOS!$A:$A,0),3)</f>
        <v>#N/A</v>
      </c>
      <c r="E1650" s="3" t="e">
        <f>INDEX(PEDIDOS!$A:$D,MATCH(FORNECEDOR!A1650,PEDIDOS!$A:$A,0),4)</f>
        <v>#N/A</v>
      </c>
    </row>
    <row r="1651" spans="1:5" hidden="1" x14ac:dyDescent="0.25">
      <c r="A1651" s="1" t="s">
        <v>1650</v>
      </c>
      <c r="B1651" s="3">
        <f>COUNTIF(PEDIDOS!$A:$A,FORNECEDOR!A1651)</f>
        <v>0</v>
      </c>
      <c r="C1651" s="3" t="e">
        <f>INDEX(PEDIDOS!$A:$D,MATCH(FORNECEDOR!A1651,PEDIDOS!$A:$A,0),2)</f>
        <v>#N/A</v>
      </c>
      <c r="D1651" s="3" t="e">
        <f>INDEX(PEDIDOS!$A:$D,MATCH(FORNECEDOR!A1651,PEDIDOS!$A:$A,0),3)</f>
        <v>#N/A</v>
      </c>
      <c r="E1651" s="3" t="e">
        <f>INDEX(PEDIDOS!$A:$D,MATCH(FORNECEDOR!A1651,PEDIDOS!$A:$A,0),4)</f>
        <v>#N/A</v>
      </c>
    </row>
    <row r="1652" spans="1:5" hidden="1" x14ac:dyDescent="0.25">
      <c r="A1652" s="1" t="s">
        <v>1651</v>
      </c>
      <c r="B1652" s="3">
        <f>COUNTIF(PEDIDOS!$A:$A,FORNECEDOR!A1652)</f>
        <v>0</v>
      </c>
      <c r="C1652" s="3" t="e">
        <f>INDEX(PEDIDOS!$A:$D,MATCH(FORNECEDOR!A1652,PEDIDOS!$A:$A,0),2)</f>
        <v>#N/A</v>
      </c>
      <c r="D1652" s="3" t="e">
        <f>INDEX(PEDIDOS!$A:$D,MATCH(FORNECEDOR!A1652,PEDIDOS!$A:$A,0),3)</f>
        <v>#N/A</v>
      </c>
      <c r="E1652" s="3" t="e">
        <f>INDEX(PEDIDOS!$A:$D,MATCH(FORNECEDOR!A1652,PEDIDOS!$A:$A,0),4)</f>
        <v>#N/A</v>
      </c>
    </row>
    <row r="1653" spans="1:5" hidden="1" x14ac:dyDescent="0.25">
      <c r="A1653" s="1" t="s">
        <v>1652</v>
      </c>
      <c r="B1653" s="3">
        <f>COUNTIF(PEDIDOS!$A:$A,FORNECEDOR!A1653)</f>
        <v>0</v>
      </c>
      <c r="C1653" s="3" t="e">
        <f>INDEX(PEDIDOS!$A:$D,MATCH(FORNECEDOR!A1653,PEDIDOS!$A:$A,0),2)</f>
        <v>#N/A</v>
      </c>
      <c r="D1653" s="3" t="e">
        <f>INDEX(PEDIDOS!$A:$D,MATCH(FORNECEDOR!A1653,PEDIDOS!$A:$A,0),3)</f>
        <v>#N/A</v>
      </c>
      <c r="E1653" s="3" t="e">
        <f>INDEX(PEDIDOS!$A:$D,MATCH(FORNECEDOR!A1653,PEDIDOS!$A:$A,0),4)</f>
        <v>#N/A</v>
      </c>
    </row>
    <row r="1654" spans="1:5" hidden="1" x14ac:dyDescent="0.25">
      <c r="A1654" s="1" t="s">
        <v>1653</v>
      </c>
      <c r="B1654" s="3">
        <f>COUNTIF(PEDIDOS!$A:$A,FORNECEDOR!A1654)</f>
        <v>0</v>
      </c>
      <c r="C1654" s="3" t="e">
        <f>INDEX(PEDIDOS!$A:$D,MATCH(FORNECEDOR!A1654,PEDIDOS!$A:$A,0),2)</f>
        <v>#N/A</v>
      </c>
      <c r="D1654" s="3" t="e">
        <f>INDEX(PEDIDOS!$A:$D,MATCH(FORNECEDOR!A1654,PEDIDOS!$A:$A,0),3)</f>
        <v>#N/A</v>
      </c>
      <c r="E1654" s="3" t="e">
        <f>INDEX(PEDIDOS!$A:$D,MATCH(FORNECEDOR!A1654,PEDIDOS!$A:$A,0),4)</f>
        <v>#N/A</v>
      </c>
    </row>
    <row r="1655" spans="1:5" hidden="1" x14ac:dyDescent="0.25">
      <c r="A1655" s="1" t="s">
        <v>1654</v>
      </c>
      <c r="B1655" s="3">
        <f>COUNTIF(PEDIDOS!$A:$A,FORNECEDOR!A1655)</f>
        <v>0</v>
      </c>
      <c r="C1655" s="3" t="e">
        <f>INDEX(PEDIDOS!$A:$D,MATCH(FORNECEDOR!A1655,PEDIDOS!$A:$A,0),2)</f>
        <v>#N/A</v>
      </c>
      <c r="D1655" s="3" t="e">
        <f>INDEX(PEDIDOS!$A:$D,MATCH(FORNECEDOR!A1655,PEDIDOS!$A:$A,0),3)</f>
        <v>#N/A</v>
      </c>
      <c r="E1655" s="3" t="e">
        <f>INDEX(PEDIDOS!$A:$D,MATCH(FORNECEDOR!A1655,PEDIDOS!$A:$A,0),4)</f>
        <v>#N/A</v>
      </c>
    </row>
    <row r="1656" spans="1:5" hidden="1" x14ac:dyDescent="0.25">
      <c r="A1656" s="1" t="s">
        <v>1655</v>
      </c>
      <c r="B1656" s="3">
        <f>COUNTIF(PEDIDOS!$A:$A,FORNECEDOR!A1656)</f>
        <v>0</v>
      </c>
      <c r="C1656" s="3" t="e">
        <f>INDEX(PEDIDOS!$A:$D,MATCH(FORNECEDOR!A1656,PEDIDOS!$A:$A,0),2)</f>
        <v>#N/A</v>
      </c>
      <c r="D1656" s="3" t="e">
        <f>INDEX(PEDIDOS!$A:$D,MATCH(FORNECEDOR!A1656,PEDIDOS!$A:$A,0),3)</f>
        <v>#N/A</v>
      </c>
      <c r="E1656" s="3" t="e">
        <f>INDEX(PEDIDOS!$A:$D,MATCH(FORNECEDOR!A1656,PEDIDOS!$A:$A,0),4)</f>
        <v>#N/A</v>
      </c>
    </row>
    <row r="1657" spans="1:5" hidden="1" x14ac:dyDescent="0.25">
      <c r="A1657" s="1" t="s">
        <v>1656</v>
      </c>
      <c r="B1657" s="3">
        <f>COUNTIF(PEDIDOS!$A:$A,FORNECEDOR!A1657)</f>
        <v>0</v>
      </c>
      <c r="C1657" s="3" t="e">
        <f>INDEX(PEDIDOS!$A:$D,MATCH(FORNECEDOR!A1657,PEDIDOS!$A:$A,0),2)</f>
        <v>#N/A</v>
      </c>
      <c r="D1657" s="3" t="e">
        <f>INDEX(PEDIDOS!$A:$D,MATCH(FORNECEDOR!A1657,PEDIDOS!$A:$A,0),3)</f>
        <v>#N/A</v>
      </c>
      <c r="E1657" s="3" t="e">
        <f>INDEX(PEDIDOS!$A:$D,MATCH(FORNECEDOR!A1657,PEDIDOS!$A:$A,0),4)</f>
        <v>#N/A</v>
      </c>
    </row>
    <row r="1658" spans="1:5" x14ac:dyDescent="0.25">
      <c r="A1658" s="1" t="s">
        <v>1657</v>
      </c>
      <c r="B1658" s="3">
        <f>COUNTIF(PEDIDOS!$A:$A,FORNECEDOR!A1658)</f>
        <v>1</v>
      </c>
      <c r="C1658" s="3" t="str">
        <f>INDEX(PEDIDOS!$A:$D,MATCH(FORNECEDOR!A1658,PEDIDOS!$A:$A,0),2)</f>
        <v>MATRIZ</v>
      </c>
      <c r="D1658" s="3" t="str">
        <f>INDEX(PEDIDOS!$A:$D,MATCH(FORNECEDOR!A1658,PEDIDOS!$A:$A,0),3)</f>
        <v>MATRIZ</v>
      </c>
      <c r="E1658" s="3" t="str">
        <f>INDEX(PEDIDOS!$A:$D,MATCH(FORNECEDOR!A1658,PEDIDOS!$A:$A,0),4)</f>
        <v>MATRIZ</v>
      </c>
    </row>
    <row r="1659" spans="1:5" x14ac:dyDescent="0.25">
      <c r="A1659" s="1" t="s">
        <v>1658</v>
      </c>
      <c r="B1659" s="3">
        <f>COUNTIF(PEDIDOS!$A:$A,FORNECEDOR!A1659)</f>
        <v>1</v>
      </c>
      <c r="C1659" s="3" t="str">
        <f>INDEX(PEDIDOS!$A:$D,MATCH(FORNECEDOR!A1659,PEDIDOS!$A:$A,0),2)</f>
        <v>MATRIZ</v>
      </c>
      <c r="D1659" s="3" t="str">
        <f>INDEX(PEDIDOS!$A:$D,MATCH(FORNECEDOR!A1659,PEDIDOS!$A:$A,0),3)</f>
        <v>MATRIZ</v>
      </c>
      <c r="E1659" s="3" t="str">
        <f>INDEX(PEDIDOS!$A:$D,MATCH(FORNECEDOR!A1659,PEDIDOS!$A:$A,0),4)</f>
        <v>MATRIZ</v>
      </c>
    </row>
    <row r="1660" spans="1:5" hidden="1" x14ac:dyDescent="0.25">
      <c r="A1660" s="1" t="s">
        <v>1659</v>
      </c>
      <c r="B1660" s="3">
        <f>COUNTIF(PEDIDOS!$A:$A,FORNECEDOR!A1660)</f>
        <v>0</v>
      </c>
      <c r="C1660" s="3" t="e">
        <f>INDEX(PEDIDOS!$A:$D,MATCH(FORNECEDOR!A1660,PEDIDOS!$A:$A,0),2)</f>
        <v>#N/A</v>
      </c>
      <c r="D1660" s="3" t="e">
        <f>INDEX(PEDIDOS!$A:$D,MATCH(FORNECEDOR!A1660,PEDIDOS!$A:$A,0),3)</f>
        <v>#N/A</v>
      </c>
      <c r="E1660" s="3" t="e">
        <f>INDEX(PEDIDOS!$A:$D,MATCH(FORNECEDOR!A1660,PEDIDOS!$A:$A,0),4)</f>
        <v>#N/A</v>
      </c>
    </row>
    <row r="1661" spans="1:5" hidden="1" x14ac:dyDescent="0.25">
      <c r="A1661" s="1" t="s">
        <v>1660</v>
      </c>
      <c r="B1661" s="3">
        <f>COUNTIF(PEDIDOS!$A:$A,FORNECEDOR!A1661)</f>
        <v>0</v>
      </c>
      <c r="C1661" s="3" t="e">
        <f>INDEX(PEDIDOS!$A:$D,MATCH(FORNECEDOR!A1661,PEDIDOS!$A:$A,0),2)</f>
        <v>#N/A</v>
      </c>
      <c r="D1661" s="3" t="e">
        <f>INDEX(PEDIDOS!$A:$D,MATCH(FORNECEDOR!A1661,PEDIDOS!$A:$A,0),3)</f>
        <v>#N/A</v>
      </c>
      <c r="E1661" s="3" t="e">
        <f>INDEX(PEDIDOS!$A:$D,MATCH(FORNECEDOR!A1661,PEDIDOS!$A:$A,0),4)</f>
        <v>#N/A</v>
      </c>
    </row>
    <row r="1662" spans="1:5" hidden="1" x14ac:dyDescent="0.25">
      <c r="A1662" s="1" t="s">
        <v>1661</v>
      </c>
      <c r="B1662" s="3">
        <f>COUNTIF(PEDIDOS!$A:$A,FORNECEDOR!A1662)</f>
        <v>0</v>
      </c>
      <c r="C1662" s="3" t="e">
        <f>INDEX(PEDIDOS!$A:$D,MATCH(FORNECEDOR!A1662,PEDIDOS!$A:$A,0),2)</f>
        <v>#N/A</v>
      </c>
      <c r="D1662" s="3" t="e">
        <f>INDEX(PEDIDOS!$A:$D,MATCH(FORNECEDOR!A1662,PEDIDOS!$A:$A,0),3)</f>
        <v>#N/A</v>
      </c>
      <c r="E1662" s="3" t="e">
        <f>INDEX(PEDIDOS!$A:$D,MATCH(FORNECEDOR!A1662,PEDIDOS!$A:$A,0),4)</f>
        <v>#N/A</v>
      </c>
    </row>
    <row r="1663" spans="1:5" x14ac:dyDescent="0.25">
      <c r="A1663" s="1" t="s">
        <v>1662</v>
      </c>
      <c r="B1663" s="3">
        <f>COUNTIF(PEDIDOS!$A:$A,FORNECEDOR!A1663)</f>
        <v>1</v>
      </c>
      <c r="C1663" s="3" t="str">
        <f>INDEX(PEDIDOS!$A:$D,MATCH(FORNECEDOR!A1663,PEDIDOS!$A:$A,0),2)</f>
        <v>MATRIZ</v>
      </c>
      <c r="D1663" s="3" t="str">
        <f>INDEX(PEDIDOS!$A:$D,MATCH(FORNECEDOR!A1663,PEDIDOS!$A:$A,0),3)</f>
        <v>MATRIZ</v>
      </c>
      <c r="E1663" s="3" t="str">
        <f>INDEX(PEDIDOS!$A:$D,MATCH(FORNECEDOR!A1663,PEDIDOS!$A:$A,0),4)</f>
        <v>MATRIZ</v>
      </c>
    </row>
    <row r="1664" spans="1:5" x14ac:dyDescent="0.25">
      <c r="A1664" s="1" t="s">
        <v>1663</v>
      </c>
      <c r="B1664" s="3">
        <f>COUNTIF(PEDIDOS!$A:$A,FORNECEDOR!A1664)</f>
        <v>1</v>
      </c>
      <c r="C1664" s="3" t="str">
        <f>INDEX(PEDIDOS!$A:$D,MATCH(FORNECEDOR!A1664,PEDIDOS!$A:$A,0),2)</f>
        <v>CD REGIS</v>
      </c>
      <c r="D1664" s="3" t="str">
        <f>INDEX(PEDIDOS!$A:$D,MATCH(FORNECEDOR!A1664,PEDIDOS!$A:$A,0),3)</f>
        <v>TATUAPE</v>
      </c>
      <c r="E1664" s="3" t="str">
        <f>INDEX(PEDIDOS!$A:$D,MATCH(FORNECEDOR!A1664,PEDIDOS!$A:$A,0),4)</f>
        <v>CD REGIS</v>
      </c>
    </row>
    <row r="1665" spans="1:5" hidden="1" x14ac:dyDescent="0.25">
      <c r="A1665" s="1" t="s">
        <v>1664</v>
      </c>
      <c r="B1665" s="3">
        <f>COUNTIF(PEDIDOS!$A:$A,FORNECEDOR!A1665)</f>
        <v>0</v>
      </c>
      <c r="C1665" s="3" t="e">
        <f>INDEX(PEDIDOS!$A:$D,MATCH(FORNECEDOR!A1665,PEDIDOS!$A:$A,0),2)</f>
        <v>#N/A</v>
      </c>
      <c r="D1665" s="3" t="e">
        <f>INDEX(PEDIDOS!$A:$D,MATCH(FORNECEDOR!A1665,PEDIDOS!$A:$A,0),3)</f>
        <v>#N/A</v>
      </c>
      <c r="E1665" s="3" t="e">
        <f>INDEX(PEDIDOS!$A:$D,MATCH(FORNECEDOR!A1665,PEDIDOS!$A:$A,0),4)</f>
        <v>#N/A</v>
      </c>
    </row>
    <row r="1666" spans="1:5" x14ac:dyDescent="0.25">
      <c r="A1666" s="1" t="s">
        <v>1665</v>
      </c>
      <c r="B1666" s="3">
        <f>COUNTIF(PEDIDOS!$A:$A,FORNECEDOR!A1666)</f>
        <v>2</v>
      </c>
      <c r="C1666" s="3" t="str">
        <f>INDEX(PEDIDOS!$A:$D,MATCH(FORNECEDOR!A1666,PEDIDOS!$A:$A,0),2)</f>
        <v>CD NAVEGANTES</v>
      </c>
      <c r="D1666" s="3" t="str">
        <f>INDEX(PEDIDOS!$A:$D,MATCH(FORNECEDOR!A1666,PEDIDOS!$A:$A,0),3)</f>
        <v>MATRIZ</v>
      </c>
      <c r="E1666" s="3" t="str">
        <f>INDEX(PEDIDOS!$A:$D,MATCH(FORNECEDOR!A1666,PEDIDOS!$A:$A,0),4)</f>
        <v>CD NAVEGANTES</v>
      </c>
    </row>
    <row r="1667" spans="1:5" x14ac:dyDescent="0.25">
      <c r="A1667" s="1" t="s">
        <v>1666</v>
      </c>
      <c r="B1667" s="3">
        <f>COUNTIF(PEDIDOS!$A:$A,FORNECEDOR!A1667)</f>
        <v>1</v>
      </c>
      <c r="C1667" s="3" t="str">
        <f>INDEX(PEDIDOS!$A:$D,MATCH(FORNECEDOR!A1667,PEDIDOS!$A:$A,0),2)</f>
        <v>ANPPLA</v>
      </c>
      <c r="D1667" s="3" t="str">
        <f>INDEX(PEDIDOS!$A:$D,MATCH(FORNECEDOR!A1667,PEDIDOS!$A:$A,0),3)</f>
        <v>ANPPLA</v>
      </c>
      <c r="E1667" s="3" t="str">
        <f>INDEX(PEDIDOS!$A:$D,MATCH(FORNECEDOR!A1667,PEDIDOS!$A:$A,0),4)</f>
        <v>ANPPLA</v>
      </c>
    </row>
    <row r="1668" spans="1:5" hidden="1" x14ac:dyDescent="0.25">
      <c r="A1668" s="1" t="s">
        <v>1667</v>
      </c>
      <c r="B1668" s="3">
        <f>COUNTIF(PEDIDOS!$A:$A,FORNECEDOR!A1668)</f>
        <v>0</v>
      </c>
      <c r="C1668" s="3" t="e">
        <f>INDEX(PEDIDOS!$A:$D,MATCH(FORNECEDOR!A1668,PEDIDOS!$A:$A,0),2)</f>
        <v>#N/A</v>
      </c>
      <c r="D1668" s="3" t="e">
        <f>INDEX(PEDIDOS!$A:$D,MATCH(FORNECEDOR!A1668,PEDIDOS!$A:$A,0),3)</f>
        <v>#N/A</v>
      </c>
      <c r="E1668" s="3" t="e">
        <f>INDEX(PEDIDOS!$A:$D,MATCH(FORNECEDOR!A1668,PEDIDOS!$A:$A,0),4)</f>
        <v>#N/A</v>
      </c>
    </row>
    <row r="1669" spans="1:5" hidden="1" x14ac:dyDescent="0.25">
      <c r="A1669" s="1" t="s">
        <v>1668</v>
      </c>
      <c r="B1669" s="3">
        <f>COUNTIF(PEDIDOS!$A:$A,FORNECEDOR!A1669)</f>
        <v>0</v>
      </c>
      <c r="C1669" s="3" t="e">
        <f>INDEX(PEDIDOS!$A:$D,MATCH(FORNECEDOR!A1669,PEDIDOS!$A:$A,0),2)</f>
        <v>#N/A</v>
      </c>
      <c r="D1669" s="3" t="e">
        <f>INDEX(PEDIDOS!$A:$D,MATCH(FORNECEDOR!A1669,PEDIDOS!$A:$A,0),3)</f>
        <v>#N/A</v>
      </c>
      <c r="E1669" s="3" t="e">
        <f>INDEX(PEDIDOS!$A:$D,MATCH(FORNECEDOR!A1669,PEDIDOS!$A:$A,0),4)</f>
        <v>#N/A</v>
      </c>
    </row>
    <row r="1670" spans="1:5" hidden="1" x14ac:dyDescent="0.25">
      <c r="A1670" s="1" t="s">
        <v>1669</v>
      </c>
      <c r="B1670" s="3">
        <f>COUNTIF(PEDIDOS!$A:$A,FORNECEDOR!A1670)</f>
        <v>0</v>
      </c>
      <c r="C1670" s="3" t="e">
        <f>INDEX(PEDIDOS!$A:$D,MATCH(FORNECEDOR!A1670,PEDIDOS!$A:$A,0),2)</f>
        <v>#N/A</v>
      </c>
      <c r="D1670" s="3" t="e">
        <f>INDEX(PEDIDOS!$A:$D,MATCH(FORNECEDOR!A1670,PEDIDOS!$A:$A,0),3)</f>
        <v>#N/A</v>
      </c>
      <c r="E1670" s="3" t="e">
        <f>INDEX(PEDIDOS!$A:$D,MATCH(FORNECEDOR!A1670,PEDIDOS!$A:$A,0),4)</f>
        <v>#N/A</v>
      </c>
    </row>
    <row r="1671" spans="1:5" hidden="1" x14ac:dyDescent="0.25">
      <c r="A1671" s="1" t="s">
        <v>1670</v>
      </c>
      <c r="B1671" s="3">
        <f>COUNTIF(PEDIDOS!$A:$A,FORNECEDOR!A1671)</f>
        <v>0</v>
      </c>
      <c r="C1671" s="3" t="e">
        <f>INDEX(PEDIDOS!$A:$D,MATCH(FORNECEDOR!A1671,PEDIDOS!$A:$A,0),2)</f>
        <v>#N/A</v>
      </c>
      <c r="D1671" s="3" t="e">
        <f>INDEX(PEDIDOS!$A:$D,MATCH(FORNECEDOR!A1671,PEDIDOS!$A:$A,0),3)</f>
        <v>#N/A</v>
      </c>
      <c r="E1671" s="3" t="e">
        <f>INDEX(PEDIDOS!$A:$D,MATCH(FORNECEDOR!A1671,PEDIDOS!$A:$A,0),4)</f>
        <v>#N/A</v>
      </c>
    </row>
    <row r="1672" spans="1:5" x14ac:dyDescent="0.25">
      <c r="A1672" s="1" t="s">
        <v>1671</v>
      </c>
      <c r="B1672" s="3">
        <f>COUNTIF(PEDIDOS!$A:$A,FORNECEDOR!A1672)</f>
        <v>2</v>
      </c>
      <c r="C1672" s="3" t="str">
        <f>INDEX(PEDIDOS!$A:$D,MATCH(FORNECEDOR!A1672,PEDIDOS!$A:$A,0),2)</f>
        <v>MATRIZ</v>
      </c>
      <c r="D1672" s="3" t="str">
        <f>INDEX(PEDIDOS!$A:$D,MATCH(FORNECEDOR!A1672,PEDIDOS!$A:$A,0),3)</f>
        <v>MATRIZ</v>
      </c>
      <c r="E1672" s="3" t="str">
        <f>INDEX(PEDIDOS!$A:$D,MATCH(FORNECEDOR!A1672,PEDIDOS!$A:$A,0),4)</f>
        <v>MATRIZ</v>
      </c>
    </row>
    <row r="1673" spans="1:5" hidden="1" x14ac:dyDescent="0.25">
      <c r="A1673" s="1" t="s">
        <v>1672</v>
      </c>
      <c r="B1673" s="3">
        <f>COUNTIF(PEDIDOS!$A:$A,FORNECEDOR!A1673)</f>
        <v>0</v>
      </c>
      <c r="C1673" s="3" t="e">
        <f>INDEX(PEDIDOS!$A:$D,MATCH(FORNECEDOR!A1673,PEDIDOS!$A:$A,0),2)</f>
        <v>#N/A</v>
      </c>
      <c r="D1673" s="3" t="e">
        <f>INDEX(PEDIDOS!$A:$D,MATCH(FORNECEDOR!A1673,PEDIDOS!$A:$A,0),3)</f>
        <v>#N/A</v>
      </c>
      <c r="E1673" s="3" t="e">
        <f>INDEX(PEDIDOS!$A:$D,MATCH(FORNECEDOR!A1673,PEDIDOS!$A:$A,0),4)</f>
        <v>#N/A</v>
      </c>
    </row>
    <row r="1674" spans="1:5" x14ac:dyDescent="0.25">
      <c r="A1674" s="1" t="s">
        <v>1673</v>
      </c>
      <c r="B1674" s="3">
        <f>COUNTIF(PEDIDOS!$A:$A,FORNECEDOR!A1674)</f>
        <v>1</v>
      </c>
      <c r="C1674" s="3" t="str">
        <f>INDEX(PEDIDOS!$A:$D,MATCH(FORNECEDOR!A1674,PEDIDOS!$A:$A,0),2)</f>
        <v>CD REGIS</v>
      </c>
      <c r="D1674" s="3" t="str">
        <f>INDEX(PEDIDOS!$A:$D,MATCH(FORNECEDOR!A1674,PEDIDOS!$A:$A,0),3)</f>
        <v>MATRIZ</v>
      </c>
      <c r="E1674" s="3" t="str">
        <f>INDEX(PEDIDOS!$A:$D,MATCH(FORNECEDOR!A1674,PEDIDOS!$A:$A,0),4)</f>
        <v>CD REGIS</v>
      </c>
    </row>
    <row r="1675" spans="1:5" x14ac:dyDescent="0.25">
      <c r="A1675" s="1" t="s">
        <v>1674</v>
      </c>
      <c r="B1675" s="3">
        <f>COUNTIF(PEDIDOS!$A:$A,FORNECEDOR!A1675)</f>
        <v>1</v>
      </c>
      <c r="C1675" s="3" t="str">
        <f>INDEX(PEDIDOS!$A:$D,MATCH(FORNECEDOR!A1675,PEDIDOS!$A:$A,0),2)</f>
        <v>CD REGIS</v>
      </c>
      <c r="D1675" s="3" t="str">
        <f>INDEX(PEDIDOS!$A:$D,MATCH(FORNECEDOR!A1675,PEDIDOS!$A:$A,0),3)</f>
        <v>CD REGIS</v>
      </c>
      <c r="E1675" s="3" t="str">
        <f>INDEX(PEDIDOS!$A:$D,MATCH(FORNECEDOR!A1675,PEDIDOS!$A:$A,0),4)</f>
        <v>CD REGIS</v>
      </c>
    </row>
    <row r="1676" spans="1:5" hidden="1" x14ac:dyDescent="0.25">
      <c r="A1676" s="1" t="s">
        <v>1675</v>
      </c>
      <c r="B1676" s="3">
        <f>COUNTIF(PEDIDOS!$A:$A,FORNECEDOR!A1676)</f>
        <v>0</v>
      </c>
      <c r="C1676" s="3" t="e">
        <f>INDEX(PEDIDOS!$A:$D,MATCH(FORNECEDOR!A1676,PEDIDOS!$A:$A,0),2)</f>
        <v>#N/A</v>
      </c>
      <c r="D1676" s="3" t="e">
        <f>INDEX(PEDIDOS!$A:$D,MATCH(FORNECEDOR!A1676,PEDIDOS!$A:$A,0),3)</f>
        <v>#N/A</v>
      </c>
      <c r="E1676" s="3" t="e">
        <f>INDEX(PEDIDOS!$A:$D,MATCH(FORNECEDOR!A1676,PEDIDOS!$A:$A,0),4)</f>
        <v>#N/A</v>
      </c>
    </row>
    <row r="1677" spans="1:5" hidden="1" x14ac:dyDescent="0.25">
      <c r="A1677" s="1" t="s">
        <v>1676</v>
      </c>
      <c r="B1677" s="3">
        <f>COUNTIF(PEDIDOS!$A:$A,FORNECEDOR!A1677)</f>
        <v>0</v>
      </c>
      <c r="C1677" s="3" t="e">
        <f>INDEX(PEDIDOS!$A:$D,MATCH(FORNECEDOR!A1677,PEDIDOS!$A:$A,0),2)</f>
        <v>#N/A</v>
      </c>
      <c r="D1677" s="3" t="e">
        <f>INDEX(PEDIDOS!$A:$D,MATCH(FORNECEDOR!A1677,PEDIDOS!$A:$A,0),3)</f>
        <v>#N/A</v>
      </c>
      <c r="E1677" s="3" t="e">
        <f>INDEX(PEDIDOS!$A:$D,MATCH(FORNECEDOR!A1677,PEDIDOS!$A:$A,0),4)</f>
        <v>#N/A</v>
      </c>
    </row>
    <row r="1678" spans="1:5" hidden="1" x14ac:dyDescent="0.25">
      <c r="A1678" s="1" t="s">
        <v>1677</v>
      </c>
      <c r="B1678" s="3">
        <f>COUNTIF(PEDIDOS!$A:$A,FORNECEDOR!A1678)</f>
        <v>0</v>
      </c>
      <c r="C1678" s="3" t="e">
        <f>INDEX(PEDIDOS!$A:$D,MATCH(FORNECEDOR!A1678,PEDIDOS!$A:$A,0),2)</f>
        <v>#N/A</v>
      </c>
      <c r="D1678" s="3" t="e">
        <f>INDEX(PEDIDOS!$A:$D,MATCH(FORNECEDOR!A1678,PEDIDOS!$A:$A,0),3)</f>
        <v>#N/A</v>
      </c>
      <c r="E1678" s="3" t="e">
        <f>INDEX(PEDIDOS!$A:$D,MATCH(FORNECEDOR!A1678,PEDIDOS!$A:$A,0),4)</f>
        <v>#N/A</v>
      </c>
    </row>
    <row r="1679" spans="1:5" hidden="1" x14ac:dyDescent="0.25">
      <c r="A1679" s="1" t="s">
        <v>1678</v>
      </c>
      <c r="B1679" s="3">
        <f>COUNTIF(PEDIDOS!$A:$A,FORNECEDOR!A1679)</f>
        <v>0</v>
      </c>
      <c r="C1679" s="3" t="e">
        <f>INDEX(PEDIDOS!$A:$D,MATCH(FORNECEDOR!A1679,PEDIDOS!$A:$A,0),2)</f>
        <v>#N/A</v>
      </c>
      <c r="D1679" s="3" t="e">
        <f>INDEX(PEDIDOS!$A:$D,MATCH(FORNECEDOR!A1679,PEDIDOS!$A:$A,0),3)</f>
        <v>#N/A</v>
      </c>
      <c r="E1679" s="3" t="e">
        <f>INDEX(PEDIDOS!$A:$D,MATCH(FORNECEDOR!A1679,PEDIDOS!$A:$A,0),4)</f>
        <v>#N/A</v>
      </c>
    </row>
    <row r="1680" spans="1:5" hidden="1" x14ac:dyDescent="0.25">
      <c r="A1680" s="1" t="s">
        <v>1679</v>
      </c>
      <c r="B1680" s="3">
        <f>COUNTIF(PEDIDOS!$A:$A,FORNECEDOR!A1680)</f>
        <v>0</v>
      </c>
      <c r="C1680" s="3" t="e">
        <f>INDEX(PEDIDOS!$A:$D,MATCH(FORNECEDOR!A1680,PEDIDOS!$A:$A,0),2)</f>
        <v>#N/A</v>
      </c>
      <c r="D1680" s="3" t="e">
        <f>INDEX(PEDIDOS!$A:$D,MATCH(FORNECEDOR!A1680,PEDIDOS!$A:$A,0),3)</f>
        <v>#N/A</v>
      </c>
      <c r="E1680" s="3" t="e">
        <f>INDEX(PEDIDOS!$A:$D,MATCH(FORNECEDOR!A1680,PEDIDOS!$A:$A,0),4)</f>
        <v>#N/A</v>
      </c>
    </row>
    <row r="1681" spans="1:5" hidden="1" x14ac:dyDescent="0.25">
      <c r="A1681" s="1" t="s">
        <v>1680</v>
      </c>
      <c r="B1681" s="3">
        <f>COUNTIF(PEDIDOS!$A:$A,FORNECEDOR!A1681)</f>
        <v>0</v>
      </c>
      <c r="C1681" s="3" t="e">
        <f>INDEX(PEDIDOS!$A:$D,MATCH(FORNECEDOR!A1681,PEDIDOS!$A:$A,0),2)</f>
        <v>#N/A</v>
      </c>
      <c r="D1681" s="3" t="e">
        <f>INDEX(PEDIDOS!$A:$D,MATCH(FORNECEDOR!A1681,PEDIDOS!$A:$A,0),3)</f>
        <v>#N/A</v>
      </c>
      <c r="E1681" s="3" t="e">
        <f>INDEX(PEDIDOS!$A:$D,MATCH(FORNECEDOR!A1681,PEDIDOS!$A:$A,0),4)</f>
        <v>#N/A</v>
      </c>
    </row>
    <row r="1682" spans="1:5" hidden="1" x14ac:dyDescent="0.25">
      <c r="A1682" s="1" t="s">
        <v>1681</v>
      </c>
      <c r="B1682" s="3">
        <f>COUNTIF(PEDIDOS!$A:$A,FORNECEDOR!A1682)</f>
        <v>0</v>
      </c>
      <c r="C1682" s="3" t="e">
        <f>INDEX(PEDIDOS!$A:$D,MATCH(FORNECEDOR!A1682,PEDIDOS!$A:$A,0),2)</f>
        <v>#N/A</v>
      </c>
      <c r="D1682" s="3" t="e">
        <f>INDEX(PEDIDOS!$A:$D,MATCH(FORNECEDOR!A1682,PEDIDOS!$A:$A,0),3)</f>
        <v>#N/A</v>
      </c>
      <c r="E1682" s="3" t="e">
        <f>INDEX(PEDIDOS!$A:$D,MATCH(FORNECEDOR!A1682,PEDIDOS!$A:$A,0),4)</f>
        <v>#N/A</v>
      </c>
    </row>
    <row r="1683" spans="1:5" hidden="1" x14ac:dyDescent="0.25">
      <c r="A1683" s="1" t="s">
        <v>1682</v>
      </c>
      <c r="B1683" s="3">
        <f>COUNTIF(PEDIDOS!$A:$A,FORNECEDOR!A1683)</f>
        <v>0</v>
      </c>
      <c r="C1683" s="3" t="e">
        <f>INDEX(PEDIDOS!$A:$D,MATCH(FORNECEDOR!A1683,PEDIDOS!$A:$A,0),2)</f>
        <v>#N/A</v>
      </c>
      <c r="D1683" s="3" t="e">
        <f>INDEX(PEDIDOS!$A:$D,MATCH(FORNECEDOR!A1683,PEDIDOS!$A:$A,0),3)</f>
        <v>#N/A</v>
      </c>
      <c r="E1683" s="3" t="e">
        <f>INDEX(PEDIDOS!$A:$D,MATCH(FORNECEDOR!A1683,PEDIDOS!$A:$A,0),4)</f>
        <v>#N/A</v>
      </c>
    </row>
    <row r="1684" spans="1:5" x14ac:dyDescent="0.25">
      <c r="A1684" s="1" t="s">
        <v>1683</v>
      </c>
      <c r="B1684" s="3">
        <f>COUNTIF(PEDIDOS!$A:$A,FORNECEDOR!A1684)</f>
        <v>1</v>
      </c>
      <c r="C1684" s="3" t="str">
        <f>INDEX(PEDIDOS!$A:$D,MATCH(FORNECEDOR!A1684,PEDIDOS!$A:$A,0),2)</f>
        <v>CD REGIS</v>
      </c>
      <c r="D1684" s="3" t="str">
        <f>INDEX(PEDIDOS!$A:$D,MATCH(FORNECEDOR!A1684,PEDIDOS!$A:$A,0),3)</f>
        <v>TATUAPE</v>
      </c>
      <c r="E1684" s="3" t="str">
        <f>INDEX(PEDIDOS!$A:$D,MATCH(FORNECEDOR!A1684,PEDIDOS!$A:$A,0),4)</f>
        <v>CD REGIS</v>
      </c>
    </row>
    <row r="1685" spans="1:5" hidden="1" x14ac:dyDescent="0.25">
      <c r="A1685" s="1" t="s">
        <v>1684</v>
      </c>
      <c r="B1685" s="3">
        <f>COUNTIF(PEDIDOS!$A:$A,FORNECEDOR!A1685)</f>
        <v>0</v>
      </c>
      <c r="C1685" s="3" t="e">
        <f>INDEX(PEDIDOS!$A:$D,MATCH(FORNECEDOR!A1685,PEDIDOS!$A:$A,0),2)</f>
        <v>#N/A</v>
      </c>
      <c r="D1685" s="3" t="e">
        <f>INDEX(PEDIDOS!$A:$D,MATCH(FORNECEDOR!A1685,PEDIDOS!$A:$A,0),3)</f>
        <v>#N/A</v>
      </c>
      <c r="E1685" s="3" t="e">
        <f>INDEX(PEDIDOS!$A:$D,MATCH(FORNECEDOR!A1685,PEDIDOS!$A:$A,0),4)</f>
        <v>#N/A</v>
      </c>
    </row>
    <row r="1686" spans="1:5" hidden="1" x14ac:dyDescent="0.25">
      <c r="A1686" s="1" t="s">
        <v>1685</v>
      </c>
      <c r="B1686" s="3">
        <f>COUNTIF(PEDIDOS!$A:$A,FORNECEDOR!A1686)</f>
        <v>0</v>
      </c>
      <c r="C1686" s="3" t="e">
        <f>INDEX(PEDIDOS!$A:$D,MATCH(FORNECEDOR!A1686,PEDIDOS!$A:$A,0),2)</f>
        <v>#N/A</v>
      </c>
      <c r="D1686" s="3" t="e">
        <f>INDEX(PEDIDOS!$A:$D,MATCH(FORNECEDOR!A1686,PEDIDOS!$A:$A,0),3)</f>
        <v>#N/A</v>
      </c>
      <c r="E1686" s="3" t="e">
        <f>INDEX(PEDIDOS!$A:$D,MATCH(FORNECEDOR!A1686,PEDIDOS!$A:$A,0),4)</f>
        <v>#N/A</v>
      </c>
    </row>
    <row r="1687" spans="1:5" x14ac:dyDescent="0.25">
      <c r="A1687" s="1" t="s">
        <v>1686</v>
      </c>
      <c r="B1687" s="3">
        <f>COUNTIF(PEDIDOS!$A:$A,FORNECEDOR!A1687)</f>
        <v>7</v>
      </c>
      <c r="C1687" s="3" t="str">
        <f>INDEX(PEDIDOS!$A:$D,MATCH(FORNECEDOR!A1687,PEDIDOS!$A:$A,0),2)</f>
        <v>CD ARAQUARI</v>
      </c>
      <c r="D1687" s="3" t="str">
        <f>INDEX(PEDIDOS!$A:$D,MATCH(FORNECEDOR!A1687,PEDIDOS!$A:$A,0),3)</f>
        <v>MATRIZ</v>
      </c>
      <c r="E1687" s="3" t="str">
        <f>INDEX(PEDIDOS!$A:$D,MATCH(FORNECEDOR!A1687,PEDIDOS!$A:$A,0),4)</f>
        <v>CD ARAQUARI</v>
      </c>
    </row>
    <row r="1688" spans="1:5" x14ac:dyDescent="0.25">
      <c r="A1688" s="1" t="s">
        <v>1687</v>
      </c>
      <c r="B1688" s="3">
        <f>COUNTIF(PEDIDOS!$A:$A,FORNECEDOR!A1688)</f>
        <v>1</v>
      </c>
      <c r="C1688" s="3" t="str">
        <f>INDEX(PEDIDOS!$A:$D,MATCH(FORNECEDOR!A1688,PEDIDOS!$A:$A,0),2)</f>
        <v>CD REGIS</v>
      </c>
      <c r="D1688" s="3" t="str">
        <f>INDEX(PEDIDOS!$A:$D,MATCH(FORNECEDOR!A1688,PEDIDOS!$A:$A,0),3)</f>
        <v>MATRIZ</v>
      </c>
      <c r="E1688" s="3" t="str">
        <f>INDEX(PEDIDOS!$A:$D,MATCH(FORNECEDOR!A1688,PEDIDOS!$A:$A,0),4)</f>
        <v>CD REGIS</v>
      </c>
    </row>
    <row r="1689" spans="1:5" x14ac:dyDescent="0.25">
      <c r="A1689" s="1" t="s">
        <v>1688</v>
      </c>
      <c r="B1689" s="3">
        <f>COUNTIF(PEDIDOS!$A:$A,FORNECEDOR!A1689)</f>
        <v>1</v>
      </c>
      <c r="C1689" s="3" t="str">
        <f>INDEX(PEDIDOS!$A:$D,MATCH(FORNECEDOR!A1689,PEDIDOS!$A:$A,0),2)</f>
        <v>CD REGIS</v>
      </c>
      <c r="D1689" s="3" t="str">
        <f>INDEX(PEDIDOS!$A:$D,MATCH(FORNECEDOR!A1689,PEDIDOS!$A:$A,0),3)</f>
        <v>MATRIZ</v>
      </c>
      <c r="E1689" s="3" t="str">
        <f>INDEX(PEDIDOS!$A:$D,MATCH(FORNECEDOR!A1689,PEDIDOS!$A:$A,0),4)</f>
        <v>CD REGIS</v>
      </c>
    </row>
    <row r="1690" spans="1:5" hidden="1" x14ac:dyDescent="0.25">
      <c r="A1690" s="1" t="s">
        <v>1689</v>
      </c>
      <c r="B1690" s="3">
        <f>COUNTIF(PEDIDOS!$A:$A,FORNECEDOR!A1690)</f>
        <v>0</v>
      </c>
      <c r="C1690" s="3" t="e">
        <f>INDEX(PEDIDOS!$A:$D,MATCH(FORNECEDOR!A1690,PEDIDOS!$A:$A,0),2)</f>
        <v>#N/A</v>
      </c>
      <c r="D1690" s="3" t="e">
        <f>INDEX(PEDIDOS!$A:$D,MATCH(FORNECEDOR!A1690,PEDIDOS!$A:$A,0),3)</f>
        <v>#N/A</v>
      </c>
      <c r="E1690" s="3" t="e">
        <f>INDEX(PEDIDOS!$A:$D,MATCH(FORNECEDOR!A1690,PEDIDOS!$A:$A,0),4)</f>
        <v>#N/A</v>
      </c>
    </row>
    <row r="1691" spans="1:5" hidden="1" x14ac:dyDescent="0.25">
      <c r="A1691" s="1" t="s">
        <v>1690</v>
      </c>
      <c r="B1691" s="3">
        <f>COUNTIF(PEDIDOS!$A:$A,FORNECEDOR!A1691)</f>
        <v>0</v>
      </c>
      <c r="C1691" s="3" t="e">
        <f>INDEX(PEDIDOS!$A:$D,MATCH(FORNECEDOR!A1691,PEDIDOS!$A:$A,0),2)</f>
        <v>#N/A</v>
      </c>
      <c r="D1691" s="3" t="e">
        <f>INDEX(PEDIDOS!$A:$D,MATCH(FORNECEDOR!A1691,PEDIDOS!$A:$A,0),3)</f>
        <v>#N/A</v>
      </c>
      <c r="E1691" s="3" t="e">
        <f>INDEX(PEDIDOS!$A:$D,MATCH(FORNECEDOR!A1691,PEDIDOS!$A:$A,0),4)</f>
        <v>#N/A</v>
      </c>
    </row>
    <row r="1692" spans="1:5" hidden="1" x14ac:dyDescent="0.25">
      <c r="A1692" s="1" t="s">
        <v>1691</v>
      </c>
      <c r="B1692" s="3">
        <f>COUNTIF(PEDIDOS!$A:$A,FORNECEDOR!A1692)</f>
        <v>0</v>
      </c>
      <c r="C1692" s="3" t="e">
        <f>INDEX(PEDIDOS!$A:$D,MATCH(FORNECEDOR!A1692,PEDIDOS!$A:$A,0),2)</f>
        <v>#N/A</v>
      </c>
      <c r="D1692" s="3" t="e">
        <f>INDEX(PEDIDOS!$A:$D,MATCH(FORNECEDOR!A1692,PEDIDOS!$A:$A,0),3)</f>
        <v>#N/A</v>
      </c>
      <c r="E1692" s="3" t="e">
        <f>INDEX(PEDIDOS!$A:$D,MATCH(FORNECEDOR!A1692,PEDIDOS!$A:$A,0),4)</f>
        <v>#N/A</v>
      </c>
    </row>
    <row r="1693" spans="1:5" x14ac:dyDescent="0.25">
      <c r="A1693" s="1" t="s">
        <v>1692</v>
      </c>
      <c r="B1693" s="3">
        <f>COUNTIF(PEDIDOS!$A:$A,FORNECEDOR!A1693)</f>
        <v>3</v>
      </c>
      <c r="C1693" s="3" t="str">
        <f>INDEX(PEDIDOS!$A:$D,MATCH(FORNECEDOR!A1693,PEDIDOS!$A:$A,0),2)</f>
        <v>CD ARAQUARI</v>
      </c>
      <c r="D1693" s="3" t="str">
        <f>INDEX(PEDIDOS!$A:$D,MATCH(FORNECEDOR!A1693,PEDIDOS!$A:$A,0),3)</f>
        <v>MATRIZ</v>
      </c>
      <c r="E1693" s="3" t="str">
        <f>INDEX(PEDIDOS!$A:$D,MATCH(FORNECEDOR!A1693,PEDIDOS!$A:$A,0),4)</f>
        <v>CD ARAQUARI</v>
      </c>
    </row>
    <row r="1694" spans="1:5" hidden="1" x14ac:dyDescent="0.25">
      <c r="A1694" s="1" t="s">
        <v>1693</v>
      </c>
      <c r="B1694" s="3">
        <f>COUNTIF(PEDIDOS!$A:$A,FORNECEDOR!A1694)</f>
        <v>0</v>
      </c>
      <c r="C1694" s="3" t="e">
        <f>INDEX(PEDIDOS!$A:$D,MATCH(FORNECEDOR!A1694,PEDIDOS!$A:$A,0),2)</f>
        <v>#N/A</v>
      </c>
      <c r="D1694" s="3" t="e">
        <f>INDEX(PEDIDOS!$A:$D,MATCH(FORNECEDOR!A1694,PEDIDOS!$A:$A,0),3)</f>
        <v>#N/A</v>
      </c>
      <c r="E1694" s="3" t="e">
        <f>INDEX(PEDIDOS!$A:$D,MATCH(FORNECEDOR!A1694,PEDIDOS!$A:$A,0),4)</f>
        <v>#N/A</v>
      </c>
    </row>
    <row r="1695" spans="1:5" x14ac:dyDescent="0.25">
      <c r="A1695" s="1" t="s">
        <v>1694</v>
      </c>
      <c r="B1695" s="3">
        <f>COUNTIF(PEDIDOS!$A:$A,FORNECEDOR!A1695)</f>
        <v>1</v>
      </c>
      <c r="C1695" s="3" t="str">
        <f>INDEX(PEDIDOS!$A:$D,MATCH(FORNECEDOR!A1695,PEDIDOS!$A:$A,0),2)</f>
        <v>MATRIZ</v>
      </c>
      <c r="D1695" s="3" t="str">
        <f>INDEX(PEDIDOS!$A:$D,MATCH(FORNECEDOR!A1695,PEDIDOS!$A:$A,0),3)</f>
        <v>MATRIZ</v>
      </c>
      <c r="E1695" s="3" t="str">
        <f>INDEX(PEDIDOS!$A:$D,MATCH(FORNECEDOR!A1695,PEDIDOS!$A:$A,0),4)</f>
        <v>MATRIZ</v>
      </c>
    </row>
    <row r="1696" spans="1:5" x14ac:dyDescent="0.25">
      <c r="A1696" s="1" t="s">
        <v>1695</v>
      </c>
      <c r="B1696" s="3">
        <f>COUNTIF(PEDIDOS!$A:$A,FORNECEDOR!A1696)</f>
        <v>2</v>
      </c>
      <c r="C1696" s="3" t="str">
        <f>INDEX(PEDIDOS!$A:$D,MATCH(FORNECEDOR!A1696,PEDIDOS!$A:$A,0),2)</f>
        <v>CD REGIS</v>
      </c>
      <c r="D1696" s="3" t="str">
        <f>INDEX(PEDIDOS!$A:$D,MATCH(FORNECEDOR!A1696,PEDIDOS!$A:$A,0),3)</f>
        <v>MATRIZ</v>
      </c>
      <c r="E1696" s="3" t="str">
        <f>INDEX(PEDIDOS!$A:$D,MATCH(FORNECEDOR!A1696,PEDIDOS!$A:$A,0),4)</f>
        <v>CD REGIS</v>
      </c>
    </row>
    <row r="1697" spans="1:5" hidden="1" x14ac:dyDescent="0.25">
      <c r="A1697" s="1" t="s">
        <v>1696</v>
      </c>
      <c r="B1697" s="3">
        <f>COUNTIF(PEDIDOS!$A:$A,FORNECEDOR!A1697)</f>
        <v>0</v>
      </c>
      <c r="C1697" s="3" t="e">
        <f>INDEX(PEDIDOS!$A:$D,MATCH(FORNECEDOR!A1697,PEDIDOS!$A:$A,0),2)</f>
        <v>#N/A</v>
      </c>
      <c r="D1697" s="3" t="e">
        <f>INDEX(PEDIDOS!$A:$D,MATCH(FORNECEDOR!A1697,PEDIDOS!$A:$A,0),3)</f>
        <v>#N/A</v>
      </c>
      <c r="E1697" s="3" t="e">
        <f>INDEX(PEDIDOS!$A:$D,MATCH(FORNECEDOR!A1697,PEDIDOS!$A:$A,0),4)</f>
        <v>#N/A</v>
      </c>
    </row>
    <row r="1698" spans="1:5" hidden="1" x14ac:dyDescent="0.25">
      <c r="A1698" s="1" t="s">
        <v>1697</v>
      </c>
      <c r="B1698" s="3">
        <f>COUNTIF(PEDIDOS!$A:$A,FORNECEDOR!A1698)</f>
        <v>0</v>
      </c>
      <c r="C1698" s="3" t="e">
        <f>INDEX(PEDIDOS!$A:$D,MATCH(FORNECEDOR!A1698,PEDIDOS!$A:$A,0),2)</f>
        <v>#N/A</v>
      </c>
      <c r="D1698" s="3" t="e">
        <f>INDEX(PEDIDOS!$A:$D,MATCH(FORNECEDOR!A1698,PEDIDOS!$A:$A,0),3)</f>
        <v>#N/A</v>
      </c>
      <c r="E1698" s="3" t="e">
        <f>INDEX(PEDIDOS!$A:$D,MATCH(FORNECEDOR!A1698,PEDIDOS!$A:$A,0),4)</f>
        <v>#N/A</v>
      </c>
    </row>
    <row r="1699" spans="1:5" hidden="1" x14ac:dyDescent="0.25">
      <c r="A1699" s="1" t="s">
        <v>1698</v>
      </c>
      <c r="B1699" s="3">
        <f>COUNTIF(PEDIDOS!$A:$A,FORNECEDOR!A1699)</f>
        <v>0</v>
      </c>
      <c r="C1699" s="3" t="e">
        <f>INDEX(PEDIDOS!$A:$D,MATCH(FORNECEDOR!A1699,PEDIDOS!$A:$A,0),2)</f>
        <v>#N/A</v>
      </c>
      <c r="D1699" s="3" t="e">
        <f>INDEX(PEDIDOS!$A:$D,MATCH(FORNECEDOR!A1699,PEDIDOS!$A:$A,0),3)</f>
        <v>#N/A</v>
      </c>
      <c r="E1699" s="3" t="e">
        <f>INDEX(PEDIDOS!$A:$D,MATCH(FORNECEDOR!A1699,PEDIDOS!$A:$A,0),4)</f>
        <v>#N/A</v>
      </c>
    </row>
    <row r="1700" spans="1:5" hidden="1" x14ac:dyDescent="0.25">
      <c r="A1700" s="1" t="s">
        <v>1699</v>
      </c>
      <c r="B1700" s="3">
        <f>COUNTIF(PEDIDOS!$A:$A,FORNECEDOR!A1700)</f>
        <v>0</v>
      </c>
      <c r="C1700" s="3" t="e">
        <f>INDEX(PEDIDOS!$A:$D,MATCH(FORNECEDOR!A1700,PEDIDOS!$A:$A,0),2)</f>
        <v>#N/A</v>
      </c>
      <c r="D1700" s="3" t="e">
        <f>INDEX(PEDIDOS!$A:$D,MATCH(FORNECEDOR!A1700,PEDIDOS!$A:$A,0),3)</f>
        <v>#N/A</v>
      </c>
      <c r="E1700" s="3" t="e">
        <f>INDEX(PEDIDOS!$A:$D,MATCH(FORNECEDOR!A1700,PEDIDOS!$A:$A,0),4)</f>
        <v>#N/A</v>
      </c>
    </row>
    <row r="1701" spans="1:5" x14ac:dyDescent="0.25">
      <c r="A1701" s="1" t="s">
        <v>1700</v>
      </c>
      <c r="B1701" s="3">
        <f>COUNTIF(PEDIDOS!$A:$A,FORNECEDOR!A1701)</f>
        <v>1</v>
      </c>
      <c r="C1701" s="3" t="str">
        <f>INDEX(PEDIDOS!$A:$D,MATCH(FORNECEDOR!A1701,PEDIDOS!$A:$A,0),2)</f>
        <v>CD NAVEGANTES</v>
      </c>
      <c r="D1701" s="3" t="str">
        <f>INDEX(PEDIDOS!$A:$D,MATCH(FORNECEDOR!A1701,PEDIDOS!$A:$A,0),3)</f>
        <v>MATRIZ</v>
      </c>
      <c r="E1701" s="3" t="str">
        <f>INDEX(PEDIDOS!$A:$D,MATCH(FORNECEDOR!A1701,PEDIDOS!$A:$A,0),4)</f>
        <v>CD NAVEGANTES</v>
      </c>
    </row>
    <row r="1702" spans="1:5" x14ac:dyDescent="0.25">
      <c r="A1702" s="1" t="s">
        <v>1701</v>
      </c>
      <c r="B1702" s="3">
        <f>COUNTIF(PEDIDOS!$A:$A,FORNECEDOR!A1702)</f>
        <v>1</v>
      </c>
      <c r="C1702" s="3" t="str">
        <f>INDEX(PEDIDOS!$A:$D,MATCH(FORNECEDOR!A1702,PEDIDOS!$A:$A,0),2)</f>
        <v>MATRIZ</v>
      </c>
      <c r="D1702" s="3" t="str">
        <f>INDEX(PEDIDOS!$A:$D,MATCH(FORNECEDOR!A1702,PEDIDOS!$A:$A,0),3)</f>
        <v>MATRIZ</v>
      </c>
      <c r="E1702" s="3" t="str">
        <f>INDEX(PEDIDOS!$A:$D,MATCH(FORNECEDOR!A1702,PEDIDOS!$A:$A,0),4)</f>
        <v>MATRIZ</v>
      </c>
    </row>
    <row r="1703" spans="1:5" hidden="1" x14ac:dyDescent="0.25">
      <c r="A1703" s="1" t="s">
        <v>1702</v>
      </c>
      <c r="B1703" s="3">
        <f>COUNTIF(PEDIDOS!$A:$A,FORNECEDOR!A1703)</f>
        <v>0</v>
      </c>
      <c r="C1703" s="3" t="e">
        <f>INDEX(PEDIDOS!$A:$D,MATCH(FORNECEDOR!A1703,PEDIDOS!$A:$A,0),2)</f>
        <v>#N/A</v>
      </c>
      <c r="D1703" s="3" t="e">
        <f>INDEX(PEDIDOS!$A:$D,MATCH(FORNECEDOR!A1703,PEDIDOS!$A:$A,0),3)</f>
        <v>#N/A</v>
      </c>
      <c r="E1703" s="3" t="e">
        <f>INDEX(PEDIDOS!$A:$D,MATCH(FORNECEDOR!A1703,PEDIDOS!$A:$A,0),4)</f>
        <v>#N/A</v>
      </c>
    </row>
    <row r="1704" spans="1:5" x14ac:dyDescent="0.25">
      <c r="A1704" s="1" t="s">
        <v>1703</v>
      </c>
      <c r="B1704" s="3">
        <f>COUNTIF(PEDIDOS!$A:$A,FORNECEDOR!A1704)</f>
        <v>2</v>
      </c>
      <c r="C1704" s="3" t="str">
        <f>INDEX(PEDIDOS!$A:$D,MATCH(FORNECEDOR!A1704,PEDIDOS!$A:$A,0),2)</f>
        <v>PIRASSUNUNGA</v>
      </c>
      <c r="D1704" s="3" t="str">
        <f>INDEX(PEDIDOS!$A:$D,MATCH(FORNECEDOR!A1704,PEDIDOS!$A:$A,0),3)</f>
        <v>PIRASSUNUNGA</v>
      </c>
      <c r="E1704" s="3" t="str">
        <f>INDEX(PEDIDOS!$A:$D,MATCH(FORNECEDOR!A1704,PEDIDOS!$A:$A,0),4)</f>
        <v>PIRASSUNUNGA</v>
      </c>
    </row>
    <row r="1705" spans="1:5" hidden="1" x14ac:dyDescent="0.25">
      <c r="A1705" s="1" t="s">
        <v>1704</v>
      </c>
      <c r="B1705" s="3">
        <f>COUNTIF(PEDIDOS!$A:$A,FORNECEDOR!A1705)</f>
        <v>0</v>
      </c>
      <c r="C1705" s="3" t="e">
        <f>INDEX(PEDIDOS!$A:$D,MATCH(FORNECEDOR!A1705,PEDIDOS!$A:$A,0),2)</f>
        <v>#N/A</v>
      </c>
      <c r="D1705" s="3" t="e">
        <f>INDEX(PEDIDOS!$A:$D,MATCH(FORNECEDOR!A1705,PEDIDOS!$A:$A,0),3)</f>
        <v>#N/A</v>
      </c>
      <c r="E1705" s="3" t="e">
        <f>INDEX(PEDIDOS!$A:$D,MATCH(FORNECEDOR!A1705,PEDIDOS!$A:$A,0),4)</f>
        <v>#N/A</v>
      </c>
    </row>
    <row r="1706" spans="1:5" hidden="1" x14ac:dyDescent="0.25">
      <c r="A1706" s="1" t="s">
        <v>1705</v>
      </c>
      <c r="B1706" s="3">
        <f>COUNTIF(PEDIDOS!$A:$A,FORNECEDOR!A1706)</f>
        <v>0</v>
      </c>
      <c r="C1706" s="3" t="e">
        <f>INDEX(PEDIDOS!$A:$D,MATCH(FORNECEDOR!A1706,PEDIDOS!$A:$A,0),2)</f>
        <v>#N/A</v>
      </c>
      <c r="D1706" s="3" t="e">
        <f>INDEX(PEDIDOS!$A:$D,MATCH(FORNECEDOR!A1706,PEDIDOS!$A:$A,0),3)</f>
        <v>#N/A</v>
      </c>
      <c r="E1706" s="3" t="e">
        <f>INDEX(PEDIDOS!$A:$D,MATCH(FORNECEDOR!A1706,PEDIDOS!$A:$A,0),4)</f>
        <v>#N/A</v>
      </c>
    </row>
    <row r="1707" spans="1:5" x14ac:dyDescent="0.25">
      <c r="A1707" s="1" t="s">
        <v>1706</v>
      </c>
      <c r="B1707" s="3">
        <f>COUNTIF(PEDIDOS!$A:$A,FORNECEDOR!A1707)</f>
        <v>1</v>
      </c>
      <c r="C1707" s="3" t="str">
        <f>INDEX(PEDIDOS!$A:$D,MATCH(FORNECEDOR!A1707,PEDIDOS!$A:$A,0),2)</f>
        <v>CD REGIS</v>
      </c>
      <c r="D1707" s="3" t="str">
        <f>INDEX(PEDIDOS!$A:$D,MATCH(FORNECEDOR!A1707,PEDIDOS!$A:$A,0),3)</f>
        <v>TATUAPE</v>
      </c>
      <c r="E1707" s="3" t="str">
        <f>INDEX(PEDIDOS!$A:$D,MATCH(FORNECEDOR!A1707,PEDIDOS!$A:$A,0),4)</f>
        <v>CD REGIS</v>
      </c>
    </row>
    <row r="1708" spans="1:5" x14ac:dyDescent="0.25">
      <c r="A1708" s="1" t="s">
        <v>1707</v>
      </c>
      <c r="B1708" s="3">
        <f>COUNTIF(PEDIDOS!$A:$A,FORNECEDOR!A1708)</f>
        <v>1</v>
      </c>
      <c r="C1708" s="3" t="str">
        <f>INDEX(PEDIDOS!$A:$D,MATCH(FORNECEDOR!A1708,PEDIDOS!$A:$A,0),2)</f>
        <v>CD REGIS</v>
      </c>
      <c r="D1708" s="3" t="str">
        <f>INDEX(PEDIDOS!$A:$D,MATCH(FORNECEDOR!A1708,PEDIDOS!$A:$A,0),3)</f>
        <v>MATRIZ</v>
      </c>
      <c r="E1708" s="3" t="str">
        <f>INDEX(PEDIDOS!$A:$D,MATCH(FORNECEDOR!A1708,PEDIDOS!$A:$A,0),4)</f>
        <v>CD REGIS</v>
      </c>
    </row>
    <row r="1709" spans="1:5" hidden="1" x14ac:dyDescent="0.25">
      <c r="A1709" s="1" t="s">
        <v>1708</v>
      </c>
      <c r="B1709" s="3">
        <f>COUNTIF(PEDIDOS!$A:$A,FORNECEDOR!A1709)</f>
        <v>0</v>
      </c>
      <c r="C1709" s="3" t="e">
        <f>INDEX(PEDIDOS!$A:$D,MATCH(FORNECEDOR!A1709,PEDIDOS!$A:$A,0),2)</f>
        <v>#N/A</v>
      </c>
      <c r="D1709" s="3" t="e">
        <f>INDEX(PEDIDOS!$A:$D,MATCH(FORNECEDOR!A1709,PEDIDOS!$A:$A,0),3)</f>
        <v>#N/A</v>
      </c>
      <c r="E1709" s="3" t="e">
        <f>INDEX(PEDIDOS!$A:$D,MATCH(FORNECEDOR!A1709,PEDIDOS!$A:$A,0),4)</f>
        <v>#N/A</v>
      </c>
    </row>
    <row r="1710" spans="1:5" x14ac:dyDescent="0.25">
      <c r="A1710" s="1" t="s">
        <v>1709</v>
      </c>
      <c r="B1710" s="3">
        <f>COUNTIF(PEDIDOS!$A:$A,FORNECEDOR!A1710)</f>
        <v>1</v>
      </c>
      <c r="C1710" s="3" t="str">
        <f>INDEX(PEDIDOS!$A:$D,MATCH(FORNECEDOR!A1710,PEDIDOS!$A:$A,0),2)</f>
        <v>MATRIZ</v>
      </c>
      <c r="D1710" s="3" t="str">
        <f>INDEX(PEDIDOS!$A:$D,MATCH(FORNECEDOR!A1710,PEDIDOS!$A:$A,0),3)</f>
        <v>MATRIZ</v>
      </c>
      <c r="E1710" s="3" t="str">
        <f>INDEX(PEDIDOS!$A:$D,MATCH(FORNECEDOR!A1710,PEDIDOS!$A:$A,0),4)</f>
        <v>MATRIZ</v>
      </c>
    </row>
    <row r="1711" spans="1:5" hidden="1" x14ac:dyDescent="0.25">
      <c r="A1711" s="1" t="s">
        <v>1710</v>
      </c>
      <c r="B1711" s="3">
        <f>COUNTIF(PEDIDOS!$A:$A,FORNECEDOR!A1711)</f>
        <v>0</v>
      </c>
      <c r="C1711" s="3" t="e">
        <f>INDEX(PEDIDOS!$A:$D,MATCH(FORNECEDOR!A1711,PEDIDOS!$A:$A,0),2)</f>
        <v>#N/A</v>
      </c>
      <c r="D1711" s="3" t="e">
        <f>INDEX(PEDIDOS!$A:$D,MATCH(FORNECEDOR!A1711,PEDIDOS!$A:$A,0),3)</f>
        <v>#N/A</v>
      </c>
      <c r="E1711" s="3" t="e">
        <f>INDEX(PEDIDOS!$A:$D,MATCH(FORNECEDOR!A1711,PEDIDOS!$A:$A,0),4)</f>
        <v>#N/A</v>
      </c>
    </row>
    <row r="1712" spans="1:5" hidden="1" x14ac:dyDescent="0.25">
      <c r="A1712" s="1" t="s">
        <v>1711</v>
      </c>
      <c r="B1712" s="3">
        <f>COUNTIF(PEDIDOS!$A:$A,FORNECEDOR!A1712)</f>
        <v>0</v>
      </c>
      <c r="C1712" s="3" t="e">
        <f>INDEX(PEDIDOS!$A:$D,MATCH(FORNECEDOR!A1712,PEDIDOS!$A:$A,0),2)</f>
        <v>#N/A</v>
      </c>
      <c r="D1712" s="3" t="e">
        <f>INDEX(PEDIDOS!$A:$D,MATCH(FORNECEDOR!A1712,PEDIDOS!$A:$A,0),3)</f>
        <v>#N/A</v>
      </c>
      <c r="E1712" s="3" t="e">
        <f>INDEX(PEDIDOS!$A:$D,MATCH(FORNECEDOR!A1712,PEDIDOS!$A:$A,0),4)</f>
        <v>#N/A</v>
      </c>
    </row>
    <row r="1713" spans="1:5" hidden="1" x14ac:dyDescent="0.25">
      <c r="A1713" s="1" t="s">
        <v>1712</v>
      </c>
      <c r="B1713" s="3">
        <f>COUNTIF(PEDIDOS!$A:$A,FORNECEDOR!A1713)</f>
        <v>0</v>
      </c>
      <c r="C1713" s="3" t="e">
        <f>INDEX(PEDIDOS!$A:$D,MATCH(FORNECEDOR!A1713,PEDIDOS!$A:$A,0),2)</f>
        <v>#N/A</v>
      </c>
      <c r="D1713" s="3" t="e">
        <f>INDEX(PEDIDOS!$A:$D,MATCH(FORNECEDOR!A1713,PEDIDOS!$A:$A,0),3)</f>
        <v>#N/A</v>
      </c>
      <c r="E1713" s="3" t="e">
        <f>INDEX(PEDIDOS!$A:$D,MATCH(FORNECEDOR!A1713,PEDIDOS!$A:$A,0),4)</f>
        <v>#N/A</v>
      </c>
    </row>
    <row r="1714" spans="1:5" hidden="1" x14ac:dyDescent="0.25">
      <c r="A1714" s="1" t="s">
        <v>1713</v>
      </c>
      <c r="B1714" s="3">
        <f>COUNTIF(PEDIDOS!$A:$A,FORNECEDOR!A1714)</f>
        <v>0</v>
      </c>
      <c r="C1714" s="3" t="e">
        <f>INDEX(PEDIDOS!$A:$D,MATCH(FORNECEDOR!A1714,PEDIDOS!$A:$A,0),2)</f>
        <v>#N/A</v>
      </c>
      <c r="D1714" s="3" t="e">
        <f>INDEX(PEDIDOS!$A:$D,MATCH(FORNECEDOR!A1714,PEDIDOS!$A:$A,0),3)</f>
        <v>#N/A</v>
      </c>
      <c r="E1714" s="3" t="e">
        <f>INDEX(PEDIDOS!$A:$D,MATCH(FORNECEDOR!A1714,PEDIDOS!$A:$A,0),4)</f>
        <v>#N/A</v>
      </c>
    </row>
    <row r="1715" spans="1:5" hidden="1" x14ac:dyDescent="0.25">
      <c r="A1715" s="1" t="s">
        <v>1714</v>
      </c>
      <c r="B1715" s="3">
        <f>COUNTIF(PEDIDOS!$A:$A,FORNECEDOR!A1715)</f>
        <v>0</v>
      </c>
      <c r="C1715" s="3" t="e">
        <f>INDEX(PEDIDOS!$A:$D,MATCH(FORNECEDOR!A1715,PEDIDOS!$A:$A,0),2)</f>
        <v>#N/A</v>
      </c>
      <c r="D1715" s="3" t="e">
        <f>INDEX(PEDIDOS!$A:$D,MATCH(FORNECEDOR!A1715,PEDIDOS!$A:$A,0),3)</f>
        <v>#N/A</v>
      </c>
      <c r="E1715" s="3" t="e">
        <f>INDEX(PEDIDOS!$A:$D,MATCH(FORNECEDOR!A1715,PEDIDOS!$A:$A,0),4)</f>
        <v>#N/A</v>
      </c>
    </row>
    <row r="1716" spans="1:5" hidden="1" x14ac:dyDescent="0.25">
      <c r="A1716" s="1" t="s">
        <v>1715</v>
      </c>
      <c r="B1716" s="3">
        <f>COUNTIF(PEDIDOS!$A:$A,FORNECEDOR!A1716)</f>
        <v>0</v>
      </c>
      <c r="C1716" s="3" t="e">
        <f>INDEX(PEDIDOS!$A:$D,MATCH(FORNECEDOR!A1716,PEDIDOS!$A:$A,0),2)</f>
        <v>#N/A</v>
      </c>
      <c r="D1716" s="3" t="e">
        <f>INDEX(PEDIDOS!$A:$D,MATCH(FORNECEDOR!A1716,PEDIDOS!$A:$A,0),3)</f>
        <v>#N/A</v>
      </c>
      <c r="E1716" s="3" t="e">
        <f>INDEX(PEDIDOS!$A:$D,MATCH(FORNECEDOR!A1716,PEDIDOS!$A:$A,0),4)</f>
        <v>#N/A</v>
      </c>
    </row>
    <row r="1717" spans="1:5" x14ac:dyDescent="0.25">
      <c r="A1717" s="1" t="s">
        <v>1716</v>
      </c>
      <c r="B1717" s="3">
        <f>COUNTIF(PEDIDOS!$A:$A,FORNECEDOR!A1717)</f>
        <v>1</v>
      </c>
      <c r="C1717" s="3" t="str">
        <f>INDEX(PEDIDOS!$A:$D,MATCH(FORNECEDOR!A1717,PEDIDOS!$A:$A,0),2)</f>
        <v>POA</v>
      </c>
      <c r="D1717" s="3" t="str">
        <f>INDEX(PEDIDOS!$A:$D,MATCH(FORNECEDOR!A1717,PEDIDOS!$A:$A,0),3)</f>
        <v>POA</v>
      </c>
      <c r="E1717" s="3" t="str">
        <f>INDEX(PEDIDOS!$A:$D,MATCH(FORNECEDOR!A1717,PEDIDOS!$A:$A,0),4)</f>
        <v>POA</v>
      </c>
    </row>
    <row r="1718" spans="1:5" hidden="1" x14ac:dyDescent="0.25">
      <c r="A1718" s="1" t="s">
        <v>1717</v>
      </c>
      <c r="B1718" s="3">
        <f>COUNTIF(PEDIDOS!$A:$A,FORNECEDOR!A1718)</f>
        <v>0</v>
      </c>
      <c r="C1718" s="3" t="e">
        <f>INDEX(PEDIDOS!$A:$D,MATCH(FORNECEDOR!A1718,PEDIDOS!$A:$A,0),2)</f>
        <v>#N/A</v>
      </c>
      <c r="D1718" s="3" t="e">
        <f>INDEX(PEDIDOS!$A:$D,MATCH(FORNECEDOR!A1718,PEDIDOS!$A:$A,0),3)</f>
        <v>#N/A</v>
      </c>
      <c r="E1718" s="3" t="e">
        <f>INDEX(PEDIDOS!$A:$D,MATCH(FORNECEDOR!A1718,PEDIDOS!$A:$A,0),4)</f>
        <v>#N/A</v>
      </c>
    </row>
    <row r="1719" spans="1:5" x14ac:dyDescent="0.25">
      <c r="A1719" s="1" t="s">
        <v>1718</v>
      </c>
      <c r="B1719" s="3">
        <f>COUNTIF(PEDIDOS!$A:$A,FORNECEDOR!A1719)</f>
        <v>1</v>
      </c>
      <c r="C1719" s="3" t="str">
        <f>INDEX(PEDIDOS!$A:$D,MATCH(FORNECEDOR!A1719,PEDIDOS!$A:$A,0),2)</f>
        <v>MATRIZ</v>
      </c>
      <c r="D1719" s="3" t="str">
        <f>INDEX(PEDIDOS!$A:$D,MATCH(FORNECEDOR!A1719,PEDIDOS!$A:$A,0),3)</f>
        <v>MATRIZ</v>
      </c>
      <c r="E1719" s="3" t="str">
        <f>INDEX(PEDIDOS!$A:$D,MATCH(FORNECEDOR!A1719,PEDIDOS!$A:$A,0),4)</f>
        <v>MATRIZ</v>
      </c>
    </row>
    <row r="1720" spans="1:5" x14ac:dyDescent="0.25">
      <c r="A1720" s="1" t="s">
        <v>1719</v>
      </c>
      <c r="B1720" s="3">
        <f>COUNTIF(PEDIDOS!$A:$A,FORNECEDOR!A1720)</f>
        <v>1</v>
      </c>
      <c r="C1720" s="3" t="str">
        <f>INDEX(PEDIDOS!$A:$D,MATCH(FORNECEDOR!A1720,PEDIDOS!$A:$A,0),2)</f>
        <v>CD REGIS</v>
      </c>
      <c r="D1720" s="3" t="str">
        <f>INDEX(PEDIDOS!$A:$D,MATCH(FORNECEDOR!A1720,PEDIDOS!$A:$A,0),3)</f>
        <v>MATRIZ</v>
      </c>
      <c r="E1720" s="3" t="str">
        <f>INDEX(PEDIDOS!$A:$D,MATCH(FORNECEDOR!A1720,PEDIDOS!$A:$A,0),4)</f>
        <v>CD REGIS</v>
      </c>
    </row>
    <row r="1721" spans="1:5" x14ac:dyDescent="0.25">
      <c r="A1721" s="1" t="s">
        <v>1720</v>
      </c>
      <c r="B1721" s="3">
        <f>COUNTIF(PEDIDOS!$A:$A,FORNECEDOR!A1721)</f>
        <v>7</v>
      </c>
      <c r="C1721" s="3" t="str">
        <f>INDEX(PEDIDOS!$A:$D,MATCH(FORNECEDOR!A1721,PEDIDOS!$A:$A,0),2)</f>
        <v>CD ARAQUARI</v>
      </c>
      <c r="D1721" s="3" t="str">
        <f>INDEX(PEDIDOS!$A:$D,MATCH(FORNECEDOR!A1721,PEDIDOS!$A:$A,0),3)</f>
        <v>CD ARAQUARI</v>
      </c>
      <c r="E1721" s="3" t="str">
        <f>INDEX(PEDIDOS!$A:$D,MATCH(FORNECEDOR!A1721,PEDIDOS!$A:$A,0),4)</f>
        <v>CD ARAQUARI</v>
      </c>
    </row>
    <row r="1722" spans="1:5" hidden="1" x14ac:dyDescent="0.25">
      <c r="A1722" s="1" t="s">
        <v>1721</v>
      </c>
      <c r="B1722" s="3">
        <f>COUNTIF(PEDIDOS!$A:$A,FORNECEDOR!A1722)</f>
        <v>0</v>
      </c>
      <c r="C1722" s="3" t="e">
        <f>INDEX(PEDIDOS!$A:$D,MATCH(FORNECEDOR!A1722,PEDIDOS!$A:$A,0),2)</f>
        <v>#N/A</v>
      </c>
      <c r="D1722" s="3" t="e">
        <f>INDEX(PEDIDOS!$A:$D,MATCH(FORNECEDOR!A1722,PEDIDOS!$A:$A,0),3)</f>
        <v>#N/A</v>
      </c>
      <c r="E1722" s="3" t="e">
        <f>INDEX(PEDIDOS!$A:$D,MATCH(FORNECEDOR!A1722,PEDIDOS!$A:$A,0),4)</f>
        <v>#N/A</v>
      </c>
    </row>
    <row r="1723" spans="1:5" x14ac:dyDescent="0.25">
      <c r="A1723" s="1" t="s">
        <v>1722</v>
      </c>
      <c r="B1723" s="3">
        <f>COUNTIF(PEDIDOS!$A:$A,FORNECEDOR!A1723)</f>
        <v>1</v>
      </c>
      <c r="C1723" s="3" t="str">
        <f>INDEX(PEDIDOS!$A:$D,MATCH(FORNECEDOR!A1723,PEDIDOS!$A:$A,0),2)</f>
        <v>SP - PARI</v>
      </c>
      <c r="D1723" s="3" t="str">
        <f>INDEX(PEDIDOS!$A:$D,MATCH(FORNECEDOR!A1723,PEDIDOS!$A:$A,0),3)</f>
        <v>SP - PARI</v>
      </c>
      <c r="E1723" s="3" t="str">
        <f>INDEX(PEDIDOS!$A:$D,MATCH(FORNECEDOR!A1723,PEDIDOS!$A:$A,0),4)</f>
        <v>SP - PARI</v>
      </c>
    </row>
    <row r="1724" spans="1:5" hidden="1" x14ac:dyDescent="0.25">
      <c r="A1724" s="1" t="s">
        <v>1723</v>
      </c>
      <c r="B1724" s="3">
        <f>COUNTIF(PEDIDOS!$A:$A,FORNECEDOR!A1724)</f>
        <v>0</v>
      </c>
      <c r="C1724" s="3" t="e">
        <f>INDEX(PEDIDOS!$A:$D,MATCH(FORNECEDOR!A1724,PEDIDOS!$A:$A,0),2)</f>
        <v>#N/A</v>
      </c>
      <c r="D1724" s="3" t="e">
        <f>INDEX(PEDIDOS!$A:$D,MATCH(FORNECEDOR!A1724,PEDIDOS!$A:$A,0),3)</f>
        <v>#N/A</v>
      </c>
      <c r="E1724" s="3" t="e">
        <f>INDEX(PEDIDOS!$A:$D,MATCH(FORNECEDOR!A1724,PEDIDOS!$A:$A,0),4)</f>
        <v>#N/A</v>
      </c>
    </row>
    <row r="1725" spans="1:5" hidden="1" x14ac:dyDescent="0.25">
      <c r="A1725" s="1" t="s">
        <v>1724</v>
      </c>
      <c r="B1725" s="3">
        <f>COUNTIF(PEDIDOS!$A:$A,FORNECEDOR!A1725)</f>
        <v>0</v>
      </c>
      <c r="C1725" s="3" t="e">
        <f>INDEX(PEDIDOS!$A:$D,MATCH(FORNECEDOR!A1725,PEDIDOS!$A:$A,0),2)</f>
        <v>#N/A</v>
      </c>
      <c r="D1725" s="3" t="e">
        <f>INDEX(PEDIDOS!$A:$D,MATCH(FORNECEDOR!A1725,PEDIDOS!$A:$A,0),3)</f>
        <v>#N/A</v>
      </c>
      <c r="E1725" s="3" t="e">
        <f>INDEX(PEDIDOS!$A:$D,MATCH(FORNECEDOR!A1725,PEDIDOS!$A:$A,0),4)</f>
        <v>#N/A</v>
      </c>
    </row>
    <row r="1726" spans="1:5" x14ac:dyDescent="0.25">
      <c r="A1726" s="1" t="s">
        <v>1725</v>
      </c>
      <c r="B1726" s="3">
        <f>COUNTIF(PEDIDOS!$A:$A,FORNECEDOR!A1726)</f>
        <v>1</v>
      </c>
      <c r="C1726" s="3" t="str">
        <f>INDEX(PEDIDOS!$A:$D,MATCH(FORNECEDOR!A1726,PEDIDOS!$A:$A,0),2)</f>
        <v>VILA DIRCE</v>
      </c>
      <c r="D1726" s="3" t="str">
        <f>INDEX(PEDIDOS!$A:$D,MATCH(FORNECEDOR!A1726,PEDIDOS!$A:$A,0),3)</f>
        <v>VILA DIRCE</v>
      </c>
      <c r="E1726" s="3" t="str">
        <f>INDEX(PEDIDOS!$A:$D,MATCH(FORNECEDOR!A1726,PEDIDOS!$A:$A,0),4)</f>
        <v>VILA DIRCE</v>
      </c>
    </row>
    <row r="1727" spans="1:5" x14ac:dyDescent="0.25">
      <c r="A1727" s="1" t="s">
        <v>1726</v>
      </c>
      <c r="B1727" s="3">
        <f>COUNTIF(PEDIDOS!$A:$A,FORNECEDOR!A1727)</f>
        <v>1</v>
      </c>
      <c r="C1727" s="3" t="str">
        <f>INDEX(PEDIDOS!$A:$D,MATCH(FORNECEDOR!A1727,PEDIDOS!$A:$A,0),2)</f>
        <v>CD REGIS</v>
      </c>
      <c r="D1727" s="3" t="str">
        <f>INDEX(PEDIDOS!$A:$D,MATCH(FORNECEDOR!A1727,PEDIDOS!$A:$A,0),3)</f>
        <v>CD REGIS</v>
      </c>
      <c r="E1727" s="3" t="str">
        <f>INDEX(PEDIDOS!$A:$D,MATCH(FORNECEDOR!A1727,PEDIDOS!$A:$A,0),4)</f>
        <v>CD REGIS</v>
      </c>
    </row>
    <row r="1728" spans="1:5" hidden="1" x14ac:dyDescent="0.25">
      <c r="A1728" s="1" t="s">
        <v>1727</v>
      </c>
      <c r="B1728" s="3">
        <f>COUNTIF(PEDIDOS!$A:$A,FORNECEDOR!A1728)</f>
        <v>0</v>
      </c>
      <c r="C1728" s="3" t="e">
        <f>INDEX(PEDIDOS!$A:$D,MATCH(FORNECEDOR!A1728,PEDIDOS!$A:$A,0),2)</f>
        <v>#N/A</v>
      </c>
      <c r="D1728" s="3" t="e">
        <f>INDEX(PEDIDOS!$A:$D,MATCH(FORNECEDOR!A1728,PEDIDOS!$A:$A,0),3)</f>
        <v>#N/A</v>
      </c>
      <c r="E1728" s="3" t="e">
        <f>INDEX(PEDIDOS!$A:$D,MATCH(FORNECEDOR!A1728,PEDIDOS!$A:$A,0),4)</f>
        <v>#N/A</v>
      </c>
    </row>
    <row r="1729" spans="1:5" hidden="1" x14ac:dyDescent="0.25">
      <c r="A1729" s="1" t="s">
        <v>1728</v>
      </c>
      <c r="B1729" s="3">
        <f>COUNTIF(PEDIDOS!$A:$A,FORNECEDOR!A1729)</f>
        <v>0</v>
      </c>
      <c r="C1729" s="3" t="e">
        <f>INDEX(PEDIDOS!$A:$D,MATCH(FORNECEDOR!A1729,PEDIDOS!$A:$A,0),2)</f>
        <v>#N/A</v>
      </c>
      <c r="D1729" s="3" t="e">
        <f>INDEX(PEDIDOS!$A:$D,MATCH(FORNECEDOR!A1729,PEDIDOS!$A:$A,0),3)</f>
        <v>#N/A</v>
      </c>
      <c r="E1729" s="3" t="e">
        <f>INDEX(PEDIDOS!$A:$D,MATCH(FORNECEDOR!A1729,PEDIDOS!$A:$A,0),4)</f>
        <v>#N/A</v>
      </c>
    </row>
    <row r="1730" spans="1:5" x14ac:dyDescent="0.25">
      <c r="A1730" s="1" t="s">
        <v>1729</v>
      </c>
      <c r="B1730" s="3">
        <f>COUNTIF(PEDIDOS!$A:$A,FORNECEDOR!A1730)</f>
        <v>18</v>
      </c>
      <c r="C1730" s="3" t="str">
        <f>INDEX(PEDIDOS!$A:$D,MATCH(FORNECEDOR!A1730,PEDIDOS!$A:$A,0),2)</f>
        <v>CD REGIS</v>
      </c>
      <c r="D1730" s="3" t="str">
        <f>INDEX(PEDIDOS!$A:$D,MATCH(FORNECEDOR!A1730,PEDIDOS!$A:$A,0),3)</f>
        <v>CD REGIS</v>
      </c>
      <c r="E1730" s="3" t="str">
        <f>INDEX(PEDIDOS!$A:$D,MATCH(FORNECEDOR!A1730,PEDIDOS!$A:$A,0),4)</f>
        <v>CD REGIS</v>
      </c>
    </row>
    <row r="1731" spans="1:5" x14ac:dyDescent="0.25">
      <c r="A1731" s="1" t="s">
        <v>1730</v>
      </c>
      <c r="B1731" s="3">
        <f>COUNTIF(PEDIDOS!$A:$A,FORNECEDOR!A1731)</f>
        <v>2</v>
      </c>
      <c r="C1731" s="3" t="str">
        <f>INDEX(PEDIDOS!$A:$D,MATCH(FORNECEDOR!A1731,PEDIDOS!$A:$A,0),2)</f>
        <v>MATRIZ</v>
      </c>
      <c r="D1731" s="3" t="str">
        <f>INDEX(PEDIDOS!$A:$D,MATCH(FORNECEDOR!A1731,PEDIDOS!$A:$A,0),3)</f>
        <v>MATRIZ</v>
      </c>
      <c r="E1731" s="3" t="str">
        <f>INDEX(PEDIDOS!$A:$D,MATCH(FORNECEDOR!A1731,PEDIDOS!$A:$A,0),4)</f>
        <v>MATRIZ</v>
      </c>
    </row>
    <row r="1732" spans="1:5" x14ac:dyDescent="0.25">
      <c r="A1732" s="1" t="s">
        <v>1731</v>
      </c>
      <c r="B1732" s="3">
        <f>COUNTIF(PEDIDOS!$A:$A,FORNECEDOR!A1732)</f>
        <v>1</v>
      </c>
      <c r="C1732" s="3" t="str">
        <f>INDEX(PEDIDOS!$A:$D,MATCH(FORNECEDOR!A1732,PEDIDOS!$A:$A,0),2)</f>
        <v>MATRIZ</v>
      </c>
      <c r="D1732" s="3" t="str">
        <f>INDEX(PEDIDOS!$A:$D,MATCH(FORNECEDOR!A1732,PEDIDOS!$A:$A,0),3)</f>
        <v>MATRIZ</v>
      </c>
      <c r="E1732" s="3" t="str">
        <f>INDEX(PEDIDOS!$A:$D,MATCH(FORNECEDOR!A1732,PEDIDOS!$A:$A,0),4)</f>
        <v>MATRIZ</v>
      </c>
    </row>
    <row r="1733" spans="1:5" hidden="1" x14ac:dyDescent="0.25">
      <c r="A1733" s="1" t="s">
        <v>1732</v>
      </c>
      <c r="B1733" s="3">
        <f>COUNTIF(PEDIDOS!$A:$A,FORNECEDOR!A1733)</f>
        <v>0</v>
      </c>
      <c r="C1733" s="3" t="e">
        <f>INDEX(PEDIDOS!$A:$D,MATCH(FORNECEDOR!A1733,PEDIDOS!$A:$A,0),2)</f>
        <v>#N/A</v>
      </c>
      <c r="D1733" s="3" t="e">
        <f>INDEX(PEDIDOS!$A:$D,MATCH(FORNECEDOR!A1733,PEDIDOS!$A:$A,0),3)</f>
        <v>#N/A</v>
      </c>
      <c r="E1733" s="3" t="e">
        <f>INDEX(PEDIDOS!$A:$D,MATCH(FORNECEDOR!A1733,PEDIDOS!$A:$A,0),4)</f>
        <v>#N/A</v>
      </c>
    </row>
    <row r="1734" spans="1:5" hidden="1" x14ac:dyDescent="0.25">
      <c r="A1734" s="1" t="s">
        <v>1733</v>
      </c>
      <c r="B1734" s="3">
        <f>COUNTIF(PEDIDOS!$A:$A,FORNECEDOR!A1734)</f>
        <v>0</v>
      </c>
      <c r="C1734" s="3" t="e">
        <f>INDEX(PEDIDOS!$A:$D,MATCH(FORNECEDOR!A1734,PEDIDOS!$A:$A,0),2)</f>
        <v>#N/A</v>
      </c>
      <c r="D1734" s="3" t="e">
        <f>INDEX(PEDIDOS!$A:$D,MATCH(FORNECEDOR!A1734,PEDIDOS!$A:$A,0),3)</f>
        <v>#N/A</v>
      </c>
      <c r="E1734" s="3" t="e">
        <f>INDEX(PEDIDOS!$A:$D,MATCH(FORNECEDOR!A1734,PEDIDOS!$A:$A,0),4)</f>
        <v>#N/A</v>
      </c>
    </row>
    <row r="1735" spans="1:5" x14ac:dyDescent="0.25">
      <c r="A1735" s="1" t="s">
        <v>1734</v>
      </c>
      <c r="B1735" s="3">
        <f>COUNTIF(PEDIDOS!$A:$A,FORNECEDOR!A1735)</f>
        <v>3</v>
      </c>
      <c r="C1735" s="3" t="str">
        <f>INDEX(PEDIDOS!$A:$D,MATCH(FORNECEDOR!A1735,PEDIDOS!$A:$A,0),2)</f>
        <v>CD REGIS</v>
      </c>
      <c r="D1735" s="3" t="str">
        <f>INDEX(PEDIDOS!$A:$D,MATCH(FORNECEDOR!A1735,PEDIDOS!$A:$A,0),3)</f>
        <v>CD REGIS</v>
      </c>
      <c r="E1735" s="3" t="str">
        <f>INDEX(PEDIDOS!$A:$D,MATCH(FORNECEDOR!A1735,PEDIDOS!$A:$A,0),4)</f>
        <v>CD REGIS</v>
      </c>
    </row>
    <row r="1736" spans="1:5" hidden="1" x14ac:dyDescent="0.25">
      <c r="A1736" s="1" t="s">
        <v>1735</v>
      </c>
      <c r="B1736" s="3">
        <f>COUNTIF(PEDIDOS!$A:$A,FORNECEDOR!A1736)</f>
        <v>0</v>
      </c>
      <c r="C1736" s="3" t="e">
        <f>INDEX(PEDIDOS!$A:$D,MATCH(FORNECEDOR!A1736,PEDIDOS!$A:$A,0),2)</f>
        <v>#N/A</v>
      </c>
      <c r="D1736" s="3" t="e">
        <f>INDEX(PEDIDOS!$A:$D,MATCH(FORNECEDOR!A1736,PEDIDOS!$A:$A,0),3)</f>
        <v>#N/A</v>
      </c>
      <c r="E1736" s="3" t="e">
        <f>INDEX(PEDIDOS!$A:$D,MATCH(FORNECEDOR!A1736,PEDIDOS!$A:$A,0),4)</f>
        <v>#N/A</v>
      </c>
    </row>
    <row r="1737" spans="1:5" x14ac:dyDescent="0.25">
      <c r="A1737" s="1" t="s">
        <v>1736</v>
      </c>
      <c r="B1737" s="3">
        <f>COUNTIF(PEDIDOS!$A:$A,FORNECEDOR!A1737)</f>
        <v>2</v>
      </c>
      <c r="C1737" s="3" t="str">
        <f>INDEX(PEDIDOS!$A:$D,MATCH(FORNECEDOR!A1737,PEDIDOS!$A:$A,0),2)</f>
        <v>ANPPLA</v>
      </c>
      <c r="D1737" s="3" t="str">
        <f>INDEX(PEDIDOS!$A:$D,MATCH(FORNECEDOR!A1737,PEDIDOS!$A:$A,0),3)</f>
        <v>ANPPLA</v>
      </c>
      <c r="E1737" s="3" t="str">
        <f>INDEX(PEDIDOS!$A:$D,MATCH(FORNECEDOR!A1737,PEDIDOS!$A:$A,0),4)</f>
        <v>ANPPLA</v>
      </c>
    </row>
    <row r="1738" spans="1:5" x14ac:dyDescent="0.25">
      <c r="A1738" s="1" t="s">
        <v>1737</v>
      </c>
      <c r="B1738" s="3">
        <f>COUNTIF(PEDIDOS!$A:$A,FORNECEDOR!A1738)</f>
        <v>1</v>
      </c>
      <c r="C1738" s="3" t="str">
        <f>INDEX(PEDIDOS!$A:$D,MATCH(FORNECEDOR!A1738,PEDIDOS!$A:$A,0),2)</f>
        <v>ANPPLA</v>
      </c>
      <c r="D1738" s="3" t="str">
        <f>INDEX(PEDIDOS!$A:$D,MATCH(FORNECEDOR!A1738,PEDIDOS!$A:$A,0),3)</f>
        <v>ANPPLA</v>
      </c>
      <c r="E1738" s="3" t="str">
        <f>INDEX(PEDIDOS!$A:$D,MATCH(FORNECEDOR!A1738,PEDIDOS!$A:$A,0),4)</f>
        <v>ANPPLA</v>
      </c>
    </row>
    <row r="1739" spans="1:5" hidden="1" x14ac:dyDescent="0.25">
      <c r="A1739" s="1" t="s">
        <v>1738</v>
      </c>
      <c r="B1739" s="3">
        <f>COUNTIF(PEDIDOS!$A:$A,FORNECEDOR!A1739)</f>
        <v>0</v>
      </c>
      <c r="C1739" s="3" t="e">
        <f>INDEX(PEDIDOS!$A:$D,MATCH(FORNECEDOR!A1739,PEDIDOS!$A:$A,0),2)</f>
        <v>#N/A</v>
      </c>
      <c r="D1739" s="3" t="e">
        <f>INDEX(PEDIDOS!$A:$D,MATCH(FORNECEDOR!A1739,PEDIDOS!$A:$A,0),3)</f>
        <v>#N/A</v>
      </c>
      <c r="E1739" s="3" t="e">
        <f>INDEX(PEDIDOS!$A:$D,MATCH(FORNECEDOR!A1739,PEDIDOS!$A:$A,0),4)</f>
        <v>#N/A</v>
      </c>
    </row>
    <row r="1740" spans="1:5" hidden="1" x14ac:dyDescent="0.25">
      <c r="A1740" s="1" t="s">
        <v>1739</v>
      </c>
      <c r="B1740" s="3">
        <f>COUNTIF(PEDIDOS!$A:$A,FORNECEDOR!A1740)</f>
        <v>0</v>
      </c>
      <c r="C1740" s="3" t="e">
        <f>INDEX(PEDIDOS!$A:$D,MATCH(FORNECEDOR!A1740,PEDIDOS!$A:$A,0),2)</f>
        <v>#N/A</v>
      </c>
      <c r="D1740" s="3" t="e">
        <f>INDEX(PEDIDOS!$A:$D,MATCH(FORNECEDOR!A1740,PEDIDOS!$A:$A,0),3)</f>
        <v>#N/A</v>
      </c>
      <c r="E1740" s="3" t="e">
        <f>INDEX(PEDIDOS!$A:$D,MATCH(FORNECEDOR!A1740,PEDIDOS!$A:$A,0),4)</f>
        <v>#N/A</v>
      </c>
    </row>
    <row r="1741" spans="1:5" x14ac:dyDescent="0.25">
      <c r="A1741" s="1" t="s">
        <v>1740</v>
      </c>
      <c r="B1741" s="3">
        <f>COUNTIF(PEDIDOS!$A:$A,FORNECEDOR!A1741)</f>
        <v>1</v>
      </c>
      <c r="C1741" s="3" t="str">
        <f>INDEX(PEDIDOS!$A:$D,MATCH(FORNECEDOR!A1741,PEDIDOS!$A:$A,0),2)</f>
        <v>CD REGIS</v>
      </c>
      <c r="D1741" s="3" t="str">
        <f>INDEX(PEDIDOS!$A:$D,MATCH(FORNECEDOR!A1741,PEDIDOS!$A:$A,0),3)</f>
        <v>CD REGIS</v>
      </c>
      <c r="E1741" s="3" t="str">
        <f>INDEX(PEDIDOS!$A:$D,MATCH(FORNECEDOR!A1741,PEDIDOS!$A:$A,0),4)</f>
        <v>CD REGIS</v>
      </c>
    </row>
    <row r="1742" spans="1:5" x14ac:dyDescent="0.25">
      <c r="A1742" s="1" t="s">
        <v>1741</v>
      </c>
      <c r="B1742" s="3">
        <f>COUNTIF(PEDIDOS!$A:$A,FORNECEDOR!A1742)</f>
        <v>1</v>
      </c>
      <c r="C1742" s="3" t="str">
        <f>INDEX(PEDIDOS!$A:$D,MATCH(FORNECEDOR!A1742,PEDIDOS!$A:$A,0),2)</f>
        <v>CD REGIS</v>
      </c>
      <c r="D1742" s="3" t="str">
        <f>INDEX(PEDIDOS!$A:$D,MATCH(FORNECEDOR!A1742,PEDIDOS!$A:$A,0),3)</f>
        <v>CD REGIS</v>
      </c>
      <c r="E1742" s="3" t="str">
        <f>INDEX(PEDIDOS!$A:$D,MATCH(FORNECEDOR!A1742,PEDIDOS!$A:$A,0),4)</f>
        <v>CD REGIS</v>
      </c>
    </row>
    <row r="1743" spans="1:5" hidden="1" x14ac:dyDescent="0.25">
      <c r="A1743" s="1" t="s">
        <v>1742</v>
      </c>
      <c r="B1743" s="3">
        <f>COUNTIF(PEDIDOS!$A:$A,FORNECEDOR!A1743)</f>
        <v>0</v>
      </c>
      <c r="C1743" s="3" t="e">
        <f>INDEX(PEDIDOS!$A:$D,MATCH(FORNECEDOR!A1743,PEDIDOS!$A:$A,0),2)</f>
        <v>#N/A</v>
      </c>
      <c r="D1743" s="3" t="e">
        <f>INDEX(PEDIDOS!$A:$D,MATCH(FORNECEDOR!A1743,PEDIDOS!$A:$A,0),3)</f>
        <v>#N/A</v>
      </c>
      <c r="E1743" s="3" t="e">
        <f>INDEX(PEDIDOS!$A:$D,MATCH(FORNECEDOR!A1743,PEDIDOS!$A:$A,0),4)</f>
        <v>#N/A</v>
      </c>
    </row>
    <row r="1744" spans="1:5" hidden="1" x14ac:dyDescent="0.25">
      <c r="A1744" s="1" t="s">
        <v>1743</v>
      </c>
      <c r="B1744" s="3">
        <f>COUNTIF(PEDIDOS!$A:$A,FORNECEDOR!A1744)</f>
        <v>0</v>
      </c>
      <c r="C1744" s="3" t="e">
        <f>INDEX(PEDIDOS!$A:$D,MATCH(FORNECEDOR!A1744,PEDIDOS!$A:$A,0),2)</f>
        <v>#N/A</v>
      </c>
      <c r="D1744" s="3" t="e">
        <f>INDEX(PEDIDOS!$A:$D,MATCH(FORNECEDOR!A1744,PEDIDOS!$A:$A,0),3)</f>
        <v>#N/A</v>
      </c>
      <c r="E1744" s="3" t="e">
        <f>INDEX(PEDIDOS!$A:$D,MATCH(FORNECEDOR!A1744,PEDIDOS!$A:$A,0),4)</f>
        <v>#N/A</v>
      </c>
    </row>
    <row r="1745" spans="1:5" hidden="1" x14ac:dyDescent="0.25">
      <c r="A1745" s="1" t="s">
        <v>1744</v>
      </c>
      <c r="B1745" s="3">
        <f>COUNTIF(PEDIDOS!$A:$A,FORNECEDOR!A1745)</f>
        <v>0</v>
      </c>
      <c r="C1745" s="3" t="e">
        <f>INDEX(PEDIDOS!$A:$D,MATCH(FORNECEDOR!A1745,PEDIDOS!$A:$A,0),2)</f>
        <v>#N/A</v>
      </c>
      <c r="D1745" s="3" t="e">
        <f>INDEX(PEDIDOS!$A:$D,MATCH(FORNECEDOR!A1745,PEDIDOS!$A:$A,0),3)</f>
        <v>#N/A</v>
      </c>
      <c r="E1745" s="3" t="e">
        <f>INDEX(PEDIDOS!$A:$D,MATCH(FORNECEDOR!A1745,PEDIDOS!$A:$A,0),4)</f>
        <v>#N/A</v>
      </c>
    </row>
    <row r="1746" spans="1:5" x14ac:dyDescent="0.25">
      <c r="A1746" s="1" t="s">
        <v>1745</v>
      </c>
      <c r="B1746" s="3">
        <f>COUNTIF(PEDIDOS!$A:$A,FORNECEDOR!A1746)</f>
        <v>1</v>
      </c>
      <c r="C1746" s="3" t="str">
        <f>INDEX(PEDIDOS!$A:$D,MATCH(FORNECEDOR!A1746,PEDIDOS!$A:$A,0),2)</f>
        <v>SP - PARI</v>
      </c>
      <c r="D1746" s="3" t="str">
        <f>INDEX(PEDIDOS!$A:$D,MATCH(FORNECEDOR!A1746,PEDIDOS!$A:$A,0),3)</f>
        <v>SP - PARI</v>
      </c>
      <c r="E1746" s="3" t="str">
        <f>INDEX(PEDIDOS!$A:$D,MATCH(FORNECEDOR!A1746,PEDIDOS!$A:$A,0),4)</f>
        <v>SP - PARI</v>
      </c>
    </row>
    <row r="1747" spans="1:5" x14ac:dyDescent="0.25">
      <c r="A1747" s="1" t="s">
        <v>1746</v>
      </c>
      <c r="B1747" s="3">
        <f>COUNTIF(PEDIDOS!$A:$A,FORNECEDOR!A1747)</f>
        <v>2</v>
      </c>
      <c r="C1747" s="3" t="str">
        <f>INDEX(PEDIDOS!$A:$D,MATCH(FORNECEDOR!A1747,PEDIDOS!$A:$A,0),2)</f>
        <v>CD REGIS</v>
      </c>
      <c r="D1747" s="3" t="str">
        <f>INDEX(PEDIDOS!$A:$D,MATCH(FORNECEDOR!A1747,PEDIDOS!$A:$A,0),3)</f>
        <v>MATRIZ</v>
      </c>
      <c r="E1747" s="3" t="str">
        <f>INDEX(PEDIDOS!$A:$D,MATCH(FORNECEDOR!A1747,PEDIDOS!$A:$A,0),4)</f>
        <v>CD REGIS</v>
      </c>
    </row>
    <row r="1748" spans="1:5" hidden="1" x14ac:dyDescent="0.25">
      <c r="A1748" s="1" t="s">
        <v>1747</v>
      </c>
      <c r="B1748" s="3">
        <f>COUNTIF(PEDIDOS!$A:$A,FORNECEDOR!A1748)</f>
        <v>0</v>
      </c>
      <c r="C1748" s="3" t="e">
        <f>INDEX(PEDIDOS!$A:$D,MATCH(FORNECEDOR!A1748,PEDIDOS!$A:$A,0),2)</f>
        <v>#N/A</v>
      </c>
      <c r="D1748" s="3" t="e">
        <f>INDEX(PEDIDOS!$A:$D,MATCH(FORNECEDOR!A1748,PEDIDOS!$A:$A,0),3)</f>
        <v>#N/A</v>
      </c>
      <c r="E1748" s="3" t="e">
        <f>INDEX(PEDIDOS!$A:$D,MATCH(FORNECEDOR!A1748,PEDIDOS!$A:$A,0),4)</f>
        <v>#N/A</v>
      </c>
    </row>
    <row r="1749" spans="1:5" hidden="1" x14ac:dyDescent="0.25">
      <c r="A1749" s="1" t="s">
        <v>1748</v>
      </c>
      <c r="B1749" s="3">
        <f>COUNTIF(PEDIDOS!$A:$A,FORNECEDOR!A1749)</f>
        <v>0</v>
      </c>
      <c r="C1749" s="3" t="e">
        <f>INDEX(PEDIDOS!$A:$D,MATCH(FORNECEDOR!A1749,PEDIDOS!$A:$A,0),2)</f>
        <v>#N/A</v>
      </c>
      <c r="D1749" s="3" t="e">
        <f>INDEX(PEDIDOS!$A:$D,MATCH(FORNECEDOR!A1749,PEDIDOS!$A:$A,0),3)</f>
        <v>#N/A</v>
      </c>
      <c r="E1749" s="3" t="e">
        <f>INDEX(PEDIDOS!$A:$D,MATCH(FORNECEDOR!A1749,PEDIDOS!$A:$A,0),4)</f>
        <v>#N/A</v>
      </c>
    </row>
    <row r="1750" spans="1:5" x14ac:dyDescent="0.25">
      <c r="A1750" s="1" t="s">
        <v>1749</v>
      </c>
      <c r="B1750" s="3">
        <f>COUNTIF(PEDIDOS!$A:$A,FORNECEDOR!A1750)</f>
        <v>2</v>
      </c>
      <c r="C1750" s="3" t="str">
        <f>INDEX(PEDIDOS!$A:$D,MATCH(FORNECEDOR!A1750,PEDIDOS!$A:$A,0),2)</f>
        <v>CD REGIS</v>
      </c>
      <c r="D1750" s="3" t="str">
        <f>INDEX(PEDIDOS!$A:$D,MATCH(FORNECEDOR!A1750,PEDIDOS!$A:$A,0),3)</f>
        <v>MATRIZ</v>
      </c>
      <c r="E1750" s="3" t="str">
        <f>INDEX(PEDIDOS!$A:$D,MATCH(FORNECEDOR!A1750,PEDIDOS!$A:$A,0),4)</f>
        <v>CD REGIS</v>
      </c>
    </row>
    <row r="1751" spans="1:5" hidden="1" x14ac:dyDescent="0.25">
      <c r="A1751" s="1" t="s">
        <v>1750</v>
      </c>
      <c r="B1751" s="3">
        <f>COUNTIF(PEDIDOS!$A:$A,FORNECEDOR!A1751)</f>
        <v>0</v>
      </c>
      <c r="C1751" s="3" t="e">
        <f>INDEX(PEDIDOS!$A:$D,MATCH(FORNECEDOR!A1751,PEDIDOS!$A:$A,0),2)</f>
        <v>#N/A</v>
      </c>
      <c r="D1751" s="3" t="e">
        <f>INDEX(PEDIDOS!$A:$D,MATCH(FORNECEDOR!A1751,PEDIDOS!$A:$A,0),3)</f>
        <v>#N/A</v>
      </c>
      <c r="E1751" s="3" t="e">
        <f>INDEX(PEDIDOS!$A:$D,MATCH(FORNECEDOR!A1751,PEDIDOS!$A:$A,0),4)</f>
        <v>#N/A</v>
      </c>
    </row>
    <row r="1752" spans="1:5" hidden="1" x14ac:dyDescent="0.25">
      <c r="A1752" s="1" t="s">
        <v>1751</v>
      </c>
      <c r="B1752" s="3">
        <f>COUNTIF(PEDIDOS!$A:$A,FORNECEDOR!A1752)</f>
        <v>0</v>
      </c>
      <c r="C1752" s="3" t="e">
        <f>INDEX(PEDIDOS!$A:$D,MATCH(FORNECEDOR!A1752,PEDIDOS!$A:$A,0),2)</f>
        <v>#N/A</v>
      </c>
      <c r="D1752" s="3" t="e">
        <f>INDEX(PEDIDOS!$A:$D,MATCH(FORNECEDOR!A1752,PEDIDOS!$A:$A,0),3)</f>
        <v>#N/A</v>
      </c>
      <c r="E1752" s="3" t="e">
        <f>INDEX(PEDIDOS!$A:$D,MATCH(FORNECEDOR!A1752,PEDIDOS!$A:$A,0),4)</f>
        <v>#N/A</v>
      </c>
    </row>
    <row r="1753" spans="1:5" hidden="1" x14ac:dyDescent="0.25">
      <c r="A1753" s="1" t="s">
        <v>1752</v>
      </c>
      <c r="B1753" s="3">
        <f>COUNTIF(PEDIDOS!$A:$A,FORNECEDOR!A1753)</f>
        <v>0</v>
      </c>
      <c r="C1753" s="3" t="e">
        <f>INDEX(PEDIDOS!$A:$D,MATCH(FORNECEDOR!A1753,PEDIDOS!$A:$A,0),2)</f>
        <v>#N/A</v>
      </c>
      <c r="D1753" s="3" t="e">
        <f>INDEX(PEDIDOS!$A:$D,MATCH(FORNECEDOR!A1753,PEDIDOS!$A:$A,0),3)</f>
        <v>#N/A</v>
      </c>
      <c r="E1753" s="3" t="e">
        <f>INDEX(PEDIDOS!$A:$D,MATCH(FORNECEDOR!A1753,PEDIDOS!$A:$A,0),4)</f>
        <v>#N/A</v>
      </c>
    </row>
    <row r="1754" spans="1:5" hidden="1" x14ac:dyDescent="0.25">
      <c r="A1754" s="1" t="s">
        <v>1753</v>
      </c>
      <c r="B1754" s="3">
        <f>COUNTIF(PEDIDOS!$A:$A,FORNECEDOR!A1754)</f>
        <v>0</v>
      </c>
      <c r="C1754" s="3" t="e">
        <f>INDEX(PEDIDOS!$A:$D,MATCH(FORNECEDOR!A1754,PEDIDOS!$A:$A,0),2)</f>
        <v>#N/A</v>
      </c>
      <c r="D1754" s="3" t="e">
        <f>INDEX(PEDIDOS!$A:$D,MATCH(FORNECEDOR!A1754,PEDIDOS!$A:$A,0),3)</f>
        <v>#N/A</v>
      </c>
      <c r="E1754" s="3" t="e">
        <f>INDEX(PEDIDOS!$A:$D,MATCH(FORNECEDOR!A1754,PEDIDOS!$A:$A,0),4)</f>
        <v>#N/A</v>
      </c>
    </row>
    <row r="1755" spans="1:5" x14ac:dyDescent="0.25">
      <c r="A1755" s="1" t="s">
        <v>1754</v>
      </c>
      <c r="B1755" s="3">
        <f>COUNTIF(PEDIDOS!$A:$A,FORNECEDOR!A1755)</f>
        <v>1</v>
      </c>
      <c r="C1755" s="3" t="str">
        <f>INDEX(PEDIDOS!$A:$D,MATCH(FORNECEDOR!A1755,PEDIDOS!$A:$A,0),2)</f>
        <v>CD REGIS</v>
      </c>
      <c r="D1755" s="3" t="str">
        <f>INDEX(PEDIDOS!$A:$D,MATCH(FORNECEDOR!A1755,PEDIDOS!$A:$A,0),3)</f>
        <v>TATUAPE</v>
      </c>
      <c r="E1755" s="3" t="str">
        <f>INDEX(PEDIDOS!$A:$D,MATCH(FORNECEDOR!A1755,PEDIDOS!$A:$A,0),4)</f>
        <v>CD REGIS</v>
      </c>
    </row>
    <row r="1756" spans="1:5" hidden="1" x14ac:dyDescent="0.25">
      <c r="A1756" s="1" t="s">
        <v>1755</v>
      </c>
      <c r="B1756" s="3">
        <f>COUNTIF(PEDIDOS!$A:$A,FORNECEDOR!A1756)</f>
        <v>0</v>
      </c>
      <c r="C1756" s="3" t="e">
        <f>INDEX(PEDIDOS!$A:$D,MATCH(FORNECEDOR!A1756,PEDIDOS!$A:$A,0),2)</f>
        <v>#N/A</v>
      </c>
      <c r="D1756" s="3" t="e">
        <f>INDEX(PEDIDOS!$A:$D,MATCH(FORNECEDOR!A1756,PEDIDOS!$A:$A,0),3)</f>
        <v>#N/A</v>
      </c>
      <c r="E1756" s="3" t="e">
        <f>INDEX(PEDIDOS!$A:$D,MATCH(FORNECEDOR!A1756,PEDIDOS!$A:$A,0),4)</f>
        <v>#N/A</v>
      </c>
    </row>
    <row r="1757" spans="1:5" hidden="1" x14ac:dyDescent="0.25">
      <c r="A1757" s="1" t="s">
        <v>1756</v>
      </c>
      <c r="B1757" s="3">
        <f>COUNTIF(PEDIDOS!$A:$A,FORNECEDOR!A1757)</f>
        <v>0</v>
      </c>
      <c r="C1757" s="3" t="e">
        <f>INDEX(PEDIDOS!$A:$D,MATCH(FORNECEDOR!A1757,PEDIDOS!$A:$A,0),2)</f>
        <v>#N/A</v>
      </c>
      <c r="D1757" s="3" t="e">
        <f>INDEX(PEDIDOS!$A:$D,MATCH(FORNECEDOR!A1757,PEDIDOS!$A:$A,0),3)</f>
        <v>#N/A</v>
      </c>
      <c r="E1757" s="3" t="e">
        <f>INDEX(PEDIDOS!$A:$D,MATCH(FORNECEDOR!A1757,PEDIDOS!$A:$A,0),4)</f>
        <v>#N/A</v>
      </c>
    </row>
    <row r="1758" spans="1:5" hidden="1" x14ac:dyDescent="0.25">
      <c r="A1758" s="1" t="s">
        <v>1757</v>
      </c>
      <c r="B1758" s="3">
        <f>COUNTIF(PEDIDOS!$A:$A,FORNECEDOR!A1758)</f>
        <v>0</v>
      </c>
      <c r="C1758" s="3" t="e">
        <f>INDEX(PEDIDOS!$A:$D,MATCH(FORNECEDOR!A1758,PEDIDOS!$A:$A,0),2)</f>
        <v>#N/A</v>
      </c>
      <c r="D1758" s="3" t="e">
        <f>INDEX(PEDIDOS!$A:$D,MATCH(FORNECEDOR!A1758,PEDIDOS!$A:$A,0),3)</f>
        <v>#N/A</v>
      </c>
      <c r="E1758" s="3" t="e">
        <f>INDEX(PEDIDOS!$A:$D,MATCH(FORNECEDOR!A1758,PEDIDOS!$A:$A,0),4)</f>
        <v>#N/A</v>
      </c>
    </row>
    <row r="1759" spans="1:5" x14ac:dyDescent="0.25">
      <c r="A1759" s="1" t="s">
        <v>1758</v>
      </c>
      <c r="B1759" s="3">
        <f>COUNTIF(PEDIDOS!$A:$A,FORNECEDOR!A1759)</f>
        <v>1</v>
      </c>
      <c r="C1759" s="3" t="str">
        <f>INDEX(PEDIDOS!$A:$D,MATCH(FORNECEDOR!A1759,PEDIDOS!$A:$A,0),2)</f>
        <v>CD REGIS</v>
      </c>
      <c r="D1759" s="3" t="str">
        <f>INDEX(PEDIDOS!$A:$D,MATCH(FORNECEDOR!A1759,PEDIDOS!$A:$A,0),3)</f>
        <v>TATUAPE</v>
      </c>
      <c r="E1759" s="3" t="str">
        <f>INDEX(PEDIDOS!$A:$D,MATCH(FORNECEDOR!A1759,PEDIDOS!$A:$A,0),4)</f>
        <v>CD REGIS</v>
      </c>
    </row>
    <row r="1760" spans="1:5" hidden="1" x14ac:dyDescent="0.25">
      <c r="A1760" s="1" t="s">
        <v>1759</v>
      </c>
      <c r="B1760" s="3">
        <f>COUNTIF(PEDIDOS!$A:$A,FORNECEDOR!A1760)</f>
        <v>0</v>
      </c>
      <c r="C1760" s="3" t="e">
        <f>INDEX(PEDIDOS!$A:$D,MATCH(FORNECEDOR!A1760,PEDIDOS!$A:$A,0),2)</f>
        <v>#N/A</v>
      </c>
      <c r="D1760" s="3" t="e">
        <f>INDEX(PEDIDOS!$A:$D,MATCH(FORNECEDOR!A1760,PEDIDOS!$A:$A,0),3)</f>
        <v>#N/A</v>
      </c>
      <c r="E1760" s="3" t="e">
        <f>INDEX(PEDIDOS!$A:$D,MATCH(FORNECEDOR!A1760,PEDIDOS!$A:$A,0),4)</f>
        <v>#N/A</v>
      </c>
    </row>
    <row r="1761" spans="1:5" hidden="1" x14ac:dyDescent="0.25">
      <c r="A1761" s="1" t="s">
        <v>1760</v>
      </c>
      <c r="B1761" s="3">
        <f>COUNTIF(PEDIDOS!$A:$A,FORNECEDOR!A1761)</f>
        <v>0</v>
      </c>
      <c r="C1761" s="3" t="e">
        <f>INDEX(PEDIDOS!$A:$D,MATCH(FORNECEDOR!A1761,PEDIDOS!$A:$A,0),2)</f>
        <v>#N/A</v>
      </c>
      <c r="D1761" s="3" t="e">
        <f>INDEX(PEDIDOS!$A:$D,MATCH(FORNECEDOR!A1761,PEDIDOS!$A:$A,0),3)</f>
        <v>#N/A</v>
      </c>
      <c r="E1761" s="3" t="e">
        <f>INDEX(PEDIDOS!$A:$D,MATCH(FORNECEDOR!A1761,PEDIDOS!$A:$A,0),4)</f>
        <v>#N/A</v>
      </c>
    </row>
    <row r="1762" spans="1:5" x14ac:dyDescent="0.25">
      <c r="A1762" s="1" t="s">
        <v>1761</v>
      </c>
      <c r="B1762" s="3">
        <f>COUNTIF(PEDIDOS!$A:$A,FORNECEDOR!A1762)</f>
        <v>1</v>
      </c>
      <c r="C1762" s="3" t="str">
        <f>INDEX(PEDIDOS!$A:$D,MATCH(FORNECEDOR!A1762,PEDIDOS!$A:$A,0),2)</f>
        <v>SP - PARI</v>
      </c>
      <c r="D1762" s="3" t="str">
        <f>INDEX(PEDIDOS!$A:$D,MATCH(FORNECEDOR!A1762,PEDIDOS!$A:$A,0),3)</f>
        <v>SP - PARI</v>
      </c>
      <c r="E1762" s="3" t="str">
        <f>INDEX(PEDIDOS!$A:$D,MATCH(FORNECEDOR!A1762,PEDIDOS!$A:$A,0),4)</f>
        <v>SP - PARI</v>
      </c>
    </row>
    <row r="1763" spans="1:5" hidden="1" x14ac:dyDescent="0.25">
      <c r="A1763" s="1" t="s">
        <v>1762</v>
      </c>
      <c r="B1763" s="3">
        <f>COUNTIF(PEDIDOS!$A:$A,FORNECEDOR!A1763)</f>
        <v>0</v>
      </c>
      <c r="C1763" s="3" t="e">
        <f>INDEX(PEDIDOS!$A:$D,MATCH(FORNECEDOR!A1763,PEDIDOS!$A:$A,0),2)</f>
        <v>#N/A</v>
      </c>
      <c r="D1763" s="3" t="e">
        <f>INDEX(PEDIDOS!$A:$D,MATCH(FORNECEDOR!A1763,PEDIDOS!$A:$A,0),3)</f>
        <v>#N/A</v>
      </c>
      <c r="E1763" s="3" t="e">
        <f>INDEX(PEDIDOS!$A:$D,MATCH(FORNECEDOR!A1763,PEDIDOS!$A:$A,0),4)</f>
        <v>#N/A</v>
      </c>
    </row>
    <row r="1764" spans="1:5" x14ac:dyDescent="0.25">
      <c r="A1764" s="1" t="s">
        <v>1763</v>
      </c>
      <c r="B1764" s="3">
        <f>COUNTIF(PEDIDOS!$A:$A,FORNECEDOR!A1764)</f>
        <v>1</v>
      </c>
      <c r="C1764" s="3" t="str">
        <f>INDEX(PEDIDOS!$A:$D,MATCH(FORNECEDOR!A1764,PEDIDOS!$A:$A,0),2)</f>
        <v>CD NAVEGANTES</v>
      </c>
      <c r="D1764" s="3" t="str">
        <f>INDEX(PEDIDOS!$A:$D,MATCH(FORNECEDOR!A1764,PEDIDOS!$A:$A,0),3)</f>
        <v>MATRIZ</v>
      </c>
      <c r="E1764" s="3" t="str">
        <f>INDEX(PEDIDOS!$A:$D,MATCH(FORNECEDOR!A1764,PEDIDOS!$A:$A,0),4)</f>
        <v>CD NAVEGANTES</v>
      </c>
    </row>
    <row r="1765" spans="1:5" hidden="1" x14ac:dyDescent="0.25">
      <c r="A1765" s="1" t="s">
        <v>1764</v>
      </c>
      <c r="B1765" s="3">
        <f>COUNTIF(PEDIDOS!$A:$A,FORNECEDOR!A1765)</f>
        <v>0</v>
      </c>
      <c r="C1765" s="3" t="e">
        <f>INDEX(PEDIDOS!$A:$D,MATCH(FORNECEDOR!A1765,PEDIDOS!$A:$A,0),2)</f>
        <v>#N/A</v>
      </c>
      <c r="D1765" s="3" t="e">
        <f>INDEX(PEDIDOS!$A:$D,MATCH(FORNECEDOR!A1765,PEDIDOS!$A:$A,0),3)</f>
        <v>#N/A</v>
      </c>
      <c r="E1765" s="3" t="e">
        <f>INDEX(PEDIDOS!$A:$D,MATCH(FORNECEDOR!A1765,PEDIDOS!$A:$A,0),4)</f>
        <v>#N/A</v>
      </c>
    </row>
    <row r="1766" spans="1:5" hidden="1" x14ac:dyDescent="0.25">
      <c r="A1766" s="1" t="s">
        <v>1765</v>
      </c>
      <c r="B1766" s="3">
        <f>COUNTIF(PEDIDOS!$A:$A,FORNECEDOR!A1766)</f>
        <v>0</v>
      </c>
      <c r="C1766" s="3" t="e">
        <f>INDEX(PEDIDOS!$A:$D,MATCH(FORNECEDOR!A1766,PEDIDOS!$A:$A,0),2)</f>
        <v>#N/A</v>
      </c>
      <c r="D1766" s="3" t="e">
        <f>INDEX(PEDIDOS!$A:$D,MATCH(FORNECEDOR!A1766,PEDIDOS!$A:$A,0),3)</f>
        <v>#N/A</v>
      </c>
      <c r="E1766" s="3" t="e">
        <f>INDEX(PEDIDOS!$A:$D,MATCH(FORNECEDOR!A1766,PEDIDOS!$A:$A,0),4)</f>
        <v>#N/A</v>
      </c>
    </row>
    <row r="1767" spans="1:5" x14ac:dyDescent="0.25">
      <c r="A1767" s="1" t="s">
        <v>1766</v>
      </c>
      <c r="B1767" s="3">
        <f>COUNTIF(PEDIDOS!$A:$A,FORNECEDOR!A1767)</f>
        <v>1</v>
      </c>
      <c r="C1767" s="3" t="str">
        <f>INDEX(PEDIDOS!$A:$D,MATCH(FORNECEDOR!A1767,PEDIDOS!$A:$A,0),2)</f>
        <v>CD REGIS</v>
      </c>
      <c r="D1767" s="3" t="str">
        <f>INDEX(PEDIDOS!$A:$D,MATCH(FORNECEDOR!A1767,PEDIDOS!$A:$A,0),3)</f>
        <v>MATRIZ</v>
      </c>
      <c r="E1767" s="3" t="str">
        <f>INDEX(PEDIDOS!$A:$D,MATCH(FORNECEDOR!A1767,PEDIDOS!$A:$A,0),4)</f>
        <v>CD REGIS</v>
      </c>
    </row>
    <row r="1768" spans="1:5" x14ac:dyDescent="0.25">
      <c r="A1768" s="1" t="s">
        <v>1767</v>
      </c>
      <c r="B1768" s="3">
        <f>COUNTIF(PEDIDOS!$A:$A,FORNECEDOR!A1768)</f>
        <v>1</v>
      </c>
      <c r="C1768" s="3" t="str">
        <f>INDEX(PEDIDOS!$A:$D,MATCH(FORNECEDOR!A1768,PEDIDOS!$A:$A,0),2)</f>
        <v>CD REGIS</v>
      </c>
      <c r="D1768" s="3" t="str">
        <f>INDEX(PEDIDOS!$A:$D,MATCH(FORNECEDOR!A1768,PEDIDOS!$A:$A,0),3)</f>
        <v>TATUAPE</v>
      </c>
      <c r="E1768" s="3" t="str">
        <f>INDEX(PEDIDOS!$A:$D,MATCH(FORNECEDOR!A1768,PEDIDOS!$A:$A,0),4)</f>
        <v>CD REGIS</v>
      </c>
    </row>
    <row r="1769" spans="1:5" hidden="1" x14ac:dyDescent="0.25">
      <c r="A1769" s="1" t="s">
        <v>1768</v>
      </c>
      <c r="B1769" s="3">
        <f>COUNTIF(PEDIDOS!$A:$A,FORNECEDOR!A1769)</f>
        <v>0</v>
      </c>
      <c r="C1769" s="3" t="e">
        <f>INDEX(PEDIDOS!$A:$D,MATCH(FORNECEDOR!A1769,PEDIDOS!$A:$A,0),2)</f>
        <v>#N/A</v>
      </c>
      <c r="D1769" s="3" t="e">
        <f>INDEX(PEDIDOS!$A:$D,MATCH(FORNECEDOR!A1769,PEDIDOS!$A:$A,0),3)</f>
        <v>#N/A</v>
      </c>
      <c r="E1769" s="3" t="e">
        <f>INDEX(PEDIDOS!$A:$D,MATCH(FORNECEDOR!A1769,PEDIDOS!$A:$A,0),4)</f>
        <v>#N/A</v>
      </c>
    </row>
    <row r="1770" spans="1:5" hidden="1" x14ac:dyDescent="0.25">
      <c r="A1770" s="1" t="s">
        <v>1769</v>
      </c>
      <c r="B1770" s="3">
        <f>COUNTIF(PEDIDOS!$A:$A,FORNECEDOR!A1770)</f>
        <v>0</v>
      </c>
      <c r="C1770" s="3" t="e">
        <f>INDEX(PEDIDOS!$A:$D,MATCH(FORNECEDOR!A1770,PEDIDOS!$A:$A,0),2)</f>
        <v>#N/A</v>
      </c>
      <c r="D1770" s="3" t="e">
        <f>INDEX(PEDIDOS!$A:$D,MATCH(FORNECEDOR!A1770,PEDIDOS!$A:$A,0),3)</f>
        <v>#N/A</v>
      </c>
      <c r="E1770" s="3" t="e">
        <f>INDEX(PEDIDOS!$A:$D,MATCH(FORNECEDOR!A1770,PEDIDOS!$A:$A,0),4)</f>
        <v>#N/A</v>
      </c>
    </row>
    <row r="1771" spans="1:5" hidden="1" x14ac:dyDescent="0.25">
      <c r="A1771" s="1" t="s">
        <v>1770</v>
      </c>
      <c r="B1771" s="3">
        <f>COUNTIF(PEDIDOS!$A:$A,FORNECEDOR!A1771)</f>
        <v>0</v>
      </c>
      <c r="C1771" s="3" t="e">
        <f>INDEX(PEDIDOS!$A:$D,MATCH(FORNECEDOR!A1771,PEDIDOS!$A:$A,0),2)</f>
        <v>#N/A</v>
      </c>
      <c r="D1771" s="3" t="e">
        <f>INDEX(PEDIDOS!$A:$D,MATCH(FORNECEDOR!A1771,PEDIDOS!$A:$A,0),3)</f>
        <v>#N/A</v>
      </c>
      <c r="E1771" s="3" t="e">
        <f>INDEX(PEDIDOS!$A:$D,MATCH(FORNECEDOR!A1771,PEDIDOS!$A:$A,0),4)</f>
        <v>#N/A</v>
      </c>
    </row>
    <row r="1772" spans="1:5" x14ac:dyDescent="0.25">
      <c r="A1772" s="1" t="s">
        <v>1771</v>
      </c>
      <c r="B1772" s="3">
        <f>COUNTIF(PEDIDOS!$A:$A,FORNECEDOR!A1772)</f>
        <v>1</v>
      </c>
      <c r="C1772" s="3" t="str">
        <f>INDEX(PEDIDOS!$A:$D,MATCH(FORNECEDOR!A1772,PEDIDOS!$A:$A,0),2)</f>
        <v>SP - PARI</v>
      </c>
      <c r="D1772" s="3" t="str">
        <f>INDEX(PEDIDOS!$A:$D,MATCH(FORNECEDOR!A1772,PEDIDOS!$A:$A,0),3)</f>
        <v>SP - PARI</v>
      </c>
      <c r="E1772" s="3" t="str">
        <f>INDEX(PEDIDOS!$A:$D,MATCH(FORNECEDOR!A1772,PEDIDOS!$A:$A,0),4)</f>
        <v>SP - PARI</v>
      </c>
    </row>
    <row r="1773" spans="1:5" hidden="1" x14ac:dyDescent="0.25">
      <c r="A1773" s="1" t="s">
        <v>1772</v>
      </c>
      <c r="B1773" s="3">
        <f>COUNTIF(PEDIDOS!$A:$A,FORNECEDOR!A1773)</f>
        <v>0</v>
      </c>
      <c r="C1773" s="3" t="e">
        <f>INDEX(PEDIDOS!$A:$D,MATCH(FORNECEDOR!A1773,PEDIDOS!$A:$A,0),2)</f>
        <v>#N/A</v>
      </c>
      <c r="D1773" s="3" t="e">
        <f>INDEX(PEDIDOS!$A:$D,MATCH(FORNECEDOR!A1773,PEDIDOS!$A:$A,0),3)</f>
        <v>#N/A</v>
      </c>
      <c r="E1773" s="3" t="e">
        <f>INDEX(PEDIDOS!$A:$D,MATCH(FORNECEDOR!A1773,PEDIDOS!$A:$A,0),4)</f>
        <v>#N/A</v>
      </c>
    </row>
    <row r="1774" spans="1:5" hidden="1" x14ac:dyDescent="0.25">
      <c r="A1774" s="1" t="s">
        <v>1773</v>
      </c>
      <c r="B1774" s="3">
        <f>COUNTIF(PEDIDOS!$A:$A,FORNECEDOR!A1774)</f>
        <v>0</v>
      </c>
      <c r="C1774" s="3" t="e">
        <f>INDEX(PEDIDOS!$A:$D,MATCH(FORNECEDOR!A1774,PEDIDOS!$A:$A,0),2)</f>
        <v>#N/A</v>
      </c>
      <c r="D1774" s="3" t="e">
        <f>INDEX(PEDIDOS!$A:$D,MATCH(FORNECEDOR!A1774,PEDIDOS!$A:$A,0),3)</f>
        <v>#N/A</v>
      </c>
      <c r="E1774" s="3" t="e">
        <f>INDEX(PEDIDOS!$A:$D,MATCH(FORNECEDOR!A1774,PEDIDOS!$A:$A,0),4)</f>
        <v>#N/A</v>
      </c>
    </row>
    <row r="1775" spans="1:5" hidden="1" x14ac:dyDescent="0.25">
      <c r="A1775" s="1" t="s">
        <v>1774</v>
      </c>
      <c r="B1775" s="3">
        <f>COUNTIF(PEDIDOS!$A:$A,FORNECEDOR!A1775)</f>
        <v>0</v>
      </c>
      <c r="C1775" s="3" t="e">
        <f>INDEX(PEDIDOS!$A:$D,MATCH(FORNECEDOR!A1775,PEDIDOS!$A:$A,0),2)</f>
        <v>#N/A</v>
      </c>
      <c r="D1775" s="3" t="e">
        <f>INDEX(PEDIDOS!$A:$D,MATCH(FORNECEDOR!A1775,PEDIDOS!$A:$A,0),3)</f>
        <v>#N/A</v>
      </c>
      <c r="E1775" s="3" t="e">
        <f>INDEX(PEDIDOS!$A:$D,MATCH(FORNECEDOR!A1775,PEDIDOS!$A:$A,0),4)</f>
        <v>#N/A</v>
      </c>
    </row>
    <row r="1776" spans="1:5" hidden="1" x14ac:dyDescent="0.25">
      <c r="A1776" s="1" t="s">
        <v>1775</v>
      </c>
      <c r="B1776" s="3">
        <f>COUNTIF(PEDIDOS!$A:$A,FORNECEDOR!A1776)</f>
        <v>0</v>
      </c>
      <c r="C1776" s="3" t="e">
        <f>INDEX(PEDIDOS!$A:$D,MATCH(FORNECEDOR!A1776,PEDIDOS!$A:$A,0),2)</f>
        <v>#N/A</v>
      </c>
      <c r="D1776" s="3" t="e">
        <f>INDEX(PEDIDOS!$A:$D,MATCH(FORNECEDOR!A1776,PEDIDOS!$A:$A,0),3)</f>
        <v>#N/A</v>
      </c>
      <c r="E1776" s="3" t="e">
        <f>INDEX(PEDIDOS!$A:$D,MATCH(FORNECEDOR!A1776,PEDIDOS!$A:$A,0),4)</f>
        <v>#N/A</v>
      </c>
    </row>
    <row r="1777" spans="1:5" x14ac:dyDescent="0.25">
      <c r="A1777" s="1" t="s">
        <v>1776</v>
      </c>
      <c r="B1777" s="3">
        <f>COUNTIF(PEDIDOS!$A:$A,FORNECEDOR!A1777)</f>
        <v>1</v>
      </c>
      <c r="C1777" s="3" t="str">
        <f>INDEX(PEDIDOS!$A:$D,MATCH(FORNECEDOR!A1777,PEDIDOS!$A:$A,0),2)</f>
        <v>MATRIZ</v>
      </c>
      <c r="D1777" s="3" t="str">
        <f>INDEX(PEDIDOS!$A:$D,MATCH(FORNECEDOR!A1777,PEDIDOS!$A:$A,0),3)</f>
        <v>MATRIZ</v>
      </c>
      <c r="E1777" s="3" t="str">
        <f>INDEX(PEDIDOS!$A:$D,MATCH(FORNECEDOR!A1777,PEDIDOS!$A:$A,0),4)</f>
        <v>MATRIZ</v>
      </c>
    </row>
    <row r="1778" spans="1:5" x14ac:dyDescent="0.25">
      <c r="A1778" s="1" t="s">
        <v>1777</v>
      </c>
      <c r="B1778" s="3">
        <f>COUNTIF(PEDIDOS!$A:$A,FORNECEDOR!A1778)</f>
        <v>3</v>
      </c>
      <c r="C1778" s="3" t="str">
        <f>INDEX(PEDIDOS!$A:$D,MATCH(FORNECEDOR!A1778,PEDIDOS!$A:$A,0),2)</f>
        <v>CD ARAQUARI</v>
      </c>
      <c r="D1778" s="3" t="str">
        <f>INDEX(PEDIDOS!$A:$D,MATCH(FORNECEDOR!A1778,PEDIDOS!$A:$A,0),3)</f>
        <v>MATRIZ</v>
      </c>
      <c r="E1778" s="3" t="str">
        <f>INDEX(PEDIDOS!$A:$D,MATCH(FORNECEDOR!A1778,PEDIDOS!$A:$A,0),4)</f>
        <v>CD ARAQUARI</v>
      </c>
    </row>
    <row r="1779" spans="1:5" x14ac:dyDescent="0.25">
      <c r="A1779" s="1" t="s">
        <v>1778</v>
      </c>
      <c r="B1779" s="3">
        <f>COUNTIF(PEDIDOS!$A:$A,FORNECEDOR!A1779)</f>
        <v>1</v>
      </c>
      <c r="C1779" s="3" t="str">
        <f>INDEX(PEDIDOS!$A:$D,MATCH(FORNECEDOR!A1779,PEDIDOS!$A:$A,0),2)</f>
        <v>MATRIZ</v>
      </c>
      <c r="D1779" s="3" t="str">
        <f>INDEX(PEDIDOS!$A:$D,MATCH(FORNECEDOR!A1779,PEDIDOS!$A:$A,0),3)</f>
        <v>MATRIZ</v>
      </c>
      <c r="E1779" s="3" t="str">
        <f>INDEX(PEDIDOS!$A:$D,MATCH(FORNECEDOR!A1779,PEDIDOS!$A:$A,0),4)</f>
        <v>MATRIZ</v>
      </c>
    </row>
    <row r="1780" spans="1:5" hidden="1" x14ac:dyDescent="0.25">
      <c r="A1780" s="1" t="s">
        <v>1779</v>
      </c>
      <c r="B1780" s="3">
        <f>COUNTIF(PEDIDOS!$A:$A,FORNECEDOR!A1780)</f>
        <v>0</v>
      </c>
      <c r="C1780" s="3" t="e">
        <f>INDEX(PEDIDOS!$A:$D,MATCH(FORNECEDOR!A1780,PEDIDOS!$A:$A,0),2)</f>
        <v>#N/A</v>
      </c>
      <c r="D1780" s="3" t="e">
        <f>INDEX(PEDIDOS!$A:$D,MATCH(FORNECEDOR!A1780,PEDIDOS!$A:$A,0),3)</f>
        <v>#N/A</v>
      </c>
      <c r="E1780" s="3" t="e">
        <f>INDEX(PEDIDOS!$A:$D,MATCH(FORNECEDOR!A1780,PEDIDOS!$A:$A,0),4)</f>
        <v>#N/A</v>
      </c>
    </row>
    <row r="1781" spans="1:5" hidden="1" x14ac:dyDescent="0.25">
      <c r="A1781" s="1" t="s">
        <v>1780</v>
      </c>
      <c r="B1781" s="3">
        <f>COUNTIF(PEDIDOS!$A:$A,FORNECEDOR!A1781)</f>
        <v>0</v>
      </c>
      <c r="C1781" s="3" t="e">
        <f>INDEX(PEDIDOS!$A:$D,MATCH(FORNECEDOR!A1781,PEDIDOS!$A:$A,0),2)</f>
        <v>#N/A</v>
      </c>
      <c r="D1781" s="3" t="e">
        <f>INDEX(PEDIDOS!$A:$D,MATCH(FORNECEDOR!A1781,PEDIDOS!$A:$A,0),3)</f>
        <v>#N/A</v>
      </c>
      <c r="E1781" s="3" t="e">
        <f>INDEX(PEDIDOS!$A:$D,MATCH(FORNECEDOR!A1781,PEDIDOS!$A:$A,0),4)</f>
        <v>#N/A</v>
      </c>
    </row>
    <row r="1782" spans="1:5" x14ac:dyDescent="0.25">
      <c r="A1782" s="1" t="s">
        <v>1781</v>
      </c>
      <c r="B1782" s="3">
        <f>COUNTIF(PEDIDOS!$A:$A,FORNECEDOR!A1782)</f>
        <v>1</v>
      </c>
      <c r="C1782" s="3" t="str">
        <f>INDEX(PEDIDOS!$A:$D,MATCH(FORNECEDOR!A1782,PEDIDOS!$A:$A,0),2)</f>
        <v>PIRASSUNUNGA</v>
      </c>
      <c r="D1782" s="3" t="str">
        <f>INDEX(PEDIDOS!$A:$D,MATCH(FORNECEDOR!A1782,PEDIDOS!$A:$A,0),3)</f>
        <v>PIRASSUNUNGA</v>
      </c>
      <c r="E1782" s="3" t="str">
        <f>INDEX(PEDIDOS!$A:$D,MATCH(FORNECEDOR!A1782,PEDIDOS!$A:$A,0),4)</f>
        <v>PIRASSUNUNGA</v>
      </c>
    </row>
    <row r="1783" spans="1:5" hidden="1" x14ac:dyDescent="0.25">
      <c r="A1783" s="1" t="s">
        <v>1782</v>
      </c>
      <c r="B1783" s="3">
        <f>COUNTIF(PEDIDOS!$A:$A,FORNECEDOR!A1783)</f>
        <v>0</v>
      </c>
      <c r="C1783" s="3" t="e">
        <f>INDEX(PEDIDOS!$A:$D,MATCH(FORNECEDOR!A1783,PEDIDOS!$A:$A,0),2)</f>
        <v>#N/A</v>
      </c>
      <c r="D1783" s="3" t="e">
        <f>INDEX(PEDIDOS!$A:$D,MATCH(FORNECEDOR!A1783,PEDIDOS!$A:$A,0),3)</f>
        <v>#N/A</v>
      </c>
      <c r="E1783" s="3" t="e">
        <f>INDEX(PEDIDOS!$A:$D,MATCH(FORNECEDOR!A1783,PEDIDOS!$A:$A,0),4)</f>
        <v>#N/A</v>
      </c>
    </row>
    <row r="1784" spans="1:5" hidden="1" x14ac:dyDescent="0.25">
      <c r="A1784" s="1" t="s">
        <v>1783</v>
      </c>
      <c r="B1784" s="3">
        <f>COUNTIF(PEDIDOS!$A:$A,FORNECEDOR!A1784)</f>
        <v>0</v>
      </c>
      <c r="C1784" s="3" t="e">
        <f>INDEX(PEDIDOS!$A:$D,MATCH(FORNECEDOR!A1784,PEDIDOS!$A:$A,0),2)</f>
        <v>#N/A</v>
      </c>
      <c r="D1784" s="3" t="e">
        <f>INDEX(PEDIDOS!$A:$D,MATCH(FORNECEDOR!A1784,PEDIDOS!$A:$A,0),3)</f>
        <v>#N/A</v>
      </c>
      <c r="E1784" s="3" t="e">
        <f>INDEX(PEDIDOS!$A:$D,MATCH(FORNECEDOR!A1784,PEDIDOS!$A:$A,0),4)</f>
        <v>#N/A</v>
      </c>
    </row>
    <row r="1785" spans="1:5" x14ac:dyDescent="0.25">
      <c r="A1785" s="1" t="s">
        <v>1784</v>
      </c>
      <c r="B1785" s="3">
        <f>COUNTIF(PEDIDOS!$A:$A,FORNECEDOR!A1785)</f>
        <v>4</v>
      </c>
      <c r="C1785" s="3" t="str">
        <f>INDEX(PEDIDOS!$A:$D,MATCH(FORNECEDOR!A1785,PEDIDOS!$A:$A,0),2)</f>
        <v>ANPPLA</v>
      </c>
      <c r="D1785" s="3" t="str">
        <f>INDEX(PEDIDOS!$A:$D,MATCH(FORNECEDOR!A1785,PEDIDOS!$A:$A,0),3)</f>
        <v>ANPPLA</v>
      </c>
      <c r="E1785" s="3" t="str">
        <f>INDEX(PEDIDOS!$A:$D,MATCH(FORNECEDOR!A1785,PEDIDOS!$A:$A,0),4)</f>
        <v>ANPPLA</v>
      </c>
    </row>
    <row r="1786" spans="1:5" hidden="1" x14ac:dyDescent="0.25">
      <c r="A1786" s="1" t="s">
        <v>1785</v>
      </c>
      <c r="B1786" s="3">
        <f>COUNTIF(PEDIDOS!$A:$A,FORNECEDOR!A1786)</f>
        <v>0</v>
      </c>
      <c r="C1786" s="3" t="e">
        <f>INDEX(PEDIDOS!$A:$D,MATCH(FORNECEDOR!A1786,PEDIDOS!$A:$A,0),2)</f>
        <v>#N/A</v>
      </c>
      <c r="D1786" s="3" t="e">
        <f>INDEX(PEDIDOS!$A:$D,MATCH(FORNECEDOR!A1786,PEDIDOS!$A:$A,0),3)</f>
        <v>#N/A</v>
      </c>
      <c r="E1786" s="3" t="e">
        <f>INDEX(PEDIDOS!$A:$D,MATCH(FORNECEDOR!A1786,PEDIDOS!$A:$A,0),4)</f>
        <v>#N/A</v>
      </c>
    </row>
    <row r="1787" spans="1:5" hidden="1" x14ac:dyDescent="0.25">
      <c r="A1787" s="1" t="s">
        <v>1786</v>
      </c>
      <c r="B1787" s="3">
        <f>COUNTIF(PEDIDOS!$A:$A,FORNECEDOR!A1787)</f>
        <v>0</v>
      </c>
      <c r="C1787" s="3" t="e">
        <f>INDEX(PEDIDOS!$A:$D,MATCH(FORNECEDOR!A1787,PEDIDOS!$A:$A,0),2)</f>
        <v>#N/A</v>
      </c>
      <c r="D1787" s="3" t="e">
        <f>INDEX(PEDIDOS!$A:$D,MATCH(FORNECEDOR!A1787,PEDIDOS!$A:$A,0),3)</f>
        <v>#N/A</v>
      </c>
      <c r="E1787" s="3" t="e">
        <f>INDEX(PEDIDOS!$A:$D,MATCH(FORNECEDOR!A1787,PEDIDOS!$A:$A,0),4)</f>
        <v>#N/A</v>
      </c>
    </row>
    <row r="1788" spans="1:5" hidden="1" x14ac:dyDescent="0.25">
      <c r="A1788" s="1" t="s">
        <v>1787</v>
      </c>
      <c r="B1788" s="3">
        <f>COUNTIF(PEDIDOS!$A:$A,FORNECEDOR!A1788)</f>
        <v>0</v>
      </c>
      <c r="C1788" s="3" t="e">
        <f>INDEX(PEDIDOS!$A:$D,MATCH(FORNECEDOR!A1788,PEDIDOS!$A:$A,0),2)</f>
        <v>#N/A</v>
      </c>
      <c r="D1788" s="3" t="e">
        <f>INDEX(PEDIDOS!$A:$D,MATCH(FORNECEDOR!A1788,PEDIDOS!$A:$A,0),3)</f>
        <v>#N/A</v>
      </c>
      <c r="E1788" s="3" t="e">
        <f>INDEX(PEDIDOS!$A:$D,MATCH(FORNECEDOR!A1788,PEDIDOS!$A:$A,0),4)</f>
        <v>#N/A</v>
      </c>
    </row>
    <row r="1789" spans="1:5" x14ac:dyDescent="0.25">
      <c r="A1789" s="1" t="s">
        <v>1788</v>
      </c>
      <c r="B1789" s="3">
        <f>COUNTIF(PEDIDOS!$A:$A,FORNECEDOR!A1789)</f>
        <v>1</v>
      </c>
      <c r="C1789" s="3" t="str">
        <f>INDEX(PEDIDOS!$A:$D,MATCH(FORNECEDOR!A1789,PEDIDOS!$A:$A,0),2)</f>
        <v>CD REGIS</v>
      </c>
      <c r="D1789" s="3" t="str">
        <f>INDEX(PEDIDOS!$A:$D,MATCH(FORNECEDOR!A1789,PEDIDOS!$A:$A,0),3)</f>
        <v>TATUAPE</v>
      </c>
      <c r="E1789" s="3" t="str">
        <f>INDEX(PEDIDOS!$A:$D,MATCH(FORNECEDOR!A1789,PEDIDOS!$A:$A,0),4)</f>
        <v>CD REGIS</v>
      </c>
    </row>
    <row r="1790" spans="1:5" hidden="1" x14ac:dyDescent="0.25">
      <c r="A1790" s="1" t="s">
        <v>1789</v>
      </c>
      <c r="B1790" s="3">
        <f>COUNTIF(PEDIDOS!$A:$A,FORNECEDOR!A1790)</f>
        <v>0</v>
      </c>
      <c r="C1790" s="3" t="e">
        <f>INDEX(PEDIDOS!$A:$D,MATCH(FORNECEDOR!A1790,PEDIDOS!$A:$A,0),2)</f>
        <v>#N/A</v>
      </c>
      <c r="D1790" s="3" t="e">
        <f>INDEX(PEDIDOS!$A:$D,MATCH(FORNECEDOR!A1790,PEDIDOS!$A:$A,0),3)</f>
        <v>#N/A</v>
      </c>
      <c r="E1790" s="3" t="e">
        <f>INDEX(PEDIDOS!$A:$D,MATCH(FORNECEDOR!A1790,PEDIDOS!$A:$A,0),4)</f>
        <v>#N/A</v>
      </c>
    </row>
    <row r="1791" spans="1:5" hidden="1" x14ac:dyDescent="0.25">
      <c r="A1791" s="1" t="s">
        <v>1790</v>
      </c>
      <c r="B1791" s="3">
        <f>COUNTIF(PEDIDOS!$A:$A,FORNECEDOR!A1791)</f>
        <v>0</v>
      </c>
      <c r="C1791" s="3" t="e">
        <f>INDEX(PEDIDOS!$A:$D,MATCH(FORNECEDOR!A1791,PEDIDOS!$A:$A,0),2)</f>
        <v>#N/A</v>
      </c>
      <c r="D1791" s="3" t="e">
        <f>INDEX(PEDIDOS!$A:$D,MATCH(FORNECEDOR!A1791,PEDIDOS!$A:$A,0),3)</f>
        <v>#N/A</v>
      </c>
      <c r="E1791" s="3" t="e">
        <f>INDEX(PEDIDOS!$A:$D,MATCH(FORNECEDOR!A1791,PEDIDOS!$A:$A,0),4)</f>
        <v>#N/A</v>
      </c>
    </row>
    <row r="1792" spans="1:5" hidden="1" x14ac:dyDescent="0.25">
      <c r="A1792" s="1" t="s">
        <v>1791</v>
      </c>
      <c r="B1792" s="3">
        <f>COUNTIF(PEDIDOS!$A:$A,FORNECEDOR!A1792)</f>
        <v>0</v>
      </c>
      <c r="C1792" s="3" t="e">
        <f>INDEX(PEDIDOS!$A:$D,MATCH(FORNECEDOR!A1792,PEDIDOS!$A:$A,0),2)</f>
        <v>#N/A</v>
      </c>
      <c r="D1792" s="3" t="e">
        <f>INDEX(PEDIDOS!$A:$D,MATCH(FORNECEDOR!A1792,PEDIDOS!$A:$A,0),3)</f>
        <v>#N/A</v>
      </c>
      <c r="E1792" s="3" t="e">
        <f>INDEX(PEDIDOS!$A:$D,MATCH(FORNECEDOR!A1792,PEDIDOS!$A:$A,0),4)</f>
        <v>#N/A</v>
      </c>
    </row>
    <row r="1793" spans="1:5" hidden="1" x14ac:dyDescent="0.25">
      <c r="A1793" s="1" t="s">
        <v>1792</v>
      </c>
      <c r="B1793" s="3">
        <f>COUNTIF(PEDIDOS!$A:$A,FORNECEDOR!A1793)</f>
        <v>0</v>
      </c>
      <c r="C1793" s="3" t="e">
        <f>INDEX(PEDIDOS!$A:$D,MATCH(FORNECEDOR!A1793,PEDIDOS!$A:$A,0),2)</f>
        <v>#N/A</v>
      </c>
      <c r="D1793" s="3" t="e">
        <f>INDEX(PEDIDOS!$A:$D,MATCH(FORNECEDOR!A1793,PEDIDOS!$A:$A,0),3)</f>
        <v>#N/A</v>
      </c>
      <c r="E1793" s="3" t="e">
        <f>INDEX(PEDIDOS!$A:$D,MATCH(FORNECEDOR!A1793,PEDIDOS!$A:$A,0),4)</f>
        <v>#N/A</v>
      </c>
    </row>
    <row r="1794" spans="1:5" hidden="1" x14ac:dyDescent="0.25">
      <c r="A1794" s="1" t="s">
        <v>1793</v>
      </c>
      <c r="B1794" s="3">
        <f>COUNTIF(PEDIDOS!$A:$A,FORNECEDOR!A1794)</f>
        <v>0</v>
      </c>
      <c r="C1794" s="3" t="e">
        <f>INDEX(PEDIDOS!$A:$D,MATCH(FORNECEDOR!A1794,PEDIDOS!$A:$A,0),2)</f>
        <v>#N/A</v>
      </c>
      <c r="D1794" s="3" t="e">
        <f>INDEX(PEDIDOS!$A:$D,MATCH(FORNECEDOR!A1794,PEDIDOS!$A:$A,0),3)</f>
        <v>#N/A</v>
      </c>
      <c r="E1794" s="3" t="e">
        <f>INDEX(PEDIDOS!$A:$D,MATCH(FORNECEDOR!A1794,PEDIDOS!$A:$A,0),4)</f>
        <v>#N/A</v>
      </c>
    </row>
    <row r="1795" spans="1:5" hidden="1" x14ac:dyDescent="0.25">
      <c r="A1795" s="1" t="s">
        <v>1794</v>
      </c>
      <c r="B1795" s="3">
        <f>COUNTIF(PEDIDOS!$A:$A,FORNECEDOR!A1795)</f>
        <v>0</v>
      </c>
      <c r="C1795" s="3" t="e">
        <f>INDEX(PEDIDOS!$A:$D,MATCH(FORNECEDOR!A1795,PEDIDOS!$A:$A,0),2)</f>
        <v>#N/A</v>
      </c>
      <c r="D1795" s="3" t="e">
        <f>INDEX(PEDIDOS!$A:$D,MATCH(FORNECEDOR!A1795,PEDIDOS!$A:$A,0),3)</f>
        <v>#N/A</v>
      </c>
      <c r="E1795" s="3" t="e">
        <f>INDEX(PEDIDOS!$A:$D,MATCH(FORNECEDOR!A1795,PEDIDOS!$A:$A,0),4)</f>
        <v>#N/A</v>
      </c>
    </row>
    <row r="1796" spans="1:5" hidden="1" x14ac:dyDescent="0.25">
      <c r="A1796" s="1" t="s">
        <v>1795</v>
      </c>
      <c r="B1796" s="3">
        <f>COUNTIF(PEDIDOS!$A:$A,FORNECEDOR!A1796)</f>
        <v>0</v>
      </c>
      <c r="C1796" s="3" t="e">
        <f>INDEX(PEDIDOS!$A:$D,MATCH(FORNECEDOR!A1796,PEDIDOS!$A:$A,0),2)</f>
        <v>#N/A</v>
      </c>
      <c r="D1796" s="3" t="e">
        <f>INDEX(PEDIDOS!$A:$D,MATCH(FORNECEDOR!A1796,PEDIDOS!$A:$A,0),3)</f>
        <v>#N/A</v>
      </c>
      <c r="E1796" s="3" t="e">
        <f>INDEX(PEDIDOS!$A:$D,MATCH(FORNECEDOR!A1796,PEDIDOS!$A:$A,0),4)</f>
        <v>#N/A</v>
      </c>
    </row>
    <row r="1797" spans="1:5" hidden="1" x14ac:dyDescent="0.25">
      <c r="A1797" s="1" t="s">
        <v>1796</v>
      </c>
      <c r="B1797" s="3">
        <f>COUNTIF(PEDIDOS!$A:$A,FORNECEDOR!A1797)</f>
        <v>0</v>
      </c>
      <c r="C1797" s="3" t="e">
        <f>INDEX(PEDIDOS!$A:$D,MATCH(FORNECEDOR!A1797,PEDIDOS!$A:$A,0),2)</f>
        <v>#N/A</v>
      </c>
      <c r="D1797" s="3" t="e">
        <f>INDEX(PEDIDOS!$A:$D,MATCH(FORNECEDOR!A1797,PEDIDOS!$A:$A,0),3)</f>
        <v>#N/A</v>
      </c>
      <c r="E1797" s="3" t="e">
        <f>INDEX(PEDIDOS!$A:$D,MATCH(FORNECEDOR!A1797,PEDIDOS!$A:$A,0),4)</f>
        <v>#N/A</v>
      </c>
    </row>
    <row r="1798" spans="1:5" hidden="1" x14ac:dyDescent="0.25">
      <c r="A1798" s="1" t="s">
        <v>1797</v>
      </c>
      <c r="B1798" s="3">
        <f>COUNTIF(PEDIDOS!$A:$A,FORNECEDOR!A1798)</f>
        <v>0</v>
      </c>
      <c r="C1798" s="3" t="e">
        <f>INDEX(PEDIDOS!$A:$D,MATCH(FORNECEDOR!A1798,PEDIDOS!$A:$A,0),2)</f>
        <v>#N/A</v>
      </c>
      <c r="D1798" s="3" t="e">
        <f>INDEX(PEDIDOS!$A:$D,MATCH(FORNECEDOR!A1798,PEDIDOS!$A:$A,0),3)</f>
        <v>#N/A</v>
      </c>
      <c r="E1798" s="3" t="e">
        <f>INDEX(PEDIDOS!$A:$D,MATCH(FORNECEDOR!A1798,PEDIDOS!$A:$A,0),4)</f>
        <v>#N/A</v>
      </c>
    </row>
    <row r="1799" spans="1:5" hidden="1" x14ac:dyDescent="0.25">
      <c r="A1799" s="1" t="s">
        <v>1798</v>
      </c>
      <c r="B1799" s="3">
        <f>COUNTIF(PEDIDOS!$A:$A,FORNECEDOR!A1799)</f>
        <v>0</v>
      </c>
      <c r="C1799" s="3" t="e">
        <f>INDEX(PEDIDOS!$A:$D,MATCH(FORNECEDOR!A1799,PEDIDOS!$A:$A,0),2)</f>
        <v>#N/A</v>
      </c>
      <c r="D1799" s="3" t="e">
        <f>INDEX(PEDIDOS!$A:$D,MATCH(FORNECEDOR!A1799,PEDIDOS!$A:$A,0),3)</f>
        <v>#N/A</v>
      </c>
      <c r="E1799" s="3" t="e">
        <f>INDEX(PEDIDOS!$A:$D,MATCH(FORNECEDOR!A1799,PEDIDOS!$A:$A,0),4)</f>
        <v>#N/A</v>
      </c>
    </row>
    <row r="1800" spans="1:5" hidden="1" x14ac:dyDescent="0.25">
      <c r="A1800" s="1" t="s">
        <v>1799</v>
      </c>
      <c r="B1800" s="3">
        <f>COUNTIF(PEDIDOS!$A:$A,FORNECEDOR!A1800)</f>
        <v>0</v>
      </c>
      <c r="C1800" s="3" t="e">
        <f>INDEX(PEDIDOS!$A:$D,MATCH(FORNECEDOR!A1800,PEDIDOS!$A:$A,0),2)</f>
        <v>#N/A</v>
      </c>
      <c r="D1800" s="3" t="e">
        <f>INDEX(PEDIDOS!$A:$D,MATCH(FORNECEDOR!A1800,PEDIDOS!$A:$A,0),3)</f>
        <v>#N/A</v>
      </c>
      <c r="E1800" s="3" t="e">
        <f>INDEX(PEDIDOS!$A:$D,MATCH(FORNECEDOR!A1800,PEDIDOS!$A:$A,0),4)</f>
        <v>#N/A</v>
      </c>
    </row>
    <row r="1801" spans="1:5" hidden="1" x14ac:dyDescent="0.25">
      <c r="A1801" s="1" t="s">
        <v>1800</v>
      </c>
      <c r="B1801" s="3">
        <f>COUNTIF(PEDIDOS!$A:$A,FORNECEDOR!A1801)</f>
        <v>0</v>
      </c>
      <c r="C1801" s="3" t="e">
        <f>INDEX(PEDIDOS!$A:$D,MATCH(FORNECEDOR!A1801,PEDIDOS!$A:$A,0),2)</f>
        <v>#N/A</v>
      </c>
      <c r="D1801" s="3" t="e">
        <f>INDEX(PEDIDOS!$A:$D,MATCH(FORNECEDOR!A1801,PEDIDOS!$A:$A,0),3)</f>
        <v>#N/A</v>
      </c>
      <c r="E1801" s="3" t="e">
        <f>INDEX(PEDIDOS!$A:$D,MATCH(FORNECEDOR!A1801,PEDIDOS!$A:$A,0),4)</f>
        <v>#N/A</v>
      </c>
    </row>
    <row r="1802" spans="1:5" hidden="1" x14ac:dyDescent="0.25">
      <c r="A1802" s="1" t="s">
        <v>1801</v>
      </c>
      <c r="B1802" s="3">
        <f>COUNTIF(PEDIDOS!$A:$A,FORNECEDOR!A1802)</f>
        <v>0</v>
      </c>
      <c r="C1802" s="3" t="e">
        <f>INDEX(PEDIDOS!$A:$D,MATCH(FORNECEDOR!A1802,PEDIDOS!$A:$A,0),2)</f>
        <v>#N/A</v>
      </c>
      <c r="D1802" s="3" t="e">
        <f>INDEX(PEDIDOS!$A:$D,MATCH(FORNECEDOR!A1802,PEDIDOS!$A:$A,0),3)</f>
        <v>#N/A</v>
      </c>
      <c r="E1802" s="3" t="e">
        <f>INDEX(PEDIDOS!$A:$D,MATCH(FORNECEDOR!A1802,PEDIDOS!$A:$A,0),4)</f>
        <v>#N/A</v>
      </c>
    </row>
    <row r="1803" spans="1:5" hidden="1" x14ac:dyDescent="0.25">
      <c r="A1803" s="1" t="s">
        <v>1802</v>
      </c>
      <c r="B1803" s="3">
        <f>COUNTIF(PEDIDOS!$A:$A,FORNECEDOR!A1803)</f>
        <v>0</v>
      </c>
      <c r="C1803" s="3" t="e">
        <f>INDEX(PEDIDOS!$A:$D,MATCH(FORNECEDOR!A1803,PEDIDOS!$A:$A,0),2)</f>
        <v>#N/A</v>
      </c>
      <c r="D1803" s="3" t="e">
        <f>INDEX(PEDIDOS!$A:$D,MATCH(FORNECEDOR!A1803,PEDIDOS!$A:$A,0),3)</f>
        <v>#N/A</v>
      </c>
      <c r="E1803" s="3" t="e">
        <f>INDEX(PEDIDOS!$A:$D,MATCH(FORNECEDOR!A1803,PEDIDOS!$A:$A,0),4)</f>
        <v>#N/A</v>
      </c>
    </row>
    <row r="1804" spans="1:5" hidden="1" x14ac:dyDescent="0.25">
      <c r="A1804" s="1" t="s">
        <v>1803</v>
      </c>
      <c r="B1804" s="3">
        <f>COUNTIF(PEDIDOS!$A:$A,FORNECEDOR!A1804)</f>
        <v>0</v>
      </c>
      <c r="C1804" s="3" t="e">
        <f>INDEX(PEDIDOS!$A:$D,MATCH(FORNECEDOR!A1804,PEDIDOS!$A:$A,0),2)</f>
        <v>#N/A</v>
      </c>
      <c r="D1804" s="3" t="e">
        <f>INDEX(PEDIDOS!$A:$D,MATCH(FORNECEDOR!A1804,PEDIDOS!$A:$A,0),3)</f>
        <v>#N/A</v>
      </c>
      <c r="E1804" s="3" t="e">
        <f>INDEX(PEDIDOS!$A:$D,MATCH(FORNECEDOR!A1804,PEDIDOS!$A:$A,0),4)</f>
        <v>#N/A</v>
      </c>
    </row>
    <row r="1805" spans="1:5" hidden="1" x14ac:dyDescent="0.25">
      <c r="A1805" s="1" t="s">
        <v>1804</v>
      </c>
      <c r="B1805" s="3">
        <f>COUNTIF(PEDIDOS!$A:$A,FORNECEDOR!A1805)</f>
        <v>0</v>
      </c>
      <c r="C1805" s="3" t="e">
        <f>INDEX(PEDIDOS!$A:$D,MATCH(FORNECEDOR!A1805,PEDIDOS!$A:$A,0),2)</f>
        <v>#N/A</v>
      </c>
      <c r="D1805" s="3" t="e">
        <f>INDEX(PEDIDOS!$A:$D,MATCH(FORNECEDOR!A1805,PEDIDOS!$A:$A,0),3)</f>
        <v>#N/A</v>
      </c>
      <c r="E1805" s="3" t="e">
        <f>INDEX(PEDIDOS!$A:$D,MATCH(FORNECEDOR!A1805,PEDIDOS!$A:$A,0),4)</f>
        <v>#N/A</v>
      </c>
    </row>
    <row r="1806" spans="1:5" hidden="1" x14ac:dyDescent="0.25">
      <c r="A1806" s="1" t="s">
        <v>1805</v>
      </c>
      <c r="B1806" s="3">
        <f>COUNTIF(PEDIDOS!$A:$A,FORNECEDOR!A1806)</f>
        <v>0</v>
      </c>
      <c r="C1806" s="3" t="e">
        <f>INDEX(PEDIDOS!$A:$D,MATCH(FORNECEDOR!A1806,PEDIDOS!$A:$A,0),2)</f>
        <v>#N/A</v>
      </c>
      <c r="D1806" s="3" t="e">
        <f>INDEX(PEDIDOS!$A:$D,MATCH(FORNECEDOR!A1806,PEDIDOS!$A:$A,0),3)</f>
        <v>#N/A</v>
      </c>
      <c r="E1806" s="3" t="e">
        <f>INDEX(PEDIDOS!$A:$D,MATCH(FORNECEDOR!A1806,PEDIDOS!$A:$A,0),4)</f>
        <v>#N/A</v>
      </c>
    </row>
    <row r="1807" spans="1:5" hidden="1" x14ac:dyDescent="0.25">
      <c r="A1807" s="1" t="s">
        <v>1806</v>
      </c>
      <c r="B1807" s="3">
        <f>COUNTIF(PEDIDOS!$A:$A,FORNECEDOR!A1807)</f>
        <v>0</v>
      </c>
      <c r="C1807" s="3" t="e">
        <f>INDEX(PEDIDOS!$A:$D,MATCH(FORNECEDOR!A1807,PEDIDOS!$A:$A,0),2)</f>
        <v>#N/A</v>
      </c>
      <c r="D1807" s="3" t="e">
        <f>INDEX(PEDIDOS!$A:$D,MATCH(FORNECEDOR!A1807,PEDIDOS!$A:$A,0),3)</f>
        <v>#N/A</v>
      </c>
      <c r="E1807" s="3" t="e">
        <f>INDEX(PEDIDOS!$A:$D,MATCH(FORNECEDOR!A1807,PEDIDOS!$A:$A,0),4)</f>
        <v>#N/A</v>
      </c>
    </row>
    <row r="1808" spans="1:5" hidden="1" x14ac:dyDescent="0.25">
      <c r="A1808" s="1" t="s">
        <v>1807</v>
      </c>
      <c r="B1808" s="3">
        <f>COUNTIF(PEDIDOS!$A:$A,FORNECEDOR!A1808)</f>
        <v>0</v>
      </c>
      <c r="C1808" s="3" t="e">
        <f>INDEX(PEDIDOS!$A:$D,MATCH(FORNECEDOR!A1808,PEDIDOS!$A:$A,0),2)</f>
        <v>#N/A</v>
      </c>
      <c r="D1808" s="3" t="e">
        <f>INDEX(PEDIDOS!$A:$D,MATCH(FORNECEDOR!A1808,PEDIDOS!$A:$A,0),3)</f>
        <v>#N/A</v>
      </c>
      <c r="E1808" s="3" t="e">
        <f>INDEX(PEDIDOS!$A:$D,MATCH(FORNECEDOR!A1808,PEDIDOS!$A:$A,0),4)</f>
        <v>#N/A</v>
      </c>
    </row>
    <row r="1809" spans="1:5" x14ac:dyDescent="0.25">
      <c r="A1809" s="1" t="s">
        <v>1808</v>
      </c>
      <c r="B1809" s="3">
        <f>COUNTIF(PEDIDOS!$A:$A,FORNECEDOR!A1809)</f>
        <v>1</v>
      </c>
      <c r="C1809" s="3" t="str">
        <f>INDEX(PEDIDOS!$A:$D,MATCH(FORNECEDOR!A1809,PEDIDOS!$A:$A,0),2)</f>
        <v>CD REGIS</v>
      </c>
      <c r="D1809" s="3" t="str">
        <f>INDEX(PEDIDOS!$A:$D,MATCH(FORNECEDOR!A1809,PEDIDOS!$A:$A,0),3)</f>
        <v>CD REGIS</v>
      </c>
      <c r="E1809" s="3" t="str">
        <f>INDEX(PEDIDOS!$A:$D,MATCH(FORNECEDOR!A1809,PEDIDOS!$A:$A,0),4)</f>
        <v>CD REGIS</v>
      </c>
    </row>
    <row r="1810" spans="1:5" hidden="1" x14ac:dyDescent="0.25">
      <c r="A1810" s="1" t="s">
        <v>1809</v>
      </c>
      <c r="B1810" s="3">
        <f>COUNTIF(PEDIDOS!$A:$A,FORNECEDOR!A1810)</f>
        <v>0</v>
      </c>
      <c r="C1810" s="3" t="e">
        <f>INDEX(PEDIDOS!$A:$D,MATCH(FORNECEDOR!A1810,PEDIDOS!$A:$A,0),2)</f>
        <v>#N/A</v>
      </c>
      <c r="D1810" s="3" t="e">
        <f>INDEX(PEDIDOS!$A:$D,MATCH(FORNECEDOR!A1810,PEDIDOS!$A:$A,0),3)</f>
        <v>#N/A</v>
      </c>
      <c r="E1810" s="3" t="e">
        <f>INDEX(PEDIDOS!$A:$D,MATCH(FORNECEDOR!A1810,PEDIDOS!$A:$A,0),4)</f>
        <v>#N/A</v>
      </c>
    </row>
    <row r="1811" spans="1:5" x14ac:dyDescent="0.25">
      <c r="A1811" s="1" t="s">
        <v>1810</v>
      </c>
      <c r="B1811" s="3">
        <f>COUNTIF(PEDIDOS!$A:$A,FORNECEDOR!A1811)</f>
        <v>2</v>
      </c>
      <c r="C1811" s="3" t="str">
        <f>INDEX(PEDIDOS!$A:$D,MATCH(FORNECEDOR!A1811,PEDIDOS!$A:$A,0),2)</f>
        <v>CD NAVEGANTES</v>
      </c>
      <c r="D1811" s="3" t="str">
        <f>INDEX(PEDIDOS!$A:$D,MATCH(FORNECEDOR!A1811,PEDIDOS!$A:$A,0),3)</f>
        <v>MATRIZ</v>
      </c>
      <c r="E1811" s="3" t="str">
        <f>INDEX(PEDIDOS!$A:$D,MATCH(FORNECEDOR!A1811,PEDIDOS!$A:$A,0),4)</f>
        <v>CD NAVEGANTES</v>
      </c>
    </row>
    <row r="1812" spans="1:5" x14ac:dyDescent="0.25">
      <c r="A1812" s="1" t="s">
        <v>1811</v>
      </c>
      <c r="B1812" s="3">
        <f>COUNTIF(PEDIDOS!$A:$A,FORNECEDOR!A1812)</f>
        <v>1</v>
      </c>
      <c r="C1812" s="3" t="str">
        <f>INDEX(PEDIDOS!$A:$D,MATCH(FORNECEDOR!A1812,PEDIDOS!$A:$A,0),2)</f>
        <v>SP - PARI</v>
      </c>
      <c r="D1812" s="3" t="str">
        <f>INDEX(PEDIDOS!$A:$D,MATCH(FORNECEDOR!A1812,PEDIDOS!$A:$A,0),3)</f>
        <v>SP - PARI</v>
      </c>
      <c r="E1812" s="3" t="str">
        <f>INDEX(PEDIDOS!$A:$D,MATCH(FORNECEDOR!A1812,PEDIDOS!$A:$A,0),4)</f>
        <v>SP - PARI</v>
      </c>
    </row>
    <row r="1813" spans="1:5" hidden="1" x14ac:dyDescent="0.25">
      <c r="A1813" s="1" t="s">
        <v>1812</v>
      </c>
      <c r="B1813" s="3">
        <f>COUNTIF(PEDIDOS!$A:$A,FORNECEDOR!A1813)</f>
        <v>0</v>
      </c>
      <c r="C1813" s="3" t="e">
        <f>INDEX(PEDIDOS!$A:$D,MATCH(FORNECEDOR!A1813,PEDIDOS!$A:$A,0),2)</f>
        <v>#N/A</v>
      </c>
      <c r="D1813" s="3" t="e">
        <f>INDEX(PEDIDOS!$A:$D,MATCH(FORNECEDOR!A1813,PEDIDOS!$A:$A,0),3)</f>
        <v>#N/A</v>
      </c>
      <c r="E1813" s="3" t="e">
        <f>INDEX(PEDIDOS!$A:$D,MATCH(FORNECEDOR!A1813,PEDIDOS!$A:$A,0),4)</f>
        <v>#N/A</v>
      </c>
    </row>
    <row r="1814" spans="1:5" hidden="1" x14ac:dyDescent="0.25">
      <c r="A1814" s="1" t="s">
        <v>1813</v>
      </c>
      <c r="B1814" s="3">
        <f>COUNTIF(PEDIDOS!$A:$A,FORNECEDOR!A1814)</f>
        <v>0</v>
      </c>
      <c r="C1814" s="3" t="e">
        <f>INDEX(PEDIDOS!$A:$D,MATCH(FORNECEDOR!A1814,PEDIDOS!$A:$A,0),2)</f>
        <v>#N/A</v>
      </c>
      <c r="D1814" s="3" t="e">
        <f>INDEX(PEDIDOS!$A:$D,MATCH(FORNECEDOR!A1814,PEDIDOS!$A:$A,0),3)</f>
        <v>#N/A</v>
      </c>
      <c r="E1814" s="3" t="e">
        <f>INDEX(PEDIDOS!$A:$D,MATCH(FORNECEDOR!A1814,PEDIDOS!$A:$A,0),4)</f>
        <v>#N/A</v>
      </c>
    </row>
    <row r="1815" spans="1:5" hidden="1" x14ac:dyDescent="0.25">
      <c r="A1815" s="1" t="s">
        <v>1814</v>
      </c>
      <c r="B1815" s="3">
        <f>COUNTIF(PEDIDOS!$A:$A,FORNECEDOR!A1815)</f>
        <v>0</v>
      </c>
      <c r="C1815" s="3" t="e">
        <f>INDEX(PEDIDOS!$A:$D,MATCH(FORNECEDOR!A1815,PEDIDOS!$A:$A,0),2)</f>
        <v>#N/A</v>
      </c>
      <c r="D1815" s="3" t="e">
        <f>INDEX(PEDIDOS!$A:$D,MATCH(FORNECEDOR!A1815,PEDIDOS!$A:$A,0),3)</f>
        <v>#N/A</v>
      </c>
      <c r="E1815" s="3" t="e">
        <f>INDEX(PEDIDOS!$A:$D,MATCH(FORNECEDOR!A1815,PEDIDOS!$A:$A,0),4)</f>
        <v>#N/A</v>
      </c>
    </row>
    <row r="1816" spans="1:5" hidden="1" x14ac:dyDescent="0.25">
      <c r="A1816" s="1" t="s">
        <v>1815</v>
      </c>
      <c r="B1816" s="3">
        <f>COUNTIF(PEDIDOS!$A:$A,FORNECEDOR!A1816)</f>
        <v>0</v>
      </c>
      <c r="C1816" s="3" t="e">
        <f>INDEX(PEDIDOS!$A:$D,MATCH(FORNECEDOR!A1816,PEDIDOS!$A:$A,0),2)</f>
        <v>#N/A</v>
      </c>
      <c r="D1816" s="3" t="e">
        <f>INDEX(PEDIDOS!$A:$D,MATCH(FORNECEDOR!A1816,PEDIDOS!$A:$A,0),3)</f>
        <v>#N/A</v>
      </c>
      <c r="E1816" s="3" t="e">
        <f>INDEX(PEDIDOS!$A:$D,MATCH(FORNECEDOR!A1816,PEDIDOS!$A:$A,0),4)</f>
        <v>#N/A</v>
      </c>
    </row>
    <row r="1817" spans="1:5" hidden="1" x14ac:dyDescent="0.25">
      <c r="A1817" s="1" t="s">
        <v>1816</v>
      </c>
      <c r="B1817" s="3">
        <f>COUNTIF(PEDIDOS!$A:$A,FORNECEDOR!A1817)</f>
        <v>0</v>
      </c>
      <c r="C1817" s="3" t="e">
        <f>INDEX(PEDIDOS!$A:$D,MATCH(FORNECEDOR!A1817,PEDIDOS!$A:$A,0),2)</f>
        <v>#N/A</v>
      </c>
      <c r="D1817" s="3" t="e">
        <f>INDEX(PEDIDOS!$A:$D,MATCH(FORNECEDOR!A1817,PEDIDOS!$A:$A,0),3)</f>
        <v>#N/A</v>
      </c>
      <c r="E1817" s="3" t="e">
        <f>INDEX(PEDIDOS!$A:$D,MATCH(FORNECEDOR!A1817,PEDIDOS!$A:$A,0),4)</f>
        <v>#N/A</v>
      </c>
    </row>
    <row r="1818" spans="1:5" x14ac:dyDescent="0.25">
      <c r="A1818" s="1" t="s">
        <v>1817</v>
      </c>
      <c r="B1818" s="3">
        <f>COUNTIF(PEDIDOS!$A:$A,FORNECEDOR!A1818)</f>
        <v>1</v>
      </c>
      <c r="C1818" s="3" t="str">
        <f>INDEX(PEDIDOS!$A:$D,MATCH(FORNECEDOR!A1818,PEDIDOS!$A:$A,0),2)</f>
        <v>CD REGIS</v>
      </c>
      <c r="D1818" s="3" t="str">
        <f>INDEX(PEDIDOS!$A:$D,MATCH(FORNECEDOR!A1818,PEDIDOS!$A:$A,0),3)</f>
        <v>TATUAPE</v>
      </c>
      <c r="E1818" s="3" t="str">
        <f>INDEX(PEDIDOS!$A:$D,MATCH(FORNECEDOR!A1818,PEDIDOS!$A:$A,0),4)</f>
        <v>CD REGIS</v>
      </c>
    </row>
    <row r="1819" spans="1:5" x14ac:dyDescent="0.25">
      <c r="A1819" s="1" t="s">
        <v>1818</v>
      </c>
      <c r="B1819" s="3">
        <f>COUNTIF(PEDIDOS!$A:$A,FORNECEDOR!A1819)</f>
        <v>2</v>
      </c>
      <c r="C1819" s="3" t="str">
        <f>INDEX(PEDIDOS!$A:$D,MATCH(FORNECEDOR!A1819,PEDIDOS!$A:$A,0),2)</f>
        <v>CD REGIS</v>
      </c>
      <c r="D1819" s="3" t="str">
        <f>INDEX(PEDIDOS!$A:$D,MATCH(FORNECEDOR!A1819,PEDIDOS!$A:$A,0),3)</f>
        <v>MATRIZ</v>
      </c>
      <c r="E1819" s="3" t="str">
        <f>INDEX(PEDIDOS!$A:$D,MATCH(FORNECEDOR!A1819,PEDIDOS!$A:$A,0),4)</f>
        <v>CD REGIS</v>
      </c>
    </row>
    <row r="1820" spans="1:5" hidden="1" x14ac:dyDescent="0.25">
      <c r="A1820" s="1" t="s">
        <v>1819</v>
      </c>
      <c r="B1820" s="3">
        <f>COUNTIF(PEDIDOS!$A:$A,FORNECEDOR!A1820)</f>
        <v>0</v>
      </c>
      <c r="C1820" s="3" t="e">
        <f>INDEX(PEDIDOS!$A:$D,MATCH(FORNECEDOR!A1820,PEDIDOS!$A:$A,0),2)</f>
        <v>#N/A</v>
      </c>
      <c r="D1820" s="3" t="e">
        <f>INDEX(PEDIDOS!$A:$D,MATCH(FORNECEDOR!A1820,PEDIDOS!$A:$A,0),3)</f>
        <v>#N/A</v>
      </c>
      <c r="E1820" s="3" t="e">
        <f>INDEX(PEDIDOS!$A:$D,MATCH(FORNECEDOR!A1820,PEDIDOS!$A:$A,0),4)</f>
        <v>#N/A</v>
      </c>
    </row>
    <row r="1821" spans="1:5" hidden="1" x14ac:dyDescent="0.25">
      <c r="A1821" s="1" t="s">
        <v>1820</v>
      </c>
      <c r="B1821" s="3">
        <f>COUNTIF(PEDIDOS!$A:$A,FORNECEDOR!A1821)</f>
        <v>0</v>
      </c>
      <c r="C1821" s="3" t="e">
        <f>INDEX(PEDIDOS!$A:$D,MATCH(FORNECEDOR!A1821,PEDIDOS!$A:$A,0),2)</f>
        <v>#N/A</v>
      </c>
      <c r="D1821" s="3" t="e">
        <f>INDEX(PEDIDOS!$A:$D,MATCH(FORNECEDOR!A1821,PEDIDOS!$A:$A,0),3)</f>
        <v>#N/A</v>
      </c>
      <c r="E1821" s="3" t="e">
        <f>INDEX(PEDIDOS!$A:$D,MATCH(FORNECEDOR!A1821,PEDIDOS!$A:$A,0),4)</f>
        <v>#N/A</v>
      </c>
    </row>
    <row r="1822" spans="1:5" x14ac:dyDescent="0.25">
      <c r="A1822" s="1" t="s">
        <v>1821</v>
      </c>
      <c r="B1822" s="3">
        <f>COUNTIF(PEDIDOS!$A:$A,FORNECEDOR!A1822)</f>
        <v>6</v>
      </c>
      <c r="C1822" s="3" t="str">
        <f>INDEX(PEDIDOS!$A:$D,MATCH(FORNECEDOR!A1822,PEDIDOS!$A:$A,0),2)</f>
        <v>IPIRANGA</v>
      </c>
      <c r="D1822" s="3" t="str">
        <f>INDEX(PEDIDOS!$A:$D,MATCH(FORNECEDOR!A1822,PEDIDOS!$A:$A,0),3)</f>
        <v>IPIRANGA</v>
      </c>
      <c r="E1822" s="3" t="str">
        <f>INDEX(PEDIDOS!$A:$D,MATCH(FORNECEDOR!A1822,PEDIDOS!$A:$A,0),4)</f>
        <v>IPIRANGA</v>
      </c>
    </row>
    <row r="1823" spans="1:5" hidden="1" x14ac:dyDescent="0.25">
      <c r="A1823" s="1" t="s">
        <v>1822</v>
      </c>
      <c r="B1823" s="3">
        <f>COUNTIF(PEDIDOS!$A:$A,FORNECEDOR!A1823)</f>
        <v>0</v>
      </c>
      <c r="C1823" s="3" t="e">
        <f>INDEX(PEDIDOS!$A:$D,MATCH(FORNECEDOR!A1823,PEDIDOS!$A:$A,0),2)</f>
        <v>#N/A</v>
      </c>
      <c r="D1823" s="3" t="e">
        <f>INDEX(PEDIDOS!$A:$D,MATCH(FORNECEDOR!A1823,PEDIDOS!$A:$A,0),3)</f>
        <v>#N/A</v>
      </c>
      <c r="E1823" s="3" t="e">
        <f>INDEX(PEDIDOS!$A:$D,MATCH(FORNECEDOR!A1823,PEDIDOS!$A:$A,0),4)</f>
        <v>#N/A</v>
      </c>
    </row>
    <row r="1824" spans="1:5" hidden="1" x14ac:dyDescent="0.25">
      <c r="A1824" s="1" t="s">
        <v>1823</v>
      </c>
      <c r="B1824" s="3">
        <f>COUNTIF(PEDIDOS!$A:$A,FORNECEDOR!A1824)</f>
        <v>0</v>
      </c>
      <c r="C1824" s="3" t="e">
        <f>INDEX(PEDIDOS!$A:$D,MATCH(FORNECEDOR!A1824,PEDIDOS!$A:$A,0),2)</f>
        <v>#N/A</v>
      </c>
      <c r="D1824" s="3" t="e">
        <f>INDEX(PEDIDOS!$A:$D,MATCH(FORNECEDOR!A1824,PEDIDOS!$A:$A,0),3)</f>
        <v>#N/A</v>
      </c>
      <c r="E1824" s="3" t="e">
        <f>INDEX(PEDIDOS!$A:$D,MATCH(FORNECEDOR!A1824,PEDIDOS!$A:$A,0),4)</f>
        <v>#N/A</v>
      </c>
    </row>
    <row r="1825" spans="1:5" hidden="1" x14ac:dyDescent="0.25">
      <c r="A1825" s="1" t="s">
        <v>1824</v>
      </c>
      <c r="B1825" s="3">
        <f>COUNTIF(PEDIDOS!$A:$A,FORNECEDOR!A1825)</f>
        <v>0</v>
      </c>
      <c r="C1825" s="3" t="e">
        <f>INDEX(PEDIDOS!$A:$D,MATCH(FORNECEDOR!A1825,PEDIDOS!$A:$A,0),2)</f>
        <v>#N/A</v>
      </c>
      <c r="D1825" s="3" t="e">
        <f>INDEX(PEDIDOS!$A:$D,MATCH(FORNECEDOR!A1825,PEDIDOS!$A:$A,0),3)</f>
        <v>#N/A</v>
      </c>
      <c r="E1825" s="3" t="e">
        <f>INDEX(PEDIDOS!$A:$D,MATCH(FORNECEDOR!A1825,PEDIDOS!$A:$A,0),4)</f>
        <v>#N/A</v>
      </c>
    </row>
    <row r="1826" spans="1:5" hidden="1" x14ac:dyDescent="0.25">
      <c r="A1826" s="1" t="s">
        <v>1825</v>
      </c>
      <c r="B1826" s="3">
        <f>COUNTIF(PEDIDOS!$A:$A,FORNECEDOR!A1826)</f>
        <v>0</v>
      </c>
      <c r="C1826" s="3" t="e">
        <f>INDEX(PEDIDOS!$A:$D,MATCH(FORNECEDOR!A1826,PEDIDOS!$A:$A,0),2)</f>
        <v>#N/A</v>
      </c>
      <c r="D1826" s="3" t="e">
        <f>INDEX(PEDIDOS!$A:$D,MATCH(FORNECEDOR!A1826,PEDIDOS!$A:$A,0),3)</f>
        <v>#N/A</v>
      </c>
      <c r="E1826" s="3" t="e">
        <f>INDEX(PEDIDOS!$A:$D,MATCH(FORNECEDOR!A1826,PEDIDOS!$A:$A,0),4)</f>
        <v>#N/A</v>
      </c>
    </row>
    <row r="1827" spans="1:5" hidden="1" x14ac:dyDescent="0.25">
      <c r="A1827" s="1" t="s">
        <v>1826</v>
      </c>
      <c r="B1827" s="3">
        <f>COUNTIF(PEDIDOS!$A:$A,FORNECEDOR!A1827)</f>
        <v>0</v>
      </c>
      <c r="C1827" s="3" t="e">
        <f>INDEX(PEDIDOS!$A:$D,MATCH(FORNECEDOR!A1827,PEDIDOS!$A:$A,0),2)</f>
        <v>#N/A</v>
      </c>
      <c r="D1827" s="3" t="e">
        <f>INDEX(PEDIDOS!$A:$D,MATCH(FORNECEDOR!A1827,PEDIDOS!$A:$A,0),3)</f>
        <v>#N/A</v>
      </c>
      <c r="E1827" s="3" t="e">
        <f>INDEX(PEDIDOS!$A:$D,MATCH(FORNECEDOR!A1827,PEDIDOS!$A:$A,0),4)</f>
        <v>#N/A</v>
      </c>
    </row>
    <row r="1828" spans="1:5" hidden="1" x14ac:dyDescent="0.25">
      <c r="A1828" s="1" t="s">
        <v>1827</v>
      </c>
      <c r="B1828" s="3">
        <f>COUNTIF(PEDIDOS!$A:$A,FORNECEDOR!A1828)</f>
        <v>0</v>
      </c>
      <c r="C1828" s="3" t="e">
        <f>INDEX(PEDIDOS!$A:$D,MATCH(FORNECEDOR!A1828,PEDIDOS!$A:$A,0),2)</f>
        <v>#N/A</v>
      </c>
      <c r="D1828" s="3" t="e">
        <f>INDEX(PEDIDOS!$A:$D,MATCH(FORNECEDOR!A1828,PEDIDOS!$A:$A,0),3)</f>
        <v>#N/A</v>
      </c>
      <c r="E1828" s="3" t="e">
        <f>INDEX(PEDIDOS!$A:$D,MATCH(FORNECEDOR!A1828,PEDIDOS!$A:$A,0),4)</f>
        <v>#N/A</v>
      </c>
    </row>
    <row r="1829" spans="1:5" x14ac:dyDescent="0.25">
      <c r="A1829" s="1" t="s">
        <v>1828</v>
      </c>
      <c r="B1829" s="3">
        <f>COUNTIF(PEDIDOS!$A:$A,FORNECEDOR!A1829)</f>
        <v>2</v>
      </c>
      <c r="C1829" s="3" t="str">
        <f>INDEX(PEDIDOS!$A:$D,MATCH(FORNECEDOR!A1829,PEDIDOS!$A:$A,0),2)</f>
        <v>MATRIZ</v>
      </c>
      <c r="D1829" s="3" t="str">
        <f>INDEX(PEDIDOS!$A:$D,MATCH(FORNECEDOR!A1829,PEDIDOS!$A:$A,0),3)</f>
        <v>MATRIZ</v>
      </c>
      <c r="E1829" s="3" t="str">
        <f>INDEX(PEDIDOS!$A:$D,MATCH(FORNECEDOR!A1829,PEDIDOS!$A:$A,0),4)</f>
        <v>MATRIZ</v>
      </c>
    </row>
    <row r="1830" spans="1:5" hidden="1" x14ac:dyDescent="0.25">
      <c r="A1830" s="1" t="s">
        <v>1829</v>
      </c>
      <c r="B1830" s="3">
        <f>COUNTIF(PEDIDOS!$A:$A,FORNECEDOR!A1830)</f>
        <v>0</v>
      </c>
      <c r="C1830" s="3" t="e">
        <f>INDEX(PEDIDOS!$A:$D,MATCH(FORNECEDOR!A1830,PEDIDOS!$A:$A,0),2)</f>
        <v>#N/A</v>
      </c>
      <c r="D1830" s="3" t="e">
        <f>INDEX(PEDIDOS!$A:$D,MATCH(FORNECEDOR!A1830,PEDIDOS!$A:$A,0),3)</f>
        <v>#N/A</v>
      </c>
      <c r="E1830" s="3" t="e">
        <f>INDEX(PEDIDOS!$A:$D,MATCH(FORNECEDOR!A1830,PEDIDOS!$A:$A,0),4)</f>
        <v>#N/A</v>
      </c>
    </row>
    <row r="1831" spans="1:5" hidden="1" x14ac:dyDescent="0.25">
      <c r="A1831" s="1" t="s">
        <v>1830</v>
      </c>
      <c r="B1831" s="3">
        <f>COUNTIF(PEDIDOS!$A:$A,FORNECEDOR!A1831)</f>
        <v>0</v>
      </c>
      <c r="C1831" s="3" t="e">
        <f>INDEX(PEDIDOS!$A:$D,MATCH(FORNECEDOR!A1831,PEDIDOS!$A:$A,0),2)</f>
        <v>#N/A</v>
      </c>
      <c r="D1831" s="3" t="e">
        <f>INDEX(PEDIDOS!$A:$D,MATCH(FORNECEDOR!A1831,PEDIDOS!$A:$A,0),3)</f>
        <v>#N/A</v>
      </c>
      <c r="E1831" s="3" t="e">
        <f>INDEX(PEDIDOS!$A:$D,MATCH(FORNECEDOR!A1831,PEDIDOS!$A:$A,0),4)</f>
        <v>#N/A</v>
      </c>
    </row>
    <row r="1832" spans="1:5" hidden="1" x14ac:dyDescent="0.25">
      <c r="A1832" s="1" t="s">
        <v>1831</v>
      </c>
      <c r="B1832" s="3">
        <f>COUNTIF(PEDIDOS!$A:$A,FORNECEDOR!A1832)</f>
        <v>0</v>
      </c>
      <c r="C1832" s="3" t="e">
        <f>INDEX(PEDIDOS!$A:$D,MATCH(FORNECEDOR!A1832,PEDIDOS!$A:$A,0),2)</f>
        <v>#N/A</v>
      </c>
      <c r="D1832" s="3" t="e">
        <f>INDEX(PEDIDOS!$A:$D,MATCH(FORNECEDOR!A1832,PEDIDOS!$A:$A,0),3)</f>
        <v>#N/A</v>
      </c>
      <c r="E1832" s="3" t="e">
        <f>INDEX(PEDIDOS!$A:$D,MATCH(FORNECEDOR!A1832,PEDIDOS!$A:$A,0),4)</f>
        <v>#N/A</v>
      </c>
    </row>
    <row r="1833" spans="1:5" hidden="1" x14ac:dyDescent="0.25">
      <c r="A1833" s="1" t="s">
        <v>1832</v>
      </c>
      <c r="B1833" s="3">
        <f>COUNTIF(PEDIDOS!$A:$A,FORNECEDOR!A1833)</f>
        <v>0</v>
      </c>
      <c r="C1833" s="3" t="e">
        <f>INDEX(PEDIDOS!$A:$D,MATCH(FORNECEDOR!A1833,PEDIDOS!$A:$A,0),2)</f>
        <v>#N/A</v>
      </c>
      <c r="D1833" s="3" t="e">
        <f>INDEX(PEDIDOS!$A:$D,MATCH(FORNECEDOR!A1833,PEDIDOS!$A:$A,0),3)</f>
        <v>#N/A</v>
      </c>
      <c r="E1833" s="3" t="e">
        <f>INDEX(PEDIDOS!$A:$D,MATCH(FORNECEDOR!A1833,PEDIDOS!$A:$A,0),4)</f>
        <v>#N/A</v>
      </c>
    </row>
    <row r="1834" spans="1:5" hidden="1" x14ac:dyDescent="0.25">
      <c r="A1834" s="1" t="s">
        <v>1833</v>
      </c>
      <c r="B1834" s="3">
        <f>COUNTIF(PEDIDOS!$A:$A,FORNECEDOR!A1834)</f>
        <v>0</v>
      </c>
      <c r="C1834" s="3" t="e">
        <f>INDEX(PEDIDOS!$A:$D,MATCH(FORNECEDOR!A1834,PEDIDOS!$A:$A,0),2)</f>
        <v>#N/A</v>
      </c>
      <c r="D1834" s="3" t="e">
        <f>INDEX(PEDIDOS!$A:$D,MATCH(FORNECEDOR!A1834,PEDIDOS!$A:$A,0),3)</f>
        <v>#N/A</v>
      </c>
      <c r="E1834" s="3" t="e">
        <f>INDEX(PEDIDOS!$A:$D,MATCH(FORNECEDOR!A1834,PEDIDOS!$A:$A,0),4)</f>
        <v>#N/A</v>
      </c>
    </row>
    <row r="1835" spans="1:5" hidden="1" x14ac:dyDescent="0.25">
      <c r="A1835" s="1" t="s">
        <v>1834</v>
      </c>
      <c r="B1835" s="3">
        <f>COUNTIF(PEDIDOS!$A:$A,FORNECEDOR!A1835)</f>
        <v>0</v>
      </c>
      <c r="C1835" s="3" t="e">
        <f>INDEX(PEDIDOS!$A:$D,MATCH(FORNECEDOR!A1835,PEDIDOS!$A:$A,0),2)</f>
        <v>#N/A</v>
      </c>
      <c r="D1835" s="3" t="e">
        <f>INDEX(PEDIDOS!$A:$D,MATCH(FORNECEDOR!A1835,PEDIDOS!$A:$A,0),3)</f>
        <v>#N/A</v>
      </c>
      <c r="E1835" s="3" t="e">
        <f>INDEX(PEDIDOS!$A:$D,MATCH(FORNECEDOR!A1835,PEDIDOS!$A:$A,0),4)</f>
        <v>#N/A</v>
      </c>
    </row>
    <row r="1836" spans="1:5" hidden="1" x14ac:dyDescent="0.25">
      <c r="A1836" s="1" t="s">
        <v>1835</v>
      </c>
      <c r="B1836" s="3">
        <f>COUNTIF(PEDIDOS!$A:$A,FORNECEDOR!A1836)</f>
        <v>0</v>
      </c>
      <c r="C1836" s="3" t="e">
        <f>INDEX(PEDIDOS!$A:$D,MATCH(FORNECEDOR!A1836,PEDIDOS!$A:$A,0),2)</f>
        <v>#N/A</v>
      </c>
      <c r="D1836" s="3" t="e">
        <f>INDEX(PEDIDOS!$A:$D,MATCH(FORNECEDOR!A1836,PEDIDOS!$A:$A,0),3)</f>
        <v>#N/A</v>
      </c>
      <c r="E1836" s="3" t="e">
        <f>INDEX(PEDIDOS!$A:$D,MATCH(FORNECEDOR!A1836,PEDIDOS!$A:$A,0),4)</f>
        <v>#N/A</v>
      </c>
    </row>
    <row r="1837" spans="1:5" hidden="1" x14ac:dyDescent="0.25">
      <c r="A1837" s="1" t="s">
        <v>1836</v>
      </c>
      <c r="B1837" s="3">
        <f>COUNTIF(PEDIDOS!$A:$A,FORNECEDOR!A1837)</f>
        <v>0</v>
      </c>
      <c r="C1837" s="3" t="e">
        <f>INDEX(PEDIDOS!$A:$D,MATCH(FORNECEDOR!A1837,PEDIDOS!$A:$A,0),2)</f>
        <v>#N/A</v>
      </c>
      <c r="D1837" s="3" t="e">
        <f>INDEX(PEDIDOS!$A:$D,MATCH(FORNECEDOR!A1837,PEDIDOS!$A:$A,0),3)</f>
        <v>#N/A</v>
      </c>
      <c r="E1837" s="3" t="e">
        <f>INDEX(PEDIDOS!$A:$D,MATCH(FORNECEDOR!A1837,PEDIDOS!$A:$A,0),4)</f>
        <v>#N/A</v>
      </c>
    </row>
    <row r="1838" spans="1:5" hidden="1" x14ac:dyDescent="0.25">
      <c r="A1838" s="1" t="s">
        <v>1837</v>
      </c>
      <c r="B1838" s="3">
        <f>COUNTIF(PEDIDOS!$A:$A,FORNECEDOR!A1838)</f>
        <v>0</v>
      </c>
      <c r="C1838" s="3" t="e">
        <f>INDEX(PEDIDOS!$A:$D,MATCH(FORNECEDOR!A1838,PEDIDOS!$A:$A,0),2)</f>
        <v>#N/A</v>
      </c>
      <c r="D1838" s="3" t="e">
        <f>INDEX(PEDIDOS!$A:$D,MATCH(FORNECEDOR!A1838,PEDIDOS!$A:$A,0),3)</f>
        <v>#N/A</v>
      </c>
      <c r="E1838" s="3" t="e">
        <f>INDEX(PEDIDOS!$A:$D,MATCH(FORNECEDOR!A1838,PEDIDOS!$A:$A,0),4)</f>
        <v>#N/A</v>
      </c>
    </row>
    <row r="1839" spans="1:5" hidden="1" x14ac:dyDescent="0.25">
      <c r="A1839" s="1" t="s">
        <v>1838</v>
      </c>
      <c r="B1839" s="3">
        <f>COUNTIF(PEDIDOS!$A:$A,FORNECEDOR!A1839)</f>
        <v>0</v>
      </c>
      <c r="C1839" s="3" t="e">
        <f>INDEX(PEDIDOS!$A:$D,MATCH(FORNECEDOR!A1839,PEDIDOS!$A:$A,0),2)</f>
        <v>#N/A</v>
      </c>
      <c r="D1839" s="3" t="e">
        <f>INDEX(PEDIDOS!$A:$D,MATCH(FORNECEDOR!A1839,PEDIDOS!$A:$A,0),3)</f>
        <v>#N/A</v>
      </c>
      <c r="E1839" s="3" t="e">
        <f>INDEX(PEDIDOS!$A:$D,MATCH(FORNECEDOR!A1839,PEDIDOS!$A:$A,0),4)</f>
        <v>#N/A</v>
      </c>
    </row>
    <row r="1840" spans="1:5" hidden="1" x14ac:dyDescent="0.25">
      <c r="A1840" s="1" t="s">
        <v>1839</v>
      </c>
      <c r="B1840" s="3">
        <f>COUNTIF(PEDIDOS!$A:$A,FORNECEDOR!A1840)</f>
        <v>0</v>
      </c>
      <c r="C1840" s="3" t="e">
        <f>INDEX(PEDIDOS!$A:$D,MATCH(FORNECEDOR!A1840,PEDIDOS!$A:$A,0),2)</f>
        <v>#N/A</v>
      </c>
      <c r="D1840" s="3" t="e">
        <f>INDEX(PEDIDOS!$A:$D,MATCH(FORNECEDOR!A1840,PEDIDOS!$A:$A,0),3)</f>
        <v>#N/A</v>
      </c>
      <c r="E1840" s="3" t="e">
        <f>INDEX(PEDIDOS!$A:$D,MATCH(FORNECEDOR!A1840,PEDIDOS!$A:$A,0),4)</f>
        <v>#N/A</v>
      </c>
    </row>
    <row r="1841" spans="1:5" hidden="1" x14ac:dyDescent="0.25">
      <c r="A1841" s="1" t="s">
        <v>1840</v>
      </c>
      <c r="B1841" s="3">
        <f>COUNTIF(PEDIDOS!$A:$A,FORNECEDOR!A1841)</f>
        <v>0</v>
      </c>
      <c r="C1841" s="3" t="e">
        <f>INDEX(PEDIDOS!$A:$D,MATCH(FORNECEDOR!A1841,PEDIDOS!$A:$A,0),2)</f>
        <v>#N/A</v>
      </c>
      <c r="D1841" s="3" t="e">
        <f>INDEX(PEDIDOS!$A:$D,MATCH(FORNECEDOR!A1841,PEDIDOS!$A:$A,0),3)</f>
        <v>#N/A</v>
      </c>
      <c r="E1841" s="3" t="e">
        <f>INDEX(PEDIDOS!$A:$D,MATCH(FORNECEDOR!A1841,PEDIDOS!$A:$A,0),4)</f>
        <v>#N/A</v>
      </c>
    </row>
    <row r="1842" spans="1:5" hidden="1" x14ac:dyDescent="0.25">
      <c r="A1842" s="1" t="s">
        <v>1841</v>
      </c>
      <c r="B1842" s="3">
        <f>COUNTIF(PEDIDOS!$A:$A,FORNECEDOR!A1842)</f>
        <v>0</v>
      </c>
      <c r="C1842" s="3" t="e">
        <f>INDEX(PEDIDOS!$A:$D,MATCH(FORNECEDOR!A1842,PEDIDOS!$A:$A,0),2)</f>
        <v>#N/A</v>
      </c>
      <c r="D1842" s="3" t="e">
        <f>INDEX(PEDIDOS!$A:$D,MATCH(FORNECEDOR!A1842,PEDIDOS!$A:$A,0),3)</f>
        <v>#N/A</v>
      </c>
      <c r="E1842" s="3" t="e">
        <f>INDEX(PEDIDOS!$A:$D,MATCH(FORNECEDOR!A1842,PEDIDOS!$A:$A,0),4)</f>
        <v>#N/A</v>
      </c>
    </row>
    <row r="1843" spans="1:5" x14ac:dyDescent="0.25">
      <c r="A1843" s="1" t="s">
        <v>1842</v>
      </c>
      <c r="B1843" s="3">
        <f>COUNTIF(PEDIDOS!$A:$A,FORNECEDOR!A1843)</f>
        <v>2</v>
      </c>
      <c r="C1843" s="3" t="str">
        <f>INDEX(PEDIDOS!$A:$D,MATCH(FORNECEDOR!A1843,PEDIDOS!$A:$A,0),2)</f>
        <v>CD REGIS</v>
      </c>
      <c r="D1843" s="3" t="str">
        <f>INDEX(PEDIDOS!$A:$D,MATCH(FORNECEDOR!A1843,PEDIDOS!$A:$A,0),3)</f>
        <v>MATRIZ</v>
      </c>
      <c r="E1843" s="3" t="str">
        <f>INDEX(PEDIDOS!$A:$D,MATCH(FORNECEDOR!A1843,PEDIDOS!$A:$A,0),4)</f>
        <v>CD REGIS</v>
      </c>
    </row>
    <row r="1844" spans="1:5" x14ac:dyDescent="0.25">
      <c r="A1844" s="1" t="s">
        <v>1843</v>
      </c>
      <c r="B1844" s="3">
        <f>COUNTIF(PEDIDOS!$A:$A,FORNECEDOR!A1844)</f>
        <v>17</v>
      </c>
      <c r="C1844" s="3" t="str">
        <f>INDEX(PEDIDOS!$A:$D,MATCH(FORNECEDOR!A1844,PEDIDOS!$A:$A,0),2)</f>
        <v>CARAPICUIBA</v>
      </c>
      <c r="D1844" s="3" t="str">
        <f>INDEX(PEDIDOS!$A:$D,MATCH(FORNECEDOR!A1844,PEDIDOS!$A:$A,0),3)</f>
        <v>CARAPICUIBA</v>
      </c>
      <c r="E1844" s="3" t="str">
        <f>INDEX(PEDIDOS!$A:$D,MATCH(FORNECEDOR!A1844,PEDIDOS!$A:$A,0),4)</f>
        <v>CARAPICUIBA</v>
      </c>
    </row>
    <row r="1845" spans="1:5" hidden="1" x14ac:dyDescent="0.25">
      <c r="A1845" s="1" t="s">
        <v>1844</v>
      </c>
      <c r="B1845" s="3">
        <f>COUNTIF(PEDIDOS!$A:$A,FORNECEDOR!A1845)</f>
        <v>0</v>
      </c>
      <c r="C1845" s="3" t="e">
        <f>INDEX(PEDIDOS!$A:$D,MATCH(FORNECEDOR!A1845,PEDIDOS!$A:$A,0),2)</f>
        <v>#N/A</v>
      </c>
      <c r="D1845" s="3" t="e">
        <f>INDEX(PEDIDOS!$A:$D,MATCH(FORNECEDOR!A1845,PEDIDOS!$A:$A,0),3)</f>
        <v>#N/A</v>
      </c>
      <c r="E1845" s="3" t="e">
        <f>INDEX(PEDIDOS!$A:$D,MATCH(FORNECEDOR!A1845,PEDIDOS!$A:$A,0),4)</f>
        <v>#N/A</v>
      </c>
    </row>
    <row r="1846" spans="1:5" hidden="1" x14ac:dyDescent="0.25">
      <c r="A1846" s="1" t="s">
        <v>1845</v>
      </c>
      <c r="B1846" s="3">
        <f>COUNTIF(PEDIDOS!$A:$A,FORNECEDOR!A1846)</f>
        <v>0</v>
      </c>
      <c r="C1846" s="3" t="e">
        <f>INDEX(PEDIDOS!$A:$D,MATCH(FORNECEDOR!A1846,PEDIDOS!$A:$A,0),2)</f>
        <v>#N/A</v>
      </c>
      <c r="D1846" s="3" t="e">
        <f>INDEX(PEDIDOS!$A:$D,MATCH(FORNECEDOR!A1846,PEDIDOS!$A:$A,0),3)</f>
        <v>#N/A</v>
      </c>
      <c r="E1846" s="3" t="e">
        <f>INDEX(PEDIDOS!$A:$D,MATCH(FORNECEDOR!A1846,PEDIDOS!$A:$A,0),4)</f>
        <v>#N/A</v>
      </c>
    </row>
    <row r="1847" spans="1:5" hidden="1" x14ac:dyDescent="0.25">
      <c r="A1847" s="1" t="s">
        <v>1846</v>
      </c>
      <c r="B1847" s="3">
        <f>COUNTIF(PEDIDOS!$A:$A,FORNECEDOR!A1847)</f>
        <v>0</v>
      </c>
      <c r="C1847" s="3" t="e">
        <f>INDEX(PEDIDOS!$A:$D,MATCH(FORNECEDOR!A1847,PEDIDOS!$A:$A,0),2)</f>
        <v>#N/A</v>
      </c>
      <c r="D1847" s="3" t="e">
        <f>INDEX(PEDIDOS!$A:$D,MATCH(FORNECEDOR!A1847,PEDIDOS!$A:$A,0),3)</f>
        <v>#N/A</v>
      </c>
      <c r="E1847" s="3" t="e">
        <f>INDEX(PEDIDOS!$A:$D,MATCH(FORNECEDOR!A1847,PEDIDOS!$A:$A,0),4)</f>
        <v>#N/A</v>
      </c>
    </row>
    <row r="1848" spans="1:5" hidden="1" x14ac:dyDescent="0.25">
      <c r="A1848" s="1" t="s">
        <v>1847</v>
      </c>
      <c r="B1848" s="3">
        <f>COUNTIF(PEDIDOS!$A:$A,FORNECEDOR!A1848)</f>
        <v>0</v>
      </c>
      <c r="C1848" s="3" t="e">
        <f>INDEX(PEDIDOS!$A:$D,MATCH(FORNECEDOR!A1848,PEDIDOS!$A:$A,0),2)</f>
        <v>#N/A</v>
      </c>
      <c r="D1848" s="3" t="e">
        <f>INDEX(PEDIDOS!$A:$D,MATCH(FORNECEDOR!A1848,PEDIDOS!$A:$A,0),3)</f>
        <v>#N/A</v>
      </c>
      <c r="E1848" s="3" t="e">
        <f>INDEX(PEDIDOS!$A:$D,MATCH(FORNECEDOR!A1848,PEDIDOS!$A:$A,0),4)</f>
        <v>#N/A</v>
      </c>
    </row>
    <row r="1849" spans="1:5" x14ac:dyDescent="0.25">
      <c r="A1849" s="1" t="s">
        <v>1848</v>
      </c>
      <c r="B1849" s="3">
        <f>COUNTIF(PEDIDOS!$A:$A,FORNECEDOR!A1849)</f>
        <v>2</v>
      </c>
      <c r="C1849" s="3" t="str">
        <f>INDEX(PEDIDOS!$A:$D,MATCH(FORNECEDOR!A1849,PEDIDOS!$A:$A,0),2)</f>
        <v>CD ARAQUARI</v>
      </c>
      <c r="D1849" s="3" t="str">
        <f>INDEX(PEDIDOS!$A:$D,MATCH(FORNECEDOR!A1849,PEDIDOS!$A:$A,0),3)</f>
        <v>CD REGIS</v>
      </c>
      <c r="E1849" s="3" t="str">
        <f>INDEX(PEDIDOS!$A:$D,MATCH(FORNECEDOR!A1849,PEDIDOS!$A:$A,0),4)</f>
        <v>CD ARAQUARI</v>
      </c>
    </row>
    <row r="1850" spans="1:5" hidden="1" x14ac:dyDescent="0.25">
      <c r="A1850" s="1" t="s">
        <v>1849</v>
      </c>
      <c r="B1850" s="3">
        <f>COUNTIF(PEDIDOS!$A:$A,FORNECEDOR!A1850)</f>
        <v>0</v>
      </c>
      <c r="C1850" s="3" t="e">
        <f>INDEX(PEDIDOS!$A:$D,MATCH(FORNECEDOR!A1850,PEDIDOS!$A:$A,0),2)</f>
        <v>#N/A</v>
      </c>
      <c r="D1850" s="3" t="e">
        <f>INDEX(PEDIDOS!$A:$D,MATCH(FORNECEDOR!A1850,PEDIDOS!$A:$A,0),3)</f>
        <v>#N/A</v>
      </c>
      <c r="E1850" s="3" t="e">
        <f>INDEX(PEDIDOS!$A:$D,MATCH(FORNECEDOR!A1850,PEDIDOS!$A:$A,0),4)</f>
        <v>#N/A</v>
      </c>
    </row>
    <row r="1851" spans="1:5" x14ac:dyDescent="0.25">
      <c r="A1851" s="1" t="s">
        <v>1850</v>
      </c>
      <c r="B1851" s="3">
        <f>COUNTIF(PEDIDOS!$A:$A,FORNECEDOR!A1851)</f>
        <v>2</v>
      </c>
      <c r="C1851" s="3" t="str">
        <f>INDEX(PEDIDOS!$A:$D,MATCH(FORNECEDOR!A1851,PEDIDOS!$A:$A,0),2)</f>
        <v>MATRIZ</v>
      </c>
      <c r="D1851" s="3" t="str">
        <f>INDEX(PEDIDOS!$A:$D,MATCH(FORNECEDOR!A1851,PEDIDOS!$A:$A,0),3)</f>
        <v>MATRIZ</v>
      </c>
      <c r="E1851" s="3" t="str">
        <f>INDEX(PEDIDOS!$A:$D,MATCH(FORNECEDOR!A1851,PEDIDOS!$A:$A,0),4)</f>
        <v>MATRIZ</v>
      </c>
    </row>
    <row r="1852" spans="1:5" hidden="1" x14ac:dyDescent="0.25">
      <c r="A1852" s="1" t="s">
        <v>1851</v>
      </c>
      <c r="B1852" s="3">
        <f>COUNTIF(PEDIDOS!$A:$A,FORNECEDOR!A1852)</f>
        <v>0</v>
      </c>
      <c r="C1852" s="3" t="e">
        <f>INDEX(PEDIDOS!$A:$D,MATCH(FORNECEDOR!A1852,PEDIDOS!$A:$A,0),2)</f>
        <v>#N/A</v>
      </c>
      <c r="D1852" s="3" t="e">
        <f>INDEX(PEDIDOS!$A:$D,MATCH(FORNECEDOR!A1852,PEDIDOS!$A:$A,0),3)</f>
        <v>#N/A</v>
      </c>
      <c r="E1852" s="3" t="e">
        <f>INDEX(PEDIDOS!$A:$D,MATCH(FORNECEDOR!A1852,PEDIDOS!$A:$A,0),4)</f>
        <v>#N/A</v>
      </c>
    </row>
    <row r="1853" spans="1:5" hidden="1" x14ac:dyDescent="0.25">
      <c r="A1853" s="1" t="s">
        <v>1852</v>
      </c>
      <c r="B1853" s="3">
        <f>COUNTIF(PEDIDOS!$A:$A,FORNECEDOR!A1853)</f>
        <v>0</v>
      </c>
      <c r="C1853" s="3" t="e">
        <f>INDEX(PEDIDOS!$A:$D,MATCH(FORNECEDOR!A1853,PEDIDOS!$A:$A,0),2)</f>
        <v>#N/A</v>
      </c>
      <c r="D1853" s="3" t="e">
        <f>INDEX(PEDIDOS!$A:$D,MATCH(FORNECEDOR!A1853,PEDIDOS!$A:$A,0),3)</f>
        <v>#N/A</v>
      </c>
      <c r="E1853" s="3" t="e">
        <f>INDEX(PEDIDOS!$A:$D,MATCH(FORNECEDOR!A1853,PEDIDOS!$A:$A,0),4)</f>
        <v>#N/A</v>
      </c>
    </row>
    <row r="1854" spans="1:5" x14ac:dyDescent="0.25">
      <c r="A1854" s="1" t="s">
        <v>1853</v>
      </c>
      <c r="B1854" s="3">
        <f>COUNTIF(PEDIDOS!$A:$A,FORNECEDOR!A1854)</f>
        <v>2</v>
      </c>
      <c r="C1854" s="3" t="str">
        <f>INDEX(PEDIDOS!$A:$D,MATCH(FORNECEDOR!A1854,PEDIDOS!$A:$A,0),2)</f>
        <v>SP - GRAJAU</v>
      </c>
      <c r="D1854" s="3" t="str">
        <f>INDEX(PEDIDOS!$A:$D,MATCH(FORNECEDOR!A1854,PEDIDOS!$A:$A,0),3)</f>
        <v>SP - GRAJAU</v>
      </c>
      <c r="E1854" s="3" t="str">
        <f>INDEX(PEDIDOS!$A:$D,MATCH(FORNECEDOR!A1854,PEDIDOS!$A:$A,0),4)</f>
        <v>SP - GRAJAU</v>
      </c>
    </row>
    <row r="1855" spans="1:5" hidden="1" x14ac:dyDescent="0.25">
      <c r="A1855" s="1" t="s">
        <v>1854</v>
      </c>
      <c r="B1855" s="3">
        <f>COUNTIF(PEDIDOS!$A:$A,FORNECEDOR!A1855)</f>
        <v>0</v>
      </c>
      <c r="C1855" s="3" t="e">
        <f>INDEX(PEDIDOS!$A:$D,MATCH(FORNECEDOR!A1855,PEDIDOS!$A:$A,0),2)</f>
        <v>#N/A</v>
      </c>
      <c r="D1855" s="3" t="e">
        <f>INDEX(PEDIDOS!$A:$D,MATCH(FORNECEDOR!A1855,PEDIDOS!$A:$A,0),3)</f>
        <v>#N/A</v>
      </c>
      <c r="E1855" s="3" t="e">
        <f>INDEX(PEDIDOS!$A:$D,MATCH(FORNECEDOR!A1855,PEDIDOS!$A:$A,0),4)</f>
        <v>#N/A</v>
      </c>
    </row>
    <row r="1856" spans="1:5" hidden="1" x14ac:dyDescent="0.25">
      <c r="A1856" s="1" t="s">
        <v>1855</v>
      </c>
      <c r="B1856" s="3">
        <f>COUNTIF(PEDIDOS!$A:$A,FORNECEDOR!A1856)</f>
        <v>0</v>
      </c>
      <c r="C1856" s="3" t="e">
        <f>INDEX(PEDIDOS!$A:$D,MATCH(FORNECEDOR!A1856,PEDIDOS!$A:$A,0),2)</f>
        <v>#N/A</v>
      </c>
      <c r="D1856" s="3" t="e">
        <f>INDEX(PEDIDOS!$A:$D,MATCH(FORNECEDOR!A1856,PEDIDOS!$A:$A,0),3)</f>
        <v>#N/A</v>
      </c>
      <c r="E1856" s="3" t="e">
        <f>INDEX(PEDIDOS!$A:$D,MATCH(FORNECEDOR!A1856,PEDIDOS!$A:$A,0),4)</f>
        <v>#N/A</v>
      </c>
    </row>
    <row r="1857" spans="1:5" hidden="1" x14ac:dyDescent="0.25">
      <c r="A1857" s="1" t="s">
        <v>1856</v>
      </c>
      <c r="B1857" s="3">
        <f>COUNTIF(PEDIDOS!$A:$A,FORNECEDOR!A1857)</f>
        <v>0</v>
      </c>
      <c r="C1857" s="3" t="e">
        <f>INDEX(PEDIDOS!$A:$D,MATCH(FORNECEDOR!A1857,PEDIDOS!$A:$A,0),2)</f>
        <v>#N/A</v>
      </c>
      <c r="D1857" s="3" t="e">
        <f>INDEX(PEDIDOS!$A:$D,MATCH(FORNECEDOR!A1857,PEDIDOS!$A:$A,0),3)</f>
        <v>#N/A</v>
      </c>
      <c r="E1857" s="3" t="e">
        <f>INDEX(PEDIDOS!$A:$D,MATCH(FORNECEDOR!A1857,PEDIDOS!$A:$A,0),4)</f>
        <v>#N/A</v>
      </c>
    </row>
    <row r="1858" spans="1:5" x14ac:dyDescent="0.25">
      <c r="A1858" s="1" t="s">
        <v>1857</v>
      </c>
      <c r="B1858" s="3">
        <f>COUNTIF(PEDIDOS!$A:$A,FORNECEDOR!A1858)</f>
        <v>1</v>
      </c>
      <c r="C1858" s="3" t="str">
        <f>INDEX(PEDIDOS!$A:$D,MATCH(FORNECEDOR!A1858,PEDIDOS!$A:$A,0),2)</f>
        <v>MATRIZ</v>
      </c>
      <c r="D1858" s="3" t="str">
        <f>INDEX(PEDIDOS!$A:$D,MATCH(FORNECEDOR!A1858,PEDIDOS!$A:$A,0),3)</f>
        <v>MATRIZ</v>
      </c>
      <c r="E1858" s="3" t="str">
        <f>INDEX(PEDIDOS!$A:$D,MATCH(FORNECEDOR!A1858,PEDIDOS!$A:$A,0),4)</f>
        <v>MATRIZ</v>
      </c>
    </row>
    <row r="1859" spans="1:5" hidden="1" x14ac:dyDescent="0.25">
      <c r="A1859" s="1" t="s">
        <v>1858</v>
      </c>
      <c r="B1859" s="3">
        <f>COUNTIF(PEDIDOS!$A:$A,FORNECEDOR!A1859)</f>
        <v>0</v>
      </c>
      <c r="C1859" s="3" t="e">
        <f>INDEX(PEDIDOS!$A:$D,MATCH(FORNECEDOR!A1859,PEDIDOS!$A:$A,0),2)</f>
        <v>#N/A</v>
      </c>
      <c r="D1859" s="3" t="e">
        <f>INDEX(PEDIDOS!$A:$D,MATCH(FORNECEDOR!A1859,PEDIDOS!$A:$A,0),3)</f>
        <v>#N/A</v>
      </c>
      <c r="E1859" s="3" t="e">
        <f>INDEX(PEDIDOS!$A:$D,MATCH(FORNECEDOR!A1859,PEDIDOS!$A:$A,0),4)</f>
        <v>#N/A</v>
      </c>
    </row>
    <row r="1860" spans="1:5" hidden="1" x14ac:dyDescent="0.25">
      <c r="A1860" s="1" t="s">
        <v>1859</v>
      </c>
      <c r="B1860" s="3">
        <f>COUNTIF(PEDIDOS!$A:$A,FORNECEDOR!A1860)</f>
        <v>0</v>
      </c>
      <c r="C1860" s="3" t="e">
        <f>INDEX(PEDIDOS!$A:$D,MATCH(FORNECEDOR!A1860,PEDIDOS!$A:$A,0),2)</f>
        <v>#N/A</v>
      </c>
      <c r="D1860" s="3" t="e">
        <f>INDEX(PEDIDOS!$A:$D,MATCH(FORNECEDOR!A1860,PEDIDOS!$A:$A,0),3)</f>
        <v>#N/A</v>
      </c>
      <c r="E1860" s="3" t="e">
        <f>INDEX(PEDIDOS!$A:$D,MATCH(FORNECEDOR!A1860,PEDIDOS!$A:$A,0),4)</f>
        <v>#N/A</v>
      </c>
    </row>
    <row r="1861" spans="1:5" x14ac:dyDescent="0.25">
      <c r="A1861" s="1" t="s">
        <v>1860</v>
      </c>
      <c r="B1861" s="3">
        <f>COUNTIF(PEDIDOS!$A:$A,FORNECEDOR!A1861)</f>
        <v>2</v>
      </c>
      <c r="C1861" s="3" t="str">
        <f>INDEX(PEDIDOS!$A:$D,MATCH(FORNECEDOR!A1861,PEDIDOS!$A:$A,0),2)</f>
        <v>MATRIZ</v>
      </c>
      <c r="D1861" s="3" t="str">
        <f>INDEX(PEDIDOS!$A:$D,MATCH(FORNECEDOR!A1861,PEDIDOS!$A:$A,0),3)</f>
        <v>MATRIZ</v>
      </c>
      <c r="E1861" s="3" t="str">
        <f>INDEX(PEDIDOS!$A:$D,MATCH(FORNECEDOR!A1861,PEDIDOS!$A:$A,0),4)</f>
        <v>MATRIZ</v>
      </c>
    </row>
    <row r="1862" spans="1:5" hidden="1" x14ac:dyDescent="0.25">
      <c r="A1862" s="1" t="s">
        <v>1861</v>
      </c>
      <c r="B1862" s="3">
        <f>COUNTIF(PEDIDOS!$A:$A,FORNECEDOR!A1862)</f>
        <v>0</v>
      </c>
      <c r="C1862" s="3" t="e">
        <f>INDEX(PEDIDOS!$A:$D,MATCH(FORNECEDOR!A1862,PEDIDOS!$A:$A,0),2)</f>
        <v>#N/A</v>
      </c>
      <c r="D1862" s="3" t="e">
        <f>INDEX(PEDIDOS!$A:$D,MATCH(FORNECEDOR!A1862,PEDIDOS!$A:$A,0),3)</f>
        <v>#N/A</v>
      </c>
      <c r="E1862" s="3" t="e">
        <f>INDEX(PEDIDOS!$A:$D,MATCH(FORNECEDOR!A1862,PEDIDOS!$A:$A,0),4)</f>
        <v>#N/A</v>
      </c>
    </row>
    <row r="1863" spans="1:5" hidden="1" x14ac:dyDescent="0.25">
      <c r="A1863" s="1" t="s">
        <v>1862</v>
      </c>
      <c r="B1863" s="3">
        <f>COUNTIF(PEDIDOS!$A:$A,FORNECEDOR!A1863)</f>
        <v>0</v>
      </c>
      <c r="C1863" s="3" t="e">
        <f>INDEX(PEDIDOS!$A:$D,MATCH(FORNECEDOR!A1863,PEDIDOS!$A:$A,0),2)</f>
        <v>#N/A</v>
      </c>
      <c r="D1863" s="3" t="e">
        <f>INDEX(PEDIDOS!$A:$D,MATCH(FORNECEDOR!A1863,PEDIDOS!$A:$A,0),3)</f>
        <v>#N/A</v>
      </c>
      <c r="E1863" s="3" t="e">
        <f>INDEX(PEDIDOS!$A:$D,MATCH(FORNECEDOR!A1863,PEDIDOS!$A:$A,0),4)</f>
        <v>#N/A</v>
      </c>
    </row>
    <row r="1864" spans="1:5" hidden="1" x14ac:dyDescent="0.25">
      <c r="A1864" s="1" t="s">
        <v>1863</v>
      </c>
      <c r="B1864" s="3">
        <f>COUNTIF(PEDIDOS!$A:$A,FORNECEDOR!A1864)</f>
        <v>0</v>
      </c>
      <c r="C1864" s="3" t="e">
        <f>INDEX(PEDIDOS!$A:$D,MATCH(FORNECEDOR!A1864,PEDIDOS!$A:$A,0),2)</f>
        <v>#N/A</v>
      </c>
      <c r="D1864" s="3" t="e">
        <f>INDEX(PEDIDOS!$A:$D,MATCH(FORNECEDOR!A1864,PEDIDOS!$A:$A,0),3)</f>
        <v>#N/A</v>
      </c>
      <c r="E1864" s="3" t="e">
        <f>INDEX(PEDIDOS!$A:$D,MATCH(FORNECEDOR!A1864,PEDIDOS!$A:$A,0),4)</f>
        <v>#N/A</v>
      </c>
    </row>
    <row r="1865" spans="1:5" hidden="1" x14ac:dyDescent="0.25">
      <c r="A1865" s="1" t="s">
        <v>1864</v>
      </c>
      <c r="B1865" s="3">
        <f>COUNTIF(PEDIDOS!$A:$A,FORNECEDOR!A1865)</f>
        <v>0</v>
      </c>
      <c r="C1865" s="3" t="e">
        <f>INDEX(PEDIDOS!$A:$D,MATCH(FORNECEDOR!A1865,PEDIDOS!$A:$A,0),2)</f>
        <v>#N/A</v>
      </c>
      <c r="D1865" s="3" t="e">
        <f>INDEX(PEDIDOS!$A:$D,MATCH(FORNECEDOR!A1865,PEDIDOS!$A:$A,0),3)</f>
        <v>#N/A</v>
      </c>
      <c r="E1865" s="3" t="e">
        <f>INDEX(PEDIDOS!$A:$D,MATCH(FORNECEDOR!A1865,PEDIDOS!$A:$A,0),4)</f>
        <v>#N/A</v>
      </c>
    </row>
    <row r="1866" spans="1:5" hidden="1" x14ac:dyDescent="0.25">
      <c r="A1866" s="1" t="s">
        <v>1865</v>
      </c>
      <c r="B1866" s="3">
        <f>COUNTIF(PEDIDOS!$A:$A,FORNECEDOR!A1866)</f>
        <v>0</v>
      </c>
      <c r="C1866" s="3" t="e">
        <f>INDEX(PEDIDOS!$A:$D,MATCH(FORNECEDOR!A1866,PEDIDOS!$A:$A,0),2)</f>
        <v>#N/A</v>
      </c>
      <c r="D1866" s="3" t="e">
        <f>INDEX(PEDIDOS!$A:$D,MATCH(FORNECEDOR!A1866,PEDIDOS!$A:$A,0),3)</f>
        <v>#N/A</v>
      </c>
      <c r="E1866" s="3" t="e">
        <f>INDEX(PEDIDOS!$A:$D,MATCH(FORNECEDOR!A1866,PEDIDOS!$A:$A,0),4)</f>
        <v>#N/A</v>
      </c>
    </row>
    <row r="1867" spans="1:5" hidden="1" x14ac:dyDescent="0.25">
      <c r="A1867" s="1" t="s">
        <v>1866</v>
      </c>
      <c r="B1867" s="3">
        <f>COUNTIF(PEDIDOS!$A:$A,FORNECEDOR!A1867)</f>
        <v>0</v>
      </c>
      <c r="C1867" s="3" t="e">
        <f>INDEX(PEDIDOS!$A:$D,MATCH(FORNECEDOR!A1867,PEDIDOS!$A:$A,0),2)</f>
        <v>#N/A</v>
      </c>
      <c r="D1867" s="3" t="e">
        <f>INDEX(PEDIDOS!$A:$D,MATCH(FORNECEDOR!A1867,PEDIDOS!$A:$A,0),3)</f>
        <v>#N/A</v>
      </c>
      <c r="E1867" s="3" t="e">
        <f>INDEX(PEDIDOS!$A:$D,MATCH(FORNECEDOR!A1867,PEDIDOS!$A:$A,0),4)</f>
        <v>#N/A</v>
      </c>
    </row>
    <row r="1868" spans="1:5" hidden="1" x14ac:dyDescent="0.25">
      <c r="A1868" s="1" t="s">
        <v>1867</v>
      </c>
      <c r="B1868" s="3">
        <f>COUNTIF(PEDIDOS!$A:$A,FORNECEDOR!A1868)</f>
        <v>0</v>
      </c>
      <c r="C1868" s="3" t="e">
        <f>INDEX(PEDIDOS!$A:$D,MATCH(FORNECEDOR!A1868,PEDIDOS!$A:$A,0),2)</f>
        <v>#N/A</v>
      </c>
      <c r="D1868" s="3" t="e">
        <f>INDEX(PEDIDOS!$A:$D,MATCH(FORNECEDOR!A1868,PEDIDOS!$A:$A,0),3)</f>
        <v>#N/A</v>
      </c>
      <c r="E1868" s="3" t="e">
        <f>INDEX(PEDIDOS!$A:$D,MATCH(FORNECEDOR!A1868,PEDIDOS!$A:$A,0),4)</f>
        <v>#N/A</v>
      </c>
    </row>
    <row r="1869" spans="1:5" x14ac:dyDescent="0.25">
      <c r="A1869" s="1" t="s">
        <v>1868</v>
      </c>
      <c r="B1869" s="3">
        <f>COUNTIF(PEDIDOS!$A:$A,FORNECEDOR!A1869)</f>
        <v>1</v>
      </c>
      <c r="C1869" s="3" t="str">
        <f>INDEX(PEDIDOS!$A:$D,MATCH(FORNECEDOR!A1869,PEDIDOS!$A:$A,0),2)</f>
        <v>CD REGIS</v>
      </c>
      <c r="D1869" s="3" t="str">
        <f>INDEX(PEDIDOS!$A:$D,MATCH(FORNECEDOR!A1869,PEDIDOS!$A:$A,0),3)</f>
        <v>MATRIZ</v>
      </c>
      <c r="E1869" s="3" t="str">
        <f>INDEX(PEDIDOS!$A:$D,MATCH(FORNECEDOR!A1869,PEDIDOS!$A:$A,0),4)</f>
        <v>CD REGIS</v>
      </c>
    </row>
    <row r="1870" spans="1:5" hidden="1" x14ac:dyDescent="0.25">
      <c r="A1870" s="1" t="s">
        <v>1869</v>
      </c>
      <c r="B1870" s="3">
        <f>COUNTIF(PEDIDOS!$A:$A,FORNECEDOR!A1870)</f>
        <v>0</v>
      </c>
      <c r="C1870" s="3" t="e">
        <f>INDEX(PEDIDOS!$A:$D,MATCH(FORNECEDOR!A1870,PEDIDOS!$A:$A,0),2)</f>
        <v>#N/A</v>
      </c>
      <c r="D1870" s="3" t="e">
        <f>INDEX(PEDIDOS!$A:$D,MATCH(FORNECEDOR!A1870,PEDIDOS!$A:$A,0),3)</f>
        <v>#N/A</v>
      </c>
      <c r="E1870" s="3" t="e">
        <f>INDEX(PEDIDOS!$A:$D,MATCH(FORNECEDOR!A1870,PEDIDOS!$A:$A,0),4)</f>
        <v>#N/A</v>
      </c>
    </row>
    <row r="1871" spans="1:5" hidden="1" x14ac:dyDescent="0.25">
      <c r="A1871" s="1" t="s">
        <v>1870</v>
      </c>
      <c r="B1871" s="3">
        <f>COUNTIF(PEDIDOS!$A:$A,FORNECEDOR!A1871)</f>
        <v>0</v>
      </c>
      <c r="C1871" s="3" t="e">
        <f>INDEX(PEDIDOS!$A:$D,MATCH(FORNECEDOR!A1871,PEDIDOS!$A:$A,0),2)</f>
        <v>#N/A</v>
      </c>
      <c r="D1871" s="3" t="e">
        <f>INDEX(PEDIDOS!$A:$D,MATCH(FORNECEDOR!A1871,PEDIDOS!$A:$A,0),3)</f>
        <v>#N/A</v>
      </c>
      <c r="E1871" s="3" t="e">
        <f>INDEX(PEDIDOS!$A:$D,MATCH(FORNECEDOR!A1871,PEDIDOS!$A:$A,0),4)</f>
        <v>#N/A</v>
      </c>
    </row>
    <row r="1872" spans="1:5" hidden="1" x14ac:dyDescent="0.25">
      <c r="A1872" s="1" t="s">
        <v>1871</v>
      </c>
      <c r="B1872" s="3">
        <f>COUNTIF(PEDIDOS!$A:$A,FORNECEDOR!A1872)</f>
        <v>0</v>
      </c>
      <c r="C1872" s="3" t="e">
        <f>INDEX(PEDIDOS!$A:$D,MATCH(FORNECEDOR!A1872,PEDIDOS!$A:$A,0),2)</f>
        <v>#N/A</v>
      </c>
      <c r="D1872" s="3" t="e">
        <f>INDEX(PEDIDOS!$A:$D,MATCH(FORNECEDOR!A1872,PEDIDOS!$A:$A,0),3)</f>
        <v>#N/A</v>
      </c>
      <c r="E1872" s="3" t="e">
        <f>INDEX(PEDIDOS!$A:$D,MATCH(FORNECEDOR!A1872,PEDIDOS!$A:$A,0),4)</f>
        <v>#N/A</v>
      </c>
    </row>
    <row r="1873" spans="1:5" x14ac:dyDescent="0.25">
      <c r="A1873" s="1" t="s">
        <v>1872</v>
      </c>
      <c r="B1873" s="3">
        <f>COUNTIF(PEDIDOS!$A:$A,FORNECEDOR!A1873)</f>
        <v>2</v>
      </c>
      <c r="C1873" s="3" t="str">
        <f>INDEX(PEDIDOS!$A:$D,MATCH(FORNECEDOR!A1873,PEDIDOS!$A:$A,0),2)</f>
        <v>CD REGIS</v>
      </c>
      <c r="D1873" s="3" t="str">
        <f>INDEX(PEDIDOS!$A:$D,MATCH(FORNECEDOR!A1873,PEDIDOS!$A:$A,0),3)</f>
        <v>MATRIZ</v>
      </c>
      <c r="E1873" s="3" t="str">
        <f>INDEX(PEDIDOS!$A:$D,MATCH(FORNECEDOR!A1873,PEDIDOS!$A:$A,0),4)</f>
        <v>CD REGIS</v>
      </c>
    </row>
    <row r="1874" spans="1:5" hidden="1" x14ac:dyDescent="0.25">
      <c r="A1874" s="1" t="s">
        <v>1873</v>
      </c>
      <c r="B1874" s="3">
        <f>COUNTIF(PEDIDOS!$A:$A,FORNECEDOR!A1874)</f>
        <v>0</v>
      </c>
      <c r="C1874" s="3" t="e">
        <f>INDEX(PEDIDOS!$A:$D,MATCH(FORNECEDOR!A1874,PEDIDOS!$A:$A,0),2)</f>
        <v>#N/A</v>
      </c>
      <c r="D1874" s="3" t="e">
        <f>INDEX(PEDIDOS!$A:$D,MATCH(FORNECEDOR!A1874,PEDIDOS!$A:$A,0),3)</f>
        <v>#N/A</v>
      </c>
      <c r="E1874" s="3" t="e">
        <f>INDEX(PEDIDOS!$A:$D,MATCH(FORNECEDOR!A1874,PEDIDOS!$A:$A,0),4)</f>
        <v>#N/A</v>
      </c>
    </row>
    <row r="1875" spans="1:5" hidden="1" x14ac:dyDescent="0.25">
      <c r="A1875" s="1" t="s">
        <v>1874</v>
      </c>
      <c r="B1875" s="3">
        <f>COUNTIF(PEDIDOS!$A:$A,FORNECEDOR!A1875)</f>
        <v>0</v>
      </c>
      <c r="C1875" s="3" t="e">
        <f>INDEX(PEDIDOS!$A:$D,MATCH(FORNECEDOR!A1875,PEDIDOS!$A:$A,0),2)</f>
        <v>#N/A</v>
      </c>
      <c r="D1875" s="3" t="e">
        <f>INDEX(PEDIDOS!$A:$D,MATCH(FORNECEDOR!A1875,PEDIDOS!$A:$A,0),3)</f>
        <v>#N/A</v>
      </c>
      <c r="E1875" s="3" t="e">
        <f>INDEX(PEDIDOS!$A:$D,MATCH(FORNECEDOR!A1875,PEDIDOS!$A:$A,0),4)</f>
        <v>#N/A</v>
      </c>
    </row>
    <row r="1876" spans="1:5" hidden="1" x14ac:dyDescent="0.25">
      <c r="A1876" s="1" t="s">
        <v>1875</v>
      </c>
      <c r="B1876" s="3">
        <f>COUNTIF(PEDIDOS!$A:$A,FORNECEDOR!A1876)</f>
        <v>0</v>
      </c>
      <c r="C1876" s="3" t="e">
        <f>INDEX(PEDIDOS!$A:$D,MATCH(FORNECEDOR!A1876,PEDIDOS!$A:$A,0),2)</f>
        <v>#N/A</v>
      </c>
      <c r="D1876" s="3" t="e">
        <f>INDEX(PEDIDOS!$A:$D,MATCH(FORNECEDOR!A1876,PEDIDOS!$A:$A,0),3)</f>
        <v>#N/A</v>
      </c>
      <c r="E1876" s="3" t="e">
        <f>INDEX(PEDIDOS!$A:$D,MATCH(FORNECEDOR!A1876,PEDIDOS!$A:$A,0),4)</f>
        <v>#N/A</v>
      </c>
    </row>
    <row r="1877" spans="1:5" x14ac:dyDescent="0.25">
      <c r="A1877" s="1" t="s">
        <v>1876</v>
      </c>
      <c r="B1877" s="3">
        <f>COUNTIF(PEDIDOS!$A:$A,FORNECEDOR!A1877)</f>
        <v>2</v>
      </c>
      <c r="C1877" s="3" t="str">
        <f>INDEX(PEDIDOS!$A:$D,MATCH(FORNECEDOR!A1877,PEDIDOS!$A:$A,0),2)</f>
        <v>MATRIZ</v>
      </c>
      <c r="D1877" s="3" t="str">
        <f>INDEX(PEDIDOS!$A:$D,MATCH(FORNECEDOR!A1877,PEDIDOS!$A:$A,0),3)</f>
        <v>MATRIZ</v>
      </c>
      <c r="E1877" s="3" t="str">
        <f>INDEX(PEDIDOS!$A:$D,MATCH(FORNECEDOR!A1877,PEDIDOS!$A:$A,0),4)</f>
        <v>MATRIZ</v>
      </c>
    </row>
    <row r="1878" spans="1:5" hidden="1" x14ac:dyDescent="0.25">
      <c r="A1878" s="1" t="s">
        <v>1877</v>
      </c>
      <c r="B1878" s="3">
        <f>COUNTIF(PEDIDOS!$A:$A,FORNECEDOR!A1878)</f>
        <v>0</v>
      </c>
      <c r="C1878" s="3" t="e">
        <f>INDEX(PEDIDOS!$A:$D,MATCH(FORNECEDOR!A1878,PEDIDOS!$A:$A,0),2)</f>
        <v>#N/A</v>
      </c>
      <c r="D1878" s="3" t="e">
        <f>INDEX(PEDIDOS!$A:$D,MATCH(FORNECEDOR!A1878,PEDIDOS!$A:$A,0),3)</f>
        <v>#N/A</v>
      </c>
      <c r="E1878" s="3" t="e">
        <f>INDEX(PEDIDOS!$A:$D,MATCH(FORNECEDOR!A1878,PEDIDOS!$A:$A,0),4)</f>
        <v>#N/A</v>
      </c>
    </row>
    <row r="1879" spans="1:5" hidden="1" x14ac:dyDescent="0.25">
      <c r="A1879" s="1" t="s">
        <v>1878</v>
      </c>
      <c r="B1879" s="3">
        <f>COUNTIF(PEDIDOS!$A:$A,FORNECEDOR!A1879)</f>
        <v>0</v>
      </c>
      <c r="C1879" s="3" t="e">
        <f>INDEX(PEDIDOS!$A:$D,MATCH(FORNECEDOR!A1879,PEDIDOS!$A:$A,0),2)</f>
        <v>#N/A</v>
      </c>
      <c r="D1879" s="3" t="e">
        <f>INDEX(PEDIDOS!$A:$D,MATCH(FORNECEDOR!A1879,PEDIDOS!$A:$A,0),3)</f>
        <v>#N/A</v>
      </c>
      <c r="E1879" s="3" t="e">
        <f>INDEX(PEDIDOS!$A:$D,MATCH(FORNECEDOR!A1879,PEDIDOS!$A:$A,0),4)</f>
        <v>#N/A</v>
      </c>
    </row>
    <row r="1880" spans="1:5" x14ac:dyDescent="0.25">
      <c r="A1880" s="1" t="s">
        <v>1879</v>
      </c>
      <c r="B1880" s="3">
        <f>COUNTIF(PEDIDOS!$A:$A,FORNECEDOR!A1880)</f>
        <v>2</v>
      </c>
      <c r="C1880" s="3" t="str">
        <f>INDEX(PEDIDOS!$A:$D,MATCH(FORNECEDOR!A1880,PEDIDOS!$A:$A,0),2)</f>
        <v>CD REGIS</v>
      </c>
      <c r="D1880" s="3" t="str">
        <f>INDEX(PEDIDOS!$A:$D,MATCH(FORNECEDOR!A1880,PEDIDOS!$A:$A,0),3)</f>
        <v>MATRIZ</v>
      </c>
      <c r="E1880" s="3" t="str">
        <f>INDEX(PEDIDOS!$A:$D,MATCH(FORNECEDOR!A1880,PEDIDOS!$A:$A,0),4)</f>
        <v>CD REGIS</v>
      </c>
    </row>
    <row r="1881" spans="1:5" x14ac:dyDescent="0.25">
      <c r="A1881" s="1" t="s">
        <v>1880</v>
      </c>
      <c r="B1881" s="3">
        <f>COUNTIF(PEDIDOS!$A:$A,FORNECEDOR!A1881)</f>
        <v>4</v>
      </c>
      <c r="C1881" s="3" t="str">
        <f>INDEX(PEDIDOS!$A:$D,MATCH(FORNECEDOR!A1881,PEDIDOS!$A:$A,0),2)</f>
        <v>CD ARAQUARI</v>
      </c>
      <c r="D1881" s="3" t="str">
        <f>INDEX(PEDIDOS!$A:$D,MATCH(FORNECEDOR!A1881,PEDIDOS!$A:$A,0),3)</f>
        <v>MATRIZ</v>
      </c>
      <c r="E1881" s="3" t="str">
        <f>INDEX(PEDIDOS!$A:$D,MATCH(FORNECEDOR!A1881,PEDIDOS!$A:$A,0),4)</f>
        <v>CD ARAQUARI</v>
      </c>
    </row>
    <row r="1882" spans="1:5" hidden="1" x14ac:dyDescent="0.25">
      <c r="A1882" s="1" t="s">
        <v>1881</v>
      </c>
      <c r="B1882" s="3">
        <f>COUNTIF(PEDIDOS!$A:$A,FORNECEDOR!A1882)</f>
        <v>0</v>
      </c>
      <c r="C1882" s="3" t="e">
        <f>INDEX(PEDIDOS!$A:$D,MATCH(FORNECEDOR!A1882,PEDIDOS!$A:$A,0),2)</f>
        <v>#N/A</v>
      </c>
      <c r="D1882" s="3" t="e">
        <f>INDEX(PEDIDOS!$A:$D,MATCH(FORNECEDOR!A1882,PEDIDOS!$A:$A,0),3)</f>
        <v>#N/A</v>
      </c>
      <c r="E1882" s="3" t="e">
        <f>INDEX(PEDIDOS!$A:$D,MATCH(FORNECEDOR!A1882,PEDIDOS!$A:$A,0),4)</f>
        <v>#N/A</v>
      </c>
    </row>
    <row r="1883" spans="1:5" hidden="1" x14ac:dyDescent="0.25">
      <c r="A1883" s="1" t="s">
        <v>1882</v>
      </c>
      <c r="B1883" s="3">
        <f>COUNTIF(PEDIDOS!$A:$A,FORNECEDOR!A1883)</f>
        <v>0</v>
      </c>
      <c r="C1883" s="3" t="e">
        <f>INDEX(PEDIDOS!$A:$D,MATCH(FORNECEDOR!A1883,PEDIDOS!$A:$A,0),2)</f>
        <v>#N/A</v>
      </c>
      <c r="D1883" s="3" t="e">
        <f>INDEX(PEDIDOS!$A:$D,MATCH(FORNECEDOR!A1883,PEDIDOS!$A:$A,0),3)</f>
        <v>#N/A</v>
      </c>
      <c r="E1883" s="3" t="e">
        <f>INDEX(PEDIDOS!$A:$D,MATCH(FORNECEDOR!A1883,PEDIDOS!$A:$A,0),4)</f>
        <v>#N/A</v>
      </c>
    </row>
    <row r="1884" spans="1:5" hidden="1" x14ac:dyDescent="0.25">
      <c r="A1884" s="1" t="s">
        <v>1883</v>
      </c>
      <c r="B1884" s="3">
        <f>COUNTIF(PEDIDOS!$A:$A,FORNECEDOR!A1884)</f>
        <v>0</v>
      </c>
      <c r="C1884" s="3" t="e">
        <f>INDEX(PEDIDOS!$A:$D,MATCH(FORNECEDOR!A1884,PEDIDOS!$A:$A,0),2)</f>
        <v>#N/A</v>
      </c>
      <c r="D1884" s="3" t="e">
        <f>INDEX(PEDIDOS!$A:$D,MATCH(FORNECEDOR!A1884,PEDIDOS!$A:$A,0),3)</f>
        <v>#N/A</v>
      </c>
      <c r="E1884" s="3" t="e">
        <f>INDEX(PEDIDOS!$A:$D,MATCH(FORNECEDOR!A1884,PEDIDOS!$A:$A,0),4)</f>
        <v>#N/A</v>
      </c>
    </row>
    <row r="1885" spans="1:5" hidden="1" x14ac:dyDescent="0.25">
      <c r="A1885" s="1" t="s">
        <v>1884</v>
      </c>
      <c r="B1885" s="3">
        <f>COUNTIF(PEDIDOS!$A:$A,FORNECEDOR!A1885)</f>
        <v>0</v>
      </c>
      <c r="C1885" s="3" t="e">
        <f>INDEX(PEDIDOS!$A:$D,MATCH(FORNECEDOR!A1885,PEDIDOS!$A:$A,0),2)</f>
        <v>#N/A</v>
      </c>
      <c r="D1885" s="3" t="e">
        <f>INDEX(PEDIDOS!$A:$D,MATCH(FORNECEDOR!A1885,PEDIDOS!$A:$A,0),3)</f>
        <v>#N/A</v>
      </c>
      <c r="E1885" s="3" t="e">
        <f>INDEX(PEDIDOS!$A:$D,MATCH(FORNECEDOR!A1885,PEDIDOS!$A:$A,0),4)</f>
        <v>#N/A</v>
      </c>
    </row>
    <row r="1886" spans="1:5" hidden="1" x14ac:dyDescent="0.25">
      <c r="A1886" s="1" t="s">
        <v>1885</v>
      </c>
      <c r="B1886" s="3">
        <f>COUNTIF(PEDIDOS!$A:$A,FORNECEDOR!A1886)</f>
        <v>0</v>
      </c>
      <c r="C1886" s="3" t="e">
        <f>INDEX(PEDIDOS!$A:$D,MATCH(FORNECEDOR!A1886,PEDIDOS!$A:$A,0),2)</f>
        <v>#N/A</v>
      </c>
      <c r="D1886" s="3" t="e">
        <f>INDEX(PEDIDOS!$A:$D,MATCH(FORNECEDOR!A1886,PEDIDOS!$A:$A,0),3)</f>
        <v>#N/A</v>
      </c>
      <c r="E1886" s="3" t="e">
        <f>INDEX(PEDIDOS!$A:$D,MATCH(FORNECEDOR!A1886,PEDIDOS!$A:$A,0),4)</f>
        <v>#N/A</v>
      </c>
    </row>
    <row r="1887" spans="1:5" hidden="1" x14ac:dyDescent="0.25">
      <c r="A1887" s="1" t="s">
        <v>1886</v>
      </c>
      <c r="B1887" s="3">
        <f>COUNTIF(PEDIDOS!$A:$A,FORNECEDOR!A1887)</f>
        <v>0</v>
      </c>
      <c r="C1887" s="3" t="e">
        <f>INDEX(PEDIDOS!$A:$D,MATCH(FORNECEDOR!A1887,PEDIDOS!$A:$A,0),2)</f>
        <v>#N/A</v>
      </c>
      <c r="D1887" s="3" t="e">
        <f>INDEX(PEDIDOS!$A:$D,MATCH(FORNECEDOR!A1887,PEDIDOS!$A:$A,0),3)</f>
        <v>#N/A</v>
      </c>
      <c r="E1887" s="3" t="e">
        <f>INDEX(PEDIDOS!$A:$D,MATCH(FORNECEDOR!A1887,PEDIDOS!$A:$A,0),4)</f>
        <v>#N/A</v>
      </c>
    </row>
    <row r="1888" spans="1:5" hidden="1" x14ac:dyDescent="0.25">
      <c r="A1888" s="1" t="s">
        <v>1887</v>
      </c>
      <c r="B1888" s="3">
        <f>COUNTIF(PEDIDOS!$A:$A,FORNECEDOR!A1888)</f>
        <v>0</v>
      </c>
      <c r="C1888" s="3" t="e">
        <f>INDEX(PEDIDOS!$A:$D,MATCH(FORNECEDOR!A1888,PEDIDOS!$A:$A,0),2)</f>
        <v>#N/A</v>
      </c>
      <c r="D1888" s="3" t="e">
        <f>INDEX(PEDIDOS!$A:$D,MATCH(FORNECEDOR!A1888,PEDIDOS!$A:$A,0),3)</f>
        <v>#N/A</v>
      </c>
      <c r="E1888" s="3" t="e">
        <f>INDEX(PEDIDOS!$A:$D,MATCH(FORNECEDOR!A1888,PEDIDOS!$A:$A,0),4)</f>
        <v>#N/A</v>
      </c>
    </row>
    <row r="1889" spans="1:5" x14ac:dyDescent="0.25">
      <c r="A1889" s="1" t="s">
        <v>1888</v>
      </c>
      <c r="B1889" s="3">
        <f>COUNTIF(PEDIDOS!$A:$A,FORNECEDOR!A1889)</f>
        <v>1</v>
      </c>
      <c r="C1889" s="3" t="str">
        <f>INDEX(PEDIDOS!$A:$D,MATCH(FORNECEDOR!A1889,PEDIDOS!$A:$A,0),2)</f>
        <v>CD REGIS</v>
      </c>
      <c r="D1889" s="3" t="str">
        <f>INDEX(PEDIDOS!$A:$D,MATCH(FORNECEDOR!A1889,PEDIDOS!$A:$A,0),3)</f>
        <v>TATUAPE</v>
      </c>
      <c r="E1889" s="3" t="str">
        <f>INDEX(PEDIDOS!$A:$D,MATCH(FORNECEDOR!A1889,PEDIDOS!$A:$A,0),4)</f>
        <v>CD REGIS</v>
      </c>
    </row>
    <row r="1890" spans="1:5" hidden="1" x14ac:dyDescent="0.25">
      <c r="A1890" s="1" t="s">
        <v>1889</v>
      </c>
      <c r="B1890" s="3">
        <f>COUNTIF(PEDIDOS!$A:$A,FORNECEDOR!A1890)</f>
        <v>0</v>
      </c>
      <c r="C1890" s="3" t="e">
        <f>INDEX(PEDIDOS!$A:$D,MATCH(FORNECEDOR!A1890,PEDIDOS!$A:$A,0),2)</f>
        <v>#N/A</v>
      </c>
      <c r="D1890" s="3" t="e">
        <f>INDEX(PEDIDOS!$A:$D,MATCH(FORNECEDOR!A1890,PEDIDOS!$A:$A,0),3)</f>
        <v>#N/A</v>
      </c>
      <c r="E1890" s="3" t="e">
        <f>INDEX(PEDIDOS!$A:$D,MATCH(FORNECEDOR!A1890,PEDIDOS!$A:$A,0),4)</f>
        <v>#N/A</v>
      </c>
    </row>
    <row r="1891" spans="1:5" x14ac:dyDescent="0.25">
      <c r="A1891" s="1" t="s">
        <v>1890</v>
      </c>
      <c r="B1891" s="3">
        <f>COUNTIF(PEDIDOS!$A:$A,FORNECEDOR!A1891)</f>
        <v>1</v>
      </c>
      <c r="C1891" s="3" t="str">
        <f>INDEX(PEDIDOS!$A:$D,MATCH(FORNECEDOR!A1891,PEDIDOS!$A:$A,0),2)</f>
        <v>SP - PARI</v>
      </c>
      <c r="D1891" s="3" t="str">
        <f>INDEX(PEDIDOS!$A:$D,MATCH(FORNECEDOR!A1891,PEDIDOS!$A:$A,0),3)</f>
        <v>SP - PARI</v>
      </c>
      <c r="E1891" s="3" t="str">
        <f>INDEX(PEDIDOS!$A:$D,MATCH(FORNECEDOR!A1891,PEDIDOS!$A:$A,0),4)</f>
        <v>SP - PARI</v>
      </c>
    </row>
    <row r="1892" spans="1:5" x14ac:dyDescent="0.25">
      <c r="A1892" s="1" t="s">
        <v>1891</v>
      </c>
      <c r="B1892" s="3">
        <f>COUNTIF(PEDIDOS!$A:$A,FORNECEDOR!A1892)</f>
        <v>1</v>
      </c>
      <c r="C1892" s="3" t="str">
        <f>INDEX(PEDIDOS!$A:$D,MATCH(FORNECEDOR!A1892,PEDIDOS!$A:$A,0),2)</f>
        <v>CD REGIS</v>
      </c>
      <c r="D1892" s="3" t="str">
        <f>INDEX(PEDIDOS!$A:$D,MATCH(FORNECEDOR!A1892,PEDIDOS!$A:$A,0),3)</f>
        <v>CD REGIS</v>
      </c>
      <c r="E1892" s="3" t="str">
        <f>INDEX(PEDIDOS!$A:$D,MATCH(FORNECEDOR!A1892,PEDIDOS!$A:$A,0),4)</f>
        <v>CD REGIS</v>
      </c>
    </row>
    <row r="1893" spans="1:5" hidden="1" x14ac:dyDescent="0.25">
      <c r="A1893" s="1" t="s">
        <v>1892</v>
      </c>
      <c r="B1893" s="3">
        <f>COUNTIF(PEDIDOS!$A:$A,FORNECEDOR!A1893)</f>
        <v>0</v>
      </c>
      <c r="C1893" s="3" t="e">
        <f>INDEX(PEDIDOS!$A:$D,MATCH(FORNECEDOR!A1893,PEDIDOS!$A:$A,0),2)</f>
        <v>#N/A</v>
      </c>
      <c r="D1893" s="3" t="e">
        <f>INDEX(PEDIDOS!$A:$D,MATCH(FORNECEDOR!A1893,PEDIDOS!$A:$A,0),3)</f>
        <v>#N/A</v>
      </c>
      <c r="E1893" s="3" t="e">
        <f>INDEX(PEDIDOS!$A:$D,MATCH(FORNECEDOR!A1893,PEDIDOS!$A:$A,0),4)</f>
        <v>#N/A</v>
      </c>
    </row>
    <row r="1894" spans="1:5" hidden="1" x14ac:dyDescent="0.25">
      <c r="A1894" s="1" t="s">
        <v>1893</v>
      </c>
      <c r="B1894" s="3">
        <f>COUNTIF(PEDIDOS!$A:$A,FORNECEDOR!A1894)</f>
        <v>0</v>
      </c>
      <c r="C1894" s="3" t="e">
        <f>INDEX(PEDIDOS!$A:$D,MATCH(FORNECEDOR!A1894,PEDIDOS!$A:$A,0),2)</f>
        <v>#N/A</v>
      </c>
      <c r="D1894" s="3" t="e">
        <f>INDEX(PEDIDOS!$A:$D,MATCH(FORNECEDOR!A1894,PEDIDOS!$A:$A,0),3)</f>
        <v>#N/A</v>
      </c>
      <c r="E1894" s="3" t="e">
        <f>INDEX(PEDIDOS!$A:$D,MATCH(FORNECEDOR!A1894,PEDIDOS!$A:$A,0),4)</f>
        <v>#N/A</v>
      </c>
    </row>
    <row r="1895" spans="1:5" hidden="1" x14ac:dyDescent="0.25">
      <c r="A1895" s="1" t="s">
        <v>1894</v>
      </c>
      <c r="B1895" s="3">
        <f>COUNTIF(PEDIDOS!$A:$A,FORNECEDOR!A1895)</f>
        <v>0</v>
      </c>
      <c r="C1895" s="3" t="e">
        <f>INDEX(PEDIDOS!$A:$D,MATCH(FORNECEDOR!A1895,PEDIDOS!$A:$A,0),2)</f>
        <v>#N/A</v>
      </c>
      <c r="D1895" s="3" t="e">
        <f>INDEX(PEDIDOS!$A:$D,MATCH(FORNECEDOR!A1895,PEDIDOS!$A:$A,0),3)</f>
        <v>#N/A</v>
      </c>
      <c r="E1895" s="3" t="e">
        <f>INDEX(PEDIDOS!$A:$D,MATCH(FORNECEDOR!A1895,PEDIDOS!$A:$A,0),4)</f>
        <v>#N/A</v>
      </c>
    </row>
    <row r="1896" spans="1:5" x14ac:dyDescent="0.25">
      <c r="A1896" s="1" t="s">
        <v>1895</v>
      </c>
      <c r="B1896" s="3">
        <f>COUNTIF(PEDIDOS!$A:$A,FORNECEDOR!A1896)</f>
        <v>2</v>
      </c>
      <c r="C1896" s="3" t="str">
        <f>INDEX(PEDIDOS!$A:$D,MATCH(FORNECEDOR!A1896,PEDIDOS!$A:$A,0),2)</f>
        <v>AVANTI- ADM C.CREDITO</v>
      </c>
      <c r="D1896" s="3" t="str">
        <f>INDEX(PEDIDOS!$A:$D,MATCH(FORNECEDOR!A1896,PEDIDOS!$A:$A,0),3)</f>
        <v>AVANTI- ADM C.CREDITO</v>
      </c>
      <c r="E1896" s="3" t="str">
        <f>INDEX(PEDIDOS!$A:$D,MATCH(FORNECEDOR!A1896,PEDIDOS!$A:$A,0),4)</f>
        <v>AVANTI- ADM C.CREDITO</v>
      </c>
    </row>
    <row r="1897" spans="1:5" hidden="1" x14ac:dyDescent="0.25">
      <c r="A1897" s="1" t="s">
        <v>1896</v>
      </c>
      <c r="B1897" s="3">
        <f>COUNTIF(PEDIDOS!$A:$A,FORNECEDOR!A1897)</f>
        <v>0</v>
      </c>
      <c r="C1897" s="3" t="e">
        <f>INDEX(PEDIDOS!$A:$D,MATCH(FORNECEDOR!A1897,PEDIDOS!$A:$A,0),2)</f>
        <v>#N/A</v>
      </c>
      <c r="D1897" s="3" t="e">
        <f>INDEX(PEDIDOS!$A:$D,MATCH(FORNECEDOR!A1897,PEDIDOS!$A:$A,0),3)</f>
        <v>#N/A</v>
      </c>
      <c r="E1897" s="3" t="e">
        <f>INDEX(PEDIDOS!$A:$D,MATCH(FORNECEDOR!A1897,PEDIDOS!$A:$A,0),4)</f>
        <v>#N/A</v>
      </c>
    </row>
    <row r="1898" spans="1:5" x14ac:dyDescent="0.25">
      <c r="A1898" s="1" t="s">
        <v>1897</v>
      </c>
      <c r="B1898" s="3">
        <f>COUNTIF(PEDIDOS!$A:$A,FORNECEDOR!A1898)</f>
        <v>1</v>
      </c>
      <c r="C1898" s="3" t="str">
        <f>INDEX(PEDIDOS!$A:$D,MATCH(FORNECEDOR!A1898,PEDIDOS!$A:$A,0),2)</f>
        <v>SP - PARI</v>
      </c>
      <c r="D1898" s="3" t="str">
        <f>INDEX(PEDIDOS!$A:$D,MATCH(FORNECEDOR!A1898,PEDIDOS!$A:$A,0),3)</f>
        <v>SP - PARI</v>
      </c>
      <c r="E1898" s="3" t="str">
        <f>INDEX(PEDIDOS!$A:$D,MATCH(FORNECEDOR!A1898,PEDIDOS!$A:$A,0),4)</f>
        <v>SP - PARI</v>
      </c>
    </row>
    <row r="1899" spans="1:5" hidden="1" x14ac:dyDescent="0.25">
      <c r="A1899" s="1" t="s">
        <v>1898</v>
      </c>
      <c r="B1899" s="3">
        <f>COUNTIF(PEDIDOS!$A:$A,FORNECEDOR!A1899)</f>
        <v>0</v>
      </c>
      <c r="C1899" s="3" t="e">
        <f>INDEX(PEDIDOS!$A:$D,MATCH(FORNECEDOR!A1899,PEDIDOS!$A:$A,0),2)</f>
        <v>#N/A</v>
      </c>
      <c r="D1899" s="3" t="e">
        <f>INDEX(PEDIDOS!$A:$D,MATCH(FORNECEDOR!A1899,PEDIDOS!$A:$A,0),3)</f>
        <v>#N/A</v>
      </c>
      <c r="E1899" s="3" t="e">
        <f>INDEX(PEDIDOS!$A:$D,MATCH(FORNECEDOR!A1899,PEDIDOS!$A:$A,0),4)</f>
        <v>#N/A</v>
      </c>
    </row>
    <row r="1900" spans="1:5" hidden="1" x14ac:dyDescent="0.25">
      <c r="A1900" s="1" t="s">
        <v>1899</v>
      </c>
      <c r="B1900" s="3">
        <f>COUNTIF(PEDIDOS!$A:$A,FORNECEDOR!A1900)</f>
        <v>0</v>
      </c>
      <c r="C1900" s="3" t="e">
        <f>INDEX(PEDIDOS!$A:$D,MATCH(FORNECEDOR!A1900,PEDIDOS!$A:$A,0),2)</f>
        <v>#N/A</v>
      </c>
      <c r="D1900" s="3" t="e">
        <f>INDEX(PEDIDOS!$A:$D,MATCH(FORNECEDOR!A1900,PEDIDOS!$A:$A,0),3)</f>
        <v>#N/A</v>
      </c>
      <c r="E1900" s="3" t="e">
        <f>INDEX(PEDIDOS!$A:$D,MATCH(FORNECEDOR!A1900,PEDIDOS!$A:$A,0),4)</f>
        <v>#N/A</v>
      </c>
    </row>
    <row r="1901" spans="1:5" x14ac:dyDescent="0.25">
      <c r="A1901" s="1" t="s">
        <v>1900</v>
      </c>
      <c r="B1901" s="3">
        <f>COUNTIF(PEDIDOS!$A:$A,FORNECEDOR!A1901)</f>
        <v>2</v>
      </c>
      <c r="C1901" s="3" t="str">
        <f>INDEX(PEDIDOS!$A:$D,MATCH(FORNECEDOR!A1901,PEDIDOS!$A:$A,0),2)</f>
        <v>CD REGIS</v>
      </c>
      <c r="D1901" s="3" t="str">
        <f>INDEX(PEDIDOS!$A:$D,MATCH(FORNECEDOR!A1901,PEDIDOS!$A:$A,0),3)</f>
        <v>MATRIZ</v>
      </c>
      <c r="E1901" s="3" t="str">
        <f>INDEX(PEDIDOS!$A:$D,MATCH(FORNECEDOR!A1901,PEDIDOS!$A:$A,0),4)</f>
        <v>CD REGIS</v>
      </c>
    </row>
    <row r="1902" spans="1:5" hidden="1" x14ac:dyDescent="0.25">
      <c r="A1902" s="1" t="s">
        <v>1901</v>
      </c>
      <c r="B1902" s="3">
        <f>COUNTIF(PEDIDOS!$A:$A,FORNECEDOR!A1902)</f>
        <v>0</v>
      </c>
      <c r="C1902" s="3" t="e">
        <f>INDEX(PEDIDOS!$A:$D,MATCH(FORNECEDOR!A1902,PEDIDOS!$A:$A,0),2)</f>
        <v>#N/A</v>
      </c>
      <c r="D1902" s="3" t="e">
        <f>INDEX(PEDIDOS!$A:$D,MATCH(FORNECEDOR!A1902,PEDIDOS!$A:$A,0),3)</f>
        <v>#N/A</v>
      </c>
      <c r="E1902" s="3" t="e">
        <f>INDEX(PEDIDOS!$A:$D,MATCH(FORNECEDOR!A1902,PEDIDOS!$A:$A,0),4)</f>
        <v>#N/A</v>
      </c>
    </row>
    <row r="1903" spans="1:5" hidden="1" x14ac:dyDescent="0.25">
      <c r="A1903" s="1" t="s">
        <v>1902</v>
      </c>
      <c r="B1903" s="3">
        <f>COUNTIF(PEDIDOS!$A:$A,FORNECEDOR!A1903)</f>
        <v>0</v>
      </c>
      <c r="C1903" s="3" t="e">
        <f>INDEX(PEDIDOS!$A:$D,MATCH(FORNECEDOR!A1903,PEDIDOS!$A:$A,0),2)</f>
        <v>#N/A</v>
      </c>
      <c r="D1903" s="3" t="e">
        <f>INDEX(PEDIDOS!$A:$D,MATCH(FORNECEDOR!A1903,PEDIDOS!$A:$A,0),3)</f>
        <v>#N/A</v>
      </c>
      <c r="E1903" s="3" t="e">
        <f>INDEX(PEDIDOS!$A:$D,MATCH(FORNECEDOR!A1903,PEDIDOS!$A:$A,0),4)</f>
        <v>#N/A</v>
      </c>
    </row>
    <row r="1904" spans="1:5" hidden="1" x14ac:dyDescent="0.25">
      <c r="A1904" s="1" t="s">
        <v>1903</v>
      </c>
      <c r="B1904" s="3">
        <f>COUNTIF(PEDIDOS!$A:$A,FORNECEDOR!A1904)</f>
        <v>0</v>
      </c>
      <c r="C1904" s="3" t="e">
        <f>INDEX(PEDIDOS!$A:$D,MATCH(FORNECEDOR!A1904,PEDIDOS!$A:$A,0),2)</f>
        <v>#N/A</v>
      </c>
      <c r="D1904" s="3" t="e">
        <f>INDEX(PEDIDOS!$A:$D,MATCH(FORNECEDOR!A1904,PEDIDOS!$A:$A,0),3)</f>
        <v>#N/A</v>
      </c>
      <c r="E1904" s="3" t="e">
        <f>INDEX(PEDIDOS!$A:$D,MATCH(FORNECEDOR!A1904,PEDIDOS!$A:$A,0),4)</f>
        <v>#N/A</v>
      </c>
    </row>
    <row r="1905" spans="1:5" hidden="1" x14ac:dyDescent="0.25">
      <c r="A1905" s="1" t="s">
        <v>1904</v>
      </c>
      <c r="B1905" s="3">
        <f>COUNTIF(PEDIDOS!$A:$A,FORNECEDOR!A1905)</f>
        <v>0</v>
      </c>
      <c r="C1905" s="3" t="e">
        <f>INDEX(PEDIDOS!$A:$D,MATCH(FORNECEDOR!A1905,PEDIDOS!$A:$A,0),2)</f>
        <v>#N/A</v>
      </c>
      <c r="D1905" s="3" t="e">
        <f>INDEX(PEDIDOS!$A:$D,MATCH(FORNECEDOR!A1905,PEDIDOS!$A:$A,0),3)</f>
        <v>#N/A</v>
      </c>
      <c r="E1905" s="3" t="e">
        <f>INDEX(PEDIDOS!$A:$D,MATCH(FORNECEDOR!A1905,PEDIDOS!$A:$A,0),4)</f>
        <v>#N/A</v>
      </c>
    </row>
    <row r="1906" spans="1:5" hidden="1" x14ac:dyDescent="0.25">
      <c r="A1906" s="1" t="s">
        <v>1905</v>
      </c>
      <c r="B1906" s="3">
        <f>COUNTIF(PEDIDOS!$A:$A,FORNECEDOR!A1906)</f>
        <v>0</v>
      </c>
      <c r="C1906" s="3" t="e">
        <f>INDEX(PEDIDOS!$A:$D,MATCH(FORNECEDOR!A1906,PEDIDOS!$A:$A,0),2)</f>
        <v>#N/A</v>
      </c>
      <c r="D1906" s="3" t="e">
        <f>INDEX(PEDIDOS!$A:$D,MATCH(FORNECEDOR!A1906,PEDIDOS!$A:$A,0),3)</f>
        <v>#N/A</v>
      </c>
      <c r="E1906" s="3" t="e">
        <f>INDEX(PEDIDOS!$A:$D,MATCH(FORNECEDOR!A1906,PEDIDOS!$A:$A,0),4)</f>
        <v>#N/A</v>
      </c>
    </row>
    <row r="1907" spans="1:5" hidden="1" x14ac:dyDescent="0.25">
      <c r="A1907" s="1" t="s">
        <v>1906</v>
      </c>
      <c r="B1907" s="3">
        <f>COUNTIF(PEDIDOS!$A:$A,FORNECEDOR!A1907)</f>
        <v>0</v>
      </c>
      <c r="C1907" s="3" t="e">
        <f>INDEX(PEDIDOS!$A:$D,MATCH(FORNECEDOR!A1907,PEDIDOS!$A:$A,0),2)</f>
        <v>#N/A</v>
      </c>
      <c r="D1907" s="3" t="e">
        <f>INDEX(PEDIDOS!$A:$D,MATCH(FORNECEDOR!A1907,PEDIDOS!$A:$A,0),3)</f>
        <v>#N/A</v>
      </c>
      <c r="E1907" s="3" t="e">
        <f>INDEX(PEDIDOS!$A:$D,MATCH(FORNECEDOR!A1907,PEDIDOS!$A:$A,0),4)</f>
        <v>#N/A</v>
      </c>
    </row>
    <row r="1908" spans="1:5" hidden="1" x14ac:dyDescent="0.25">
      <c r="A1908" s="1" t="s">
        <v>1907</v>
      </c>
      <c r="B1908" s="3">
        <f>COUNTIF(PEDIDOS!$A:$A,FORNECEDOR!A1908)</f>
        <v>0</v>
      </c>
      <c r="C1908" s="3" t="e">
        <f>INDEX(PEDIDOS!$A:$D,MATCH(FORNECEDOR!A1908,PEDIDOS!$A:$A,0),2)</f>
        <v>#N/A</v>
      </c>
      <c r="D1908" s="3" t="e">
        <f>INDEX(PEDIDOS!$A:$D,MATCH(FORNECEDOR!A1908,PEDIDOS!$A:$A,0),3)</f>
        <v>#N/A</v>
      </c>
      <c r="E1908" s="3" t="e">
        <f>INDEX(PEDIDOS!$A:$D,MATCH(FORNECEDOR!A1908,PEDIDOS!$A:$A,0),4)</f>
        <v>#N/A</v>
      </c>
    </row>
    <row r="1909" spans="1:5" hidden="1" x14ac:dyDescent="0.25">
      <c r="A1909" s="1" t="s">
        <v>1908</v>
      </c>
      <c r="B1909" s="3">
        <f>COUNTIF(PEDIDOS!$A:$A,FORNECEDOR!A1909)</f>
        <v>0</v>
      </c>
      <c r="C1909" s="3" t="e">
        <f>INDEX(PEDIDOS!$A:$D,MATCH(FORNECEDOR!A1909,PEDIDOS!$A:$A,0),2)</f>
        <v>#N/A</v>
      </c>
      <c r="D1909" s="3" t="e">
        <f>INDEX(PEDIDOS!$A:$D,MATCH(FORNECEDOR!A1909,PEDIDOS!$A:$A,0),3)</f>
        <v>#N/A</v>
      </c>
      <c r="E1909" s="3" t="e">
        <f>INDEX(PEDIDOS!$A:$D,MATCH(FORNECEDOR!A1909,PEDIDOS!$A:$A,0),4)</f>
        <v>#N/A</v>
      </c>
    </row>
    <row r="1910" spans="1:5" hidden="1" x14ac:dyDescent="0.25">
      <c r="A1910" s="1" t="s">
        <v>1909</v>
      </c>
      <c r="B1910" s="3">
        <f>COUNTIF(PEDIDOS!$A:$A,FORNECEDOR!A1910)</f>
        <v>0</v>
      </c>
      <c r="C1910" s="3" t="e">
        <f>INDEX(PEDIDOS!$A:$D,MATCH(FORNECEDOR!A1910,PEDIDOS!$A:$A,0),2)</f>
        <v>#N/A</v>
      </c>
      <c r="D1910" s="3" t="e">
        <f>INDEX(PEDIDOS!$A:$D,MATCH(FORNECEDOR!A1910,PEDIDOS!$A:$A,0),3)</f>
        <v>#N/A</v>
      </c>
      <c r="E1910" s="3" t="e">
        <f>INDEX(PEDIDOS!$A:$D,MATCH(FORNECEDOR!A1910,PEDIDOS!$A:$A,0),4)</f>
        <v>#N/A</v>
      </c>
    </row>
    <row r="1911" spans="1:5" x14ac:dyDescent="0.25">
      <c r="A1911" s="1" t="s">
        <v>1910</v>
      </c>
      <c r="B1911" s="3">
        <f>COUNTIF(PEDIDOS!$A:$A,FORNECEDOR!A1911)</f>
        <v>1</v>
      </c>
      <c r="C1911" s="3" t="str">
        <f>INDEX(PEDIDOS!$A:$D,MATCH(FORNECEDOR!A1911,PEDIDOS!$A:$A,0),2)</f>
        <v>CD REGIS</v>
      </c>
      <c r="D1911" s="3" t="str">
        <f>INDEX(PEDIDOS!$A:$D,MATCH(FORNECEDOR!A1911,PEDIDOS!$A:$A,0),3)</f>
        <v>TATUAPE</v>
      </c>
      <c r="E1911" s="3" t="str">
        <f>INDEX(PEDIDOS!$A:$D,MATCH(FORNECEDOR!A1911,PEDIDOS!$A:$A,0),4)</f>
        <v>CD REGIS</v>
      </c>
    </row>
    <row r="1912" spans="1:5" x14ac:dyDescent="0.25">
      <c r="A1912" s="1" t="s">
        <v>1911</v>
      </c>
      <c r="B1912" s="3">
        <f>COUNTIF(PEDIDOS!$A:$A,FORNECEDOR!A1912)</f>
        <v>1</v>
      </c>
      <c r="C1912" s="3" t="str">
        <f>INDEX(PEDIDOS!$A:$D,MATCH(FORNECEDOR!A1912,PEDIDOS!$A:$A,0),2)</f>
        <v>MATRIZ</v>
      </c>
      <c r="D1912" s="3" t="str">
        <f>INDEX(PEDIDOS!$A:$D,MATCH(FORNECEDOR!A1912,PEDIDOS!$A:$A,0),3)</f>
        <v>MATRIZ</v>
      </c>
      <c r="E1912" s="3" t="str">
        <f>INDEX(PEDIDOS!$A:$D,MATCH(FORNECEDOR!A1912,PEDIDOS!$A:$A,0),4)</f>
        <v>MATRIZ</v>
      </c>
    </row>
    <row r="1913" spans="1:5" x14ac:dyDescent="0.25">
      <c r="A1913" s="1" t="s">
        <v>1912</v>
      </c>
      <c r="B1913" s="3">
        <f>COUNTIF(PEDIDOS!$A:$A,FORNECEDOR!A1913)</f>
        <v>2</v>
      </c>
      <c r="C1913" s="3" t="str">
        <f>INDEX(PEDIDOS!$A:$D,MATCH(FORNECEDOR!A1913,PEDIDOS!$A:$A,0),2)</f>
        <v>CD REGIS</v>
      </c>
      <c r="D1913" s="3" t="str">
        <f>INDEX(PEDIDOS!$A:$D,MATCH(FORNECEDOR!A1913,PEDIDOS!$A:$A,0),3)</f>
        <v>MATRIZ</v>
      </c>
      <c r="E1913" s="3" t="str">
        <f>INDEX(PEDIDOS!$A:$D,MATCH(FORNECEDOR!A1913,PEDIDOS!$A:$A,0),4)</f>
        <v>CD REGIS</v>
      </c>
    </row>
    <row r="1914" spans="1:5" hidden="1" x14ac:dyDescent="0.25">
      <c r="A1914" s="1" t="s">
        <v>1913</v>
      </c>
      <c r="B1914" s="3">
        <f>COUNTIF(PEDIDOS!$A:$A,FORNECEDOR!A1914)</f>
        <v>0</v>
      </c>
      <c r="C1914" s="3" t="e">
        <f>INDEX(PEDIDOS!$A:$D,MATCH(FORNECEDOR!A1914,PEDIDOS!$A:$A,0),2)</f>
        <v>#N/A</v>
      </c>
      <c r="D1914" s="3" t="e">
        <f>INDEX(PEDIDOS!$A:$D,MATCH(FORNECEDOR!A1914,PEDIDOS!$A:$A,0),3)</f>
        <v>#N/A</v>
      </c>
      <c r="E1914" s="3" t="e">
        <f>INDEX(PEDIDOS!$A:$D,MATCH(FORNECEDOR!A1914,PEDIDOS!$A:$A,0),4)</f>
        <v>#N/A</v>
      </c>
    </row>
    <row r="1915" spans="1:5" hidden="1" x14ac:dyDescent="0.25">
      <c r="A1915" s="1" t="s">
        <v>1914</v>
      </c>
      <c r="B1915" s="3">
        <f>COUNTIF(PEDIDOS!$A:$A,FORNECEDOR!A1915)</f>
        <v>0</v>
      </c>
      <c r="C1915" s="3" t="e">
        <f>INDEX(PEDIDOS!$A:$D,MATCH(FORNECEDOR!A1915,PEDIDOS!$A:$A,0),2)</f>
        <v>#N/A</v>
      </c>
      <c r="D1915" s="3" t="e">
        <f>INDEX(PEDIDOS!$A:$D,MATCH(FORNECEDOR!A1915,PEDIDOS!$A:$A,0),3)</f>
        <v>#N/A</v>
      </c>
      <c r="E1915" s="3" t="e">
        <f>INDEX(PEDIDOS!$A:$D,MATCH(FORNECEDOR!A1915,PEDIDOS!$A:$A,0),4)</f>
        <v>#N/A</v>
      </c>
    </row>
    <row r="1916" spans="1:5" hidden="1" x14ac:dyDescent="0.25">
      <c r="A1916" s="1" t="s">
        <v>1915</v>
      </c>
      <c r="B1916" s="3">
        <f>COUNTIF(PEDIDOS!$A:$A,FORNECEDOR!A1916)</f>
        <v>0</v>
      </c>
      <c r="C1916" s="3" t="e">
        <f>INDEX(PEDIDOS!$A:$D,MATCH(FORNECEDOR!A1916,PEDIDOS!$A:$A,0),2)</f>
        <v>#N/A</v>
      </c>
      <c r="D1916" s="3" t="e">
        <f>INDEX(PEDIDOS!$A:$D,MATCH(FORNECEDOR!A1916,PEDIDOS!$A:$A,0),3)</f>
        <v>#N/A</v>
      </c>
      <c r="E1916" s="3" t="e">
        <f>INDEX(PEDIDOS!$A:$D,MATCH(FORNECEDOR!A1916,PEDIDOS!$A:$A,0),4)</f>
        <v>#N/A</v>
      </c>
    </row>
    <row r="1917" spans="1:5" x14ac:dyDescent="0.25">
      <c r="A1917" s="1" t="s">
        <v>1916</v>
      </c>
      <c r="B1917" s="3">
        <f>COUNTIF(PEDIDOS!$A:$A,FORNECEDOR!A1917)</f>
        <v>1</v>
      </c>
      <c r="C1917" s="3" t="str">
        <f>INDEX(PEDIDOS!$A:$D,MATCH(FORNECEDOR!A1917,PEDIDOS!$A:$A,0),2)</f>
        <v>CD REGIS</v>
      </c>
      <c r="D1917" s="3" t="str">
        <f>INDEX(PEDIDOS!$A:$D,MATCH(FORNECEDOR!A1917,PEDIDOS!$A:$A,0),3)</f>
        <v>MATRIZ</v>
      </c>
      <c r="E1917" s="3" t="str">
        <f>INDEX(PEDIDOS!$A:$D,MATCH(FORNECEDOR!A1917,PEDIDOS!$A:$A,0),4)</f>
        <v>CD REGIS</v>
      </c>
    </row>
    <row r="1918" spans="1:5" hidden="1" x14ac:dyDescent="0.25">
      <c r="A1918" s="1" t="s">
        <v>1917</v>
      </c>
      <c r="B1918" s="3">
        <f>COUNTIF(PEDIDOS!$A:$A,FORNECEDOR!A1918)</f>
        <v>0</v>
      </c>
      <c r="C1918" s="3" t="e">
        <f>INDEX(PEDIDOS!$A:$D,MATCH(FORNECEDOR!A1918,PEDIDOS!$A:$A,0),2)</f>
        <v>#N/A</v>
      </c>
      <c r="D1918" s="3" t="e">
        <f>INDEX(PEDIDOS!$A:$D,MATCH(FORNECEDOR!A1918,PEDIDOS!$A:$A,0),3)</f>
        <v>#N/A</v>
      </c>
      <c r="E1918" s="3" t="e">
        <f>INDEX(PEDIDOS!$A:$D,MATCH(FORNECEDOR!A1918,PEDIDOS!$A:$A,0),4)</f>
        <v>#N/A</v>
      </c>
    </row>
    <row r="1919" spans="1:5" hidden="1" x14ac:dyDescent="0.25">
      <c r="A1919" s="1" t="s">
        <v>1918</v>
      </c>
      <c r="B1919" s="3">
        <f>COUNTIF(PEDIDOS!$A:$A,FORNECEDOR!A1919)</f>
        <v>0</v>
      </c>
      <c r="C1919" s="3" t="e">
        <f>INDEX(PEDIDOS!$A:$D,MATCH(FORNECEDOR!A1919,PEDIDOS!$A:$A,0),2)</f>
        <v>#N/A</v>
      </c>
      <c r="D1919" s="3" t="e">
        <f>INDEX(PEDIDOS!$A:$D,MATCH(FORNECEDOR!A1919,PEDIDOS!$A:$A,0),3)</f>
        <v>#N/A</v>
      </c>
      <c r="E1919" s="3" t="e">
        <f>INDEX(PEDIDOS!$A:$D,MATCH(FORNECEDOR!A1919,PEDIDOS!$A:$A,0),4)</f>
        <v>#N/A</v>
      </c>
    </row>
    <row r="1920" spans="1:5" x14ac:dyDescent="0.25">
      <c r="A1920" s="1" t="s">
        <v>1919</v>
      </c>
      <c r="B1920" s="3">
        <f>COUNTIF(PEDIDOS!$A:$A,FORNECEDOR!A1920)</f>
        <v>5</v>
      </c>
      <c r="C1920" s="3" t="str">
        <f>INDEX(PEDIDOS!$A:$D,MATCH(FORNECEDOR!A1920,PEDIDOS!$A:$A,0),2)</f>
        <v>CD ARAQUARI</v>
      </c>
      <c r="D1920" s="3" t="str">
        <f>INDEX(PEDIDOS!$A:$D,MATCH(FORNECEDOR!A1920,PEDIDOS!$A:$A,0),3)</f>
        <v>MATRIZ</v>
      </c>
      <c r="E1920" s="3" t="str">
        <f>INDEX(PEDIDOS!$A:$D,MATCH(FORNECEDOR!A1920,PEDIDOS!$A:$A,0),4)</f>
        <v>CD ARAQUARI</v>
      </c>
    </row>
    <row r="1921" spans="1:5" x14ac:dyDescent="0.25">
      <c r="A1921" s="1" t="s">
        <v>1920</v>
      </c>
      <c r="B1921" s="3">
        <f>COUNTIF(PEDIDOS!$A:$A,FORNECEDOR!A1921)</f>
        <v>1</v>
      </c>
      <c r="C1921" s="3" t="str">
        <f>INDEX(PEDIDOS!$A:$D,MATCH(FORNECEDOR!A1921,PEDIDOS!$A:$A,0),2)</f>
        <v>MATRIZ</v>
      </c>
      <c r="D1921" s="3" t="str">
        <f>INDEX(PEDIDOS!$A:$D,MATCH(FORNECEDOR!A1921,PEDIDOS!$A:$A,0),3)</f>
        <v>MATRIZ</v>
      </c>
      <c r="E1921" s="3" t="str">
        <f>INDEX(PEDIDOS!$A:$D,MATCH(FORNECEDOR!A1921,PEDIDOS!$A:$A,0),4)</f>
        <v>MATRIZ</v>
      </c>
    </row>
    <row r="1922" spans="1:5" x14ac:dyDescent="0.25">
      <c r="A1922" s="1" t="s">
        <v>1921</v>
      </c>
      <c r="B1922" s="3">
        <f>COUNTIF(PEDIDOS!$A:$A,FORNECEDOR!A1922)</f>
        <v>1</v>
      </c>
      <c r="C1922" s="3" t="str">
        <f>INDEX(PEDIDOS!$A:$D,MATCH(FORNECEDOR!A1922,PEDIDOS!$A:$A,0),2)</f>
        <v>MATRIZ</v>
      </c>
      <c r="D1922" s="3" t="str">
        <f>INDEX(PEDIDOS!$A:$D,MATCH(FORNECEDOR!A1922,PEDIDOS!$A:$A,0),3)</f>
        <v>MATRIZ</v>
      </c>
      <c r="E1922" s="3" t="str">
        <f>INDEX(PEDIDOS!$A:$D,MATCH(FORNECEDOR!A1922,PEDIDOS!$A:$A,0),4)</f>
        <v>MATRIZ</v>
      </c>
    </row>
    <row r="1923" spans="1:5" hidden="1" x14ac:dyDescent="0.25">
      <c r="A1923" s="1" t="s">
        <v>1922</v>
      </c>
      <c r="B1923" s="3">
        <f>COUNTIF(PEDIDOS!$A:$A,FORNECEDOR!A1923)</f>
        <v>0</v>
      </c>
      <c r="C1923" s="3" t="e">
        <f>INDEX(PEDIDOS!$A:$D,MATCH(FORNECEDOR!A1923,PEDIDOS!$A:$A,0),2)</f>
        <v>#N/A</v>
      </c>
      <c r="D1923" s="3" t="e">
        <f>INDEX(PEDIDOS!$A:$D,MATCH(FORNECEDOR!A1923,PEDIDOS!$A:$A,0),3)</f>
        <v>#N/A</v>
      </c>
      <c r="E1923" s="3" t="e">
        <f>INDEX(PEDIDOS!$A:$D,MATCH(FORNECEDOR!A1923,PEDIDOS!$A:$A,0),4)</f>
        <v>#N/A</v>
      </c>
    </row>
    <row r="1924" spans="1:5" x14ac:dyDescent="0.25">
      <c r="A1924" s="1" t="s">
        <v>1923</v>
      </c>
      <c r="B1924" s="3">
        <f>COUNTIF(PEDIDOS!$A:$A,FORNECEDOR!A1924)</f>
        <v>1</v>
      </c>
      <c r="C1924" s="3" t="str">
        <f>INDEX(PEDIDOS!$A:$D,MATCH(FORNECEDOR!A1924,PEDIDOS!$A:$A,0),2)</f>
        <v>PIRASSUNUNGA</v>
      </c>
      <c r="D1924" s="3" t="str">
        <f>INDEX(PEDIDOS!$A:$D,MATCH(FORNECEDOR!A1924,PEDIDOS!$A:$A,0),3)</f>
        <v>PIRASSUNUNGA</v>
      </c>
      <c r="E1924" s="3" t="str">
        <f>INDEX(PEDIDOS!$A:$D,MATCH(FORNECEDOR!A1924,PEDIDOS!$A:$A,0),4)</f>
        <v>PIRASSUNUNGA</v>
      </c>
    </row>
    <row r="1925" spans="1:5" hidden="1" x14ac:dyDescent="0.25">
      <c r="A1925" s="1" t="s">
        <v>1924</v>
      </c>
      <c r="B1925" s="3">
        <f>COUNTIF(PEDIDOS!$A:$A,FORNECEDOR!A1925)</f>
        <v>0</v>
      </c>
      <c r="C1925" s="3" t="e">
        <f>INDEX(PEDIDOS!$A:$D,MATCH(FORNECEDOR!A1925,PEDIDOS!$A:$A,0),2)</f>
        <v>#N/A</v>
      </c>
      <c r="D1925" s="3" t="e">
        <f>INDEX(PEDIDOS!$A:$D,MATCH(FORNECEDOR!A1925,PEDIDOS!$A:$A,0),3)</f>
        <v>#N/A</v>
      </c>
      <c r="E1925" s="3" t="e">
        <f>INDEX(PEDIDOS!$A:$D,MATCH(FORNECEDOR!A1925,PEDIDOS!$A:$A,0),4)</f>
        <v>#N/A</v>
      </c>
    </row>
    <row r="1926" spans="1:5" x14ac:dyDescent="0.25">
      <c r="A1926" s="1" t="s">
        <v>1925</v>
      </c>
      <c r="B1926" s="3">
        <f>COUNTIF(PEDIDOS!$A:$A,FORNECEDOR!A1926)</f>
        <v>1</v>
      </c>
      <c r="C1926" s="3" t="str">
        <f>INDEX(PEDIDOS!$A:$D,MATCH(FORNECEDOR!A1926,PEDIDOS!$A:$A,0),2)</f>
        <v>SP - PARI</v>
      </c>
      <c r="D1926" s="3" t="str">
        <f>INDEX(PEDIDOS!$A:$D,MATCH(FORNECEDOR!A1926,PEDIDOS!$A:$A,0),3)</f>
        <v>SP - PARI</v>
      </c>
      <c r="E1926" s="3" t="str">
        <f>INDEX(PEDIDOS!$A:$D,MATCH(FORNECEDOR!A1926,PEDIDOS!$A:$A,0),4)</f>
        <v>SP - PARI</v>
      </c>
    </row>
    <row r="1927" spans="1:5" hidden="1" x14ac:dyDescent="0.25">
      <c r="A1927" s="1" t="s">
        <v>1926</v>
      </c>
      <c r="B1927" s="3">
        <f>COUNTIF(PEDIDOS!$A:$A,FORNECEDOR!A1927)</f>
        <v>0</v>
      </c>
      <c r="C1927" s="3" t="e">
        <f>INDEX(PEDIDOS!$A:$D,MATCH(FORNECEDOR!A1927,PEDIDOS!$A:$A,0),2)</f>
        <v>#N/A</v>
      </c>
      <c r="D1927" s="3" t="e">
        <f>INDEX(PEDIDOS!$A:$D,MATCH(FORNECEDOR!A1927,PEDIDOS!$A:$A,0),3)</f>
        <v>#N/A</v>
      </c>
      <c r="E1927" s="3" t="e">
        <f>INDEX(PEDIDOS!$A:$D,MATCH(FORNECEDOR!A1927,PEDIDOS!$A:$A,0),4)</f>
        <v>#N/A</v>
      </c>
    </row>
    <row r="1928" spans="1:5" hidden="1" x14ac:dyDescent="0.25">
      <c r="A1928" s="1" t="s">
        <v>1927</v>
      </c>
      <c r="B1928" s="3">
        <f>COUNTIF(PEDIDOS!$A:$A,FORNECEDOR!A1928)</f>
        <v>0</v>
      </c>
      <c r="C1928" s="3" t="e">
        <f>INDEX(PEDIDOS!$A:$D,MATCH(FORNECEDOR!A1928,PEDIDOS!$A:$A,0),2)</f>
        <v>#N/A</v>
      </c>
      <c r="D1928" s="3" t="e">
        <f>INDEX(PEDIDOS!$A:$D,MATCH(FORNECEDOR!A1928,PEDIDOS!$A:$A,0),3)</f>
        <v>#N/A</v>
      </c>
      <c r="E1928" s="3" t="e">
        <f>INDEX(PEDIDOS!$A:$D,MATCH(FORNECEDOR!A1928,PEDIDOS!$A:$A,0),4)</f>
        <v>#N/A</v>
      </c>
    </row>
    <row r="1929" spans="1:5" hidden="1" x14ac:dyDescent="0.25">
      <c r="A1929" s="1" t="s">
        <v>1928</v>
      </c>
      <c r="B1929" s="3">
        <f>COUNTIF(PEDIDOS!$A:$A,FORNECEDOR!A1929)</f>
        <v>0</v>
      </c>
      <c r="C1929" s="3" t="e">
        <f>INDEX(PEDIDOS!$A:$D,MATCH(FORNECEDOR!A1929,PEDIDOS!$A:$A,0),2)</f>
        <v>#N/A</v>
      </c>
      <c r="D1929" s="3" t="e">
        <f>INDEX(PEDIDOS!$A:$D,MATCH(FORNECEDOR!A1929,PEDIDOS!$A:$A,0),3)</f>
        <v>#N/A</v>
      </c>
      <c r="E1929" s="3" t="e">
        <f>INDEX(PEDIDOS!$A:$D,MATCH(FORNECEDOR!A1929,PEDIDOS!$A:$A,0),4)</f>
        <v>#N/A</v>
      </c>
    </row>
    <row r="1930" spans="1:5" hidden="1" x14ac:dyDescent="0.25">
      <c r="A1930" s="1" t="s">
        <v>1929</v>
      </c>
      <c r="B1930" s="3">
        <f>COUNTIF(PEDIDOS!$A:$A,FORNECEDOR!A1930)</f>
        <v>0</v>
      </c>
      <c r="C1930" s="3" t="e">
        <f>INDEX(PEDIDOS!$A:$D,MATCH(FORNECEDOR!A1930,PEDIDOS!$A:$A,0),2)</f>
        <v>#N/A</v>
      </c>
      <c r="D1930" s="3" t="e">
        <f>INDEX(PEDIDOS!$A:$D,MATCH(FORNECEDOR!A1930,PEDIDOS!$A:$A,0),3)</f>
        <v>#N/A</v>
      </c>
      <c r="E1930" s="3" t="e">
        <f>INDEX(PEDIDOS!$A:$D,MATCH(FORNECEDOR!A1930,PEDIDOS!$A:$A,0),4)</f>
        <v>#N/A</v>
      </c>
    </row>
    <row r="1931" spans="1:5" hidden="1" x14ac:dyDescent="0.25">
      <c r="A1931" s="1" t="s">
        <v>1930</v>
      </c>
      <c r="B1931" s="3">
        <f>COUNTIF(PEDIDOS!$A:$A,FORNECEDOR!A1931)</f>
        <v>0</v>
      </c>
      <c r="C1931" s="3" t="e">
        <f>INDEX(PEDIDOS!$A:$D,MATCH(FORNECEDOR!A1931,PEDIDOS!$A:$A,0),2)</f>
        <v>#N/A</v>
      </c>
      <c r="D1931" s="3" t="e">
        <f>INDEX(PEDIDOS!$A:$D,MATCH(FORNECEDOR!A1931,PEDIDOS!$A:$A,0),3)</f>
        <v>#N/A</v>
      </c>
      <c r="E1931" s="3" t="e">
        <f>INDEX(PEDIDOS!$A:$D,MATCH(FORNECEDOR!A1931,PEDIDOS!$A:$A,0),4)</f>
        <v>#N/A</v>
      </c>
    </row>
    <row r="1932" spans="1:5" hidden="1" x14ac:dyDescent="0.25">
      <c r="A1932" s="1" t="s">
        <v>1931</v>
      </c>
      <c r="B1932" s="3">
        <f>COUNTIF(PEDIDOS!$A:$A,FORNECEDOR!A1932)</f>
        <v>0</v>
      </c>
      <c r="C1932" s="3" t="e">
        <f>INDEX(PEDIDOS!$A:$D,MATCH(FORNECEDOR!A1932,PEDIDOS!$A:$A,0),2)</f>
        <v>#N/A</v>
      </c>
      <c r="D1932" s="3" t="e">
        <f>INDEX(PEDIDOS!$A:$D,MATCH(FORNECEDOR!A1932,PEDIDOS!$A:$A,0),3)</f>
        <v>#N/A</v>
      </c>
      <c r="E1932" s="3" t="e">
        <f>INDEX(PEDIDOS!$A:$D,MATCH(FORNECEDOR!A1932,PEDIDOS!$A:$A,0),4)</f>
        <v>#N/A</v>
      </c>
    </row>
    <row r="1933" spans="1:5" x14ac:dyDescent="0.25">
      <c r="A1933" s="1" t="s">
        <v>1932</v>
      </c>
      <c r="B1933" s="3">
        <f>COUNTIF(PEDIDOS!$A:$A,FORNECEDOR!A1933)</f>
        <v>1</v>
      </c>
      <c r="C1933" s="3" t="str">
        <f>INDEX(PEDIDOS!$A:$D,MATCH(FORNECEDOR!A1933,PEDIDOS!$A:$A,0),2)</f>
        <v>SP - PARI</v>
      </c>
      <c r="D1933" s="3" t="str">
        <f>INDEX(PEDIDOS!$A:$D,MATCH(FORNECEDOR!A1933,PEDIDOS!$A:$A,0),3)</f>
        <v>SP - PARI</v>
      </c>
      <c r="E1933" s="3" t="str">
        <f>INDEX(PEDIDOS!$A:$D,MATCH(FORNECEDOR!A1933,PEDIDOS!$A:$A,0),4)</f>
        <v>SP - PARI</v>
      </c>
    </row>
    <row r="1934" spans="1:5" x14ac:dyDescent="0.25">
      <c r="A1934" s="1" t="s">
        <v>1933</v>
      </c>
      <c r="B1934" s="3">
        <f>COUNTIF(PEDIDOS!$A:$A,FORNECEDOR!A1934)</f>
        <v>2</v>
      </c>
      <c r="C1934" s="3" t="str">
        <f>INDEX(PEDIDOS!$A:$D,MATCH(FORNECEDOR!A1934,PEDIDOS!$A:$A,0),2)</f>
        <v>CD ARAQUARI</v>
      </c>
      <c r="D1934" s="3" t="str">
        <f>INDEX(PEDIDOS!$A:$D,MATCH(FORNECEDOR!A1934,PEDIDOS!$A:$A,0),3)</f>
        <v>TATUAPE</v>
      </c>
      <c r="E1934" s="3" t="str">
        <f>INDEX(PEDIDOS!$A:$D,MATCH(FORNECEDOR!A1934,PEDIDOS!$A:$A,0),4)</f>
        <v>CD ARAQUARI</v>
      </c>
    </row>
    <row r="1935" spans="1:5" hidden="1" x14ac:dyDescent="0.25">
      <c r="A1935" s="1" t="s">
        <v>1934</v>
      </c>
      <c r="B1935" s="3">
        <f>COUNTIF(PEDIDOS!$A:$A,FORNECEDOR!A1935)</f>
        <v>0</v>
      </c>
      <c r="C1935" s="3" t="e">
        <f>INDEX(PEDIDOS!$A:$D,MATCH(FORNECEDOR!A1935,PEDIDOS!$A:$A,0),2)</f>
        <v>#N/A</v>
      </c>
      <c r="D1935" s="3" t="e">
        <f>INDEX(PEDIDOS!$A:$D,MATCH(FORNECEDOR!A1935,PEDIDOS!$A:$A,0),3)</f>
        <v>#N/A</v>
      </c>
      <c r="E1935" s="3" t="e">
        <f>INDEX(PEDIDOS!$A:$D,MATCH(FORNECEDOR!A1935,PEDIDOS!$A:$A,0),4)</f>
        <v>#N/A</v>
      </c>
    </row>
    <row r="1936" spans="1:5" x14ac:dyDescent="0.25">
      <c r="A1936" s="1" t="s">
        <v>1935</v>
      </c>
      <c r="B1936" s="3">
        <f>COUNTIF(PEDIDOS!$A:$A,FORNECEDOR!A1936)</f>
        <v>2</v>
      </c>
      <c r="C1936" s="3" t="str">
        <f>INDEX(PEDIDOS!$A:$D,MATCH(FORNECEDOR!A1936,PEDIDOS!$A:$A,0),2)</f>
        <v>CD REGIS</v>
      </c>
      <c r="D1936" s="3" t="str">
        <f>INDEX(PEDIDOS!$A:$D,MATCH(FORNECEDOR!A1936,PEDIDOS!$A:$A,0),3)</f>
        <v>MATRIZ</v>
      </c>
      <c r="E1936" s="3" t="str">
        <f>INDEX(PEDIDOS!$A:$D,MATCH(FORNECEDOR!A1936,PEDIDOS!$A:$A,0),4)</f>
        <v>CD REGIS</v>
      </c>
    </row>
    <row r="1937" spans="1:5" hidden="1" x14ac:dyDescent="0.25">
      <c r="A1937" s="1" t="s">
        <v>1936</v>
      </c>
      <c r="B1937" s="3">
        <f>COUNTIF(PEDIDOS!$A:$A,FORNECEDOR!A1937)</f>
        <v>0</v>
      </c>
      <c r="C1937" s="3" t="e">
        <f>INDEX(PEDIDOS!$A:$D,MATCH(FORNECEDOR!A1937,PEDIDOS!$A:$A,0),2)</f>
        <v>#N/A</v>
      </c>
      <c r="D1937" s="3" t="e">
        <f>INDEX(PEDIDOS!$A:$D,MATCH(FORNECEDOR!A1937,PEDIDOS!$A:$A,0),3)</f>
        <v>#N/A</v>
      </c>
      <c r="E1937" s="3" t="e">
        <f>INDEX(PEDIDOS!$A:$D,MATCH(FORNECEDOR!A1937,PEDIDOS!$A:$A,0),4)</f>
        <v>#N/A</v>
      </c>
    </row>
    <row r="1938" spans="1:5" hidden="1" x14ac:dyDescent="0.25">
      <c r="A1938" s="1" t="s">
        <v>1937</v>
      </c>
      <c r="B1938" s="3">
        <f>COUNTIF(PEDIDOS!$A:$A,FORNECEDOR!A1938)</f>
        <v>0</v>
      </c>
      <c r="C1938" s="3" t="e">
        <f>INDEX(PEDIDOS!$A:$D,MATCH(FORNECEDOR!A1938,PEDIDOS!$A:$A,0),2)</f>
        <v>#N/A</v>
      </c>
      <c r="D1938" s="3" t="e">
        <f>INDEX(PEDIDOS!$A:$D,MATCH(FORNECEDOR!A1938,PEDIDOS!$A:$A,0),3)</f>
        <v>#N/A</v>
      </c>
      <c r="E1938" s="3" t="e">
        <f>INDEX(PEDIDOS!$A:$D,MATCH(FORNECEDOR!A1938,PEDIDOS!$A:$A,0),4)</f>
        <v>#N/A</v>
      </c>
    </row>
    <row r="1939" spans="1:5" hidden="1" x14ac:dyDescent="0.25">
      <c r="A1939" s="1" t="s">
        <v>1938</v>
      </c>
      <c r="B1939" s="3">
        <f>COUNTIF(PEDIDOS!$A:$A,FORNECEDOR!A1939)</f>
        <v>0</v>
      </c>
      <c r="C1939" s="3" t="e">
        <f>INDEX(PEDIDOS!$A:$D,MATCH(FORNECEDOR!A1939,PEDIDOS!$A:$A,0),2)</f>
        <v>#N/A</v>
      </c>
      <c r="D1939" s="3" t="e">
        <f>INDEX(PEDIDOS!$A:$D,MATCH(FORNECEDOR!A1939,PEDIDOS!$A:$A,0),3)</f>
        <v>#N/A</v>
      </c>
      <c r="E1939" s="3" t="e">
        <f>INDEX(PEDIDOS!$A:$D,MATCH(FORNECEDOR!A1939,PEDIDOS!$A:$A,0),4)</f>
        <v>#N/A</v>
      </c>
    </row>
    <row r="1940" spans="1:5" hidden="1" x14ac:dyDescent="0.25">
      <c r="A1940" s="1" t="s">
        <v>1939</v>
      </c>
      <c r="B1940" s="3">
        <f>COUNTIF(PEDIDOS!$A:$A,FORNECEDOR!A1940)</f>
        <v>0</v>
      </c>
      <c r="C1940" s="3" t="e">
        <f>INDEX(PEDIDOS!$A:$D,MATCH(FORNECEDOR!A1940,PEDIDOS!$A:$A,0),2)</f>
        <v>#N/A</v>
      </c>
      <c r="D1940" s="3" t="e">
        <f>INDEX(PEDIDOS!$A:$D,MATCH(FORNECEDOR!A1940,PEDIDOS!$A:$A,0),3)</f>
        <v>#N/A</v>
      </c>
      <c r="E1940" s="3" t="e">
        <f>INDEX(PEDIDOS!$A:$D,MATCH(FORNECEDOR!A1940,PEDIDOS!$A:$A,0),4)</f>
        <v>#N/A</v>
      </c>
    </row>
    <row r="1941" spans="1:5" hidden="1" x14ac:dyDescent="0.25">
      <c r="A1941" s="1" t="s">
        <v>1940</v>
      </c>
      <c r="B1941" s="3">
        <f>COUNTIF(PEDIDOS!$A:$A,FORNECEDOR!A1941)</f>
        <v>0</v>
      </c>
      <c r="C1941" s="3" t="e">
        <f>INDEX(PEDIDOS!$A:$D,MATCH(FORNECEDOR!A1941,PEDIDOS!$A:$A,0),2)</f>
        <v>#N/A</v>
      </c>
      <c r="D1941" s="3" t="e">
        <f>INDEX(PEDIDOS!$A:$D,MATCH(FORNECEDOR!A1941,PEDIDOS!$A:$A,0),3)</f>
        <v>#N/A</v>
      </c>
      <c r="E1941" s="3" t="e">
        <f>INDEX(PEDIDOS!$A:$D,MATCH(FORNECEDOR!A1941,PEDIDOS!$A:$A,0),4)</f>
        <v>#N/A</v>
      </c>
    </row>
    <row r="1942" spans="1:5" x14ac:dyDescent="0.25">
      <c r="A1942" s="1" t="s">
        <v>1941</v>
      </c>
      <c r="B1942" s="3">
        <f>COUNTIF(PEDIDOS!$A:$A,FORNECEDOR!A1942)</f>
        <v>1</v>
      </c>
      <c r="C1942" s="3" t="str">
        <f>INDEX(PEDIDOS!$A:$D,MATCH(FORNECEDOR!A1942,PEDIDOS!$A:$A,0),2)</f>
        <v>CD REGIS</v>
      </c>
      <c r="D1942" s="3" t="str">
        <f>INDEX(PEDIDOS!$A:$D,MATCH(FORNECEDOR!A1942,PEDIDOS!$A:$A,0),3)</f>
        <v>MATRIZ</v>
      </c>
      <c r="E1942" s="3" t="str">
        <f>INDEX(PEDIDOS!$A:$D,MATCH(FORNECEDOR!A1942,PEDIDOS!$A:$A,0),4)</f>
        <v>CD REGIS</v>
      </c>
    </row>
    <row r="1943" spans="1:5" hidden="1" x14ac:dyDescent="0.25">
      <c r="A1943" s="1" t="s">
        <v>1942</v>
      </c>
      <c r="B1943" s="3">
        <f>COUNTIF(PEDIDOS!$A:$A,FORNECEDOR!A1943)</f>
        <v>0</v>
      </c>
      <c r="C1943" s="3" t="e">
        <f>INDEX(PEDIDOS!$A:$D,MATCH(FORNECEDOR!A1943,PEDIDOS!$A:$A,0),2)</f>
        <v>#N/A</v>
      </c>
      <c r="D1943" s="3" t="e">
        <f>INDEX(PEDIDOS!$A:$D,MATCH(FORNECEDOR!A1943,PEDIDOS!$A:$A,0),3)</f>
        <v>#N/A</v>
      </c>
      <c r="E1943" s="3" t="e">
        <f>INDEX(PEDIDOS!$A:$D,MATCH(FORNECEDOR!A1943,PEDIDOS!$A:$A,0),4)</f>
        <v>#N/A</v>
      </c>
    </row>
    <row r="1944" spans="1:5" x14ac:dyDescent="0.25">
      <c r="A1944" s="1" t="s">
        <v>1943</v>
      </c>
      <c r="B1944" s="3">
        <f>COUNTIF(PEDIDOS!$A:$A,FORNECEDOR!A1944)</f>
        <v>4</v>
      </c>
      <c r="C1944" s="3" t="str">
        <f>INDEX(PEDIDOS!$A:$D,MATCH(FORNECEDOR!A1944,PEDIDOS!$A:$A,0),2)</f>
        <v>CD ARAQUARI</v>
      </c>
      <c r="D1944" s="3" t="str">
        <f>INDEX(PEDIDOS!$A:$D,MATCH(FORNECEDOR!A1944,PEDIDOS!$A:$A,0),3)</f>
        <v>MATRIZ</v>
      </c>
      <c r="E1944" s="3" t="str">
        <f>INDEX(PEDIDOS!$A:$D,MATCH(FORNECEDOR!A1944,PEDIDOS!$A:$A,0),4)</f>
        <v>CD ARAQUARI</v>
      </c>
    </row>
    <row r="1945" spans="1:5" x14ac:dyDescent="0.25">
      <c r="A1945" s="1" t="s">
        <v>1944</v>
      </c>
      <c r="B1945" s="3">
        <f>COUNTIF(PEDIDOS!$A:$A,FORNECEDOR!A1945)</f>
        <v>1</v>
      </c>
      <c r="C1945" s="3" t="str">
        <f>INDEX(PEDIDOS!$A:$D,MATCH(FORNECEDOR!A1945,PEDIDOS!$A:$A,0),2)</f>
        <v>CD REGIS</v>
      </c>
      <c r="D1945" s="3" t="str">
        <f>INDEX(PEDIDOS!$A:$D,MATCH(FORNECEDOR!A1945,PEDIDOS!$A:$A,0),3)</f>
        <v>MATRIZ</v>
      </c>
      <c r="E1945" s="3" t="str">
        <f>INDEX(PEDIDOS!$A:$D,MATCH(FORNECEDOR!A1945,PEDIDOS!$A:$A,0),4)</f>
        <v>CD REGIS</v>
      </c>
    </row>
    <row r="1946" spans="1:5" hidden="1" x14ac:dyDescent="0.25">
      <c r="A1946" s="1" t="s">
        <v>1945</v>
      </c>
      <c r="B1946" s="3">
        <f>COUNTIF(PEDIDOS!$A:$A,FORNECEDOR!A1946)</f>
        <v>0</v>
      </c>
      <c r="C1946" s="3" t="e">
        <f>INDEX(PEDIDOS!$A:$D,MATCH(FORNECEDOR!A1946,PEDIDOS!$A:$A,0),2)</f>
        <v>#N/A</v>
      </c>
      <c r="D1946" s="3" t="e">
        <f>INDEX(PEDIDOS!$A:$D,MATCH(FORNECEDOR!A1946,PEDIDOS!$A:$A,0),3)</f>
        <v>#N/A</v>
      </c>
      <c r="E1946" s="3" t="e">
        <f>INDEX(PEDIDOS!$A:$D,MATCH(FORNECEDOR!A1946,PEDIDOS!$A:$A,0),4)</f>
        <v>#N/A</v>
      </c>
    </row>
    <row r="1947" spans="1:5" x14ac:dyDescent="0.25">
      <c r="A1947" s="1" t="s">
        <v>1946</v>
      </c>
      <c r="B1947" s="3">
        <f>COUNTIF(PEDIDOS!$A:$A,FORNECEDOR!A1947)</f>
        <v>2</v>
      </c>
      <c r="C1947" s="3" t="str">
        <f>INDEX(PEDIDOS!$A:$D,MATCH(FORNECEDOR!A1947,PEDIDOS!$A:$A,0),2)</f>
        <v>ANPPLA</v>
      </c>
      <c r="D1947" s="3" t="str">
        <f>INDEX(PEDIDOS!$A:$D,MATCH(FORNECEDOR!A1947,PEDIDOS!$A:$A,0),3)</f>
        <v>ANPPLA</v>
      </c>
      <c r="E1947" s="3" t="str">
        <f>INDEX(PEDIDOS!$A:$D,MATCH(FORNECEDOR!A1947,PEDIDOS!$A:$A,0),4)</f>
        <v>ANPPLA</v>
      </c>
    </row>
    <row r="1948" spans="1:5" hidden="1" x14ac:dyDescent="0.25">
      <c r="A1948" s="1" t="s">
        <v>1947</v>
      </c>
      <c r="B1948" s="3">
        <f>COUNTIF(PEDIDOS!$A:$A,FORNECEDOR!A1948)</f>
        <v>0</v>
      </c>
      <c r="C1948" s="3" t="e">
        <f>INDEX(PEDIDOS!$A:$D,MATCH(FORNECEDOR!A1948,PEDIDOS!$A:$A,0),2)</f>
        <v>#N/A</v>
      </c>
      <c r="D1948" s="3" t="e">
        <f>INDEX(PEDIDOS!$A:$D,MATCH(FORNECEDOR!A1948,PEDIDOS!$A:$A,0),3)</f>
        <v>#N/A</v>
      </c>
      <c r="E1948" s="3" t="e">
        <f>INDEX(PEDIDOS!$A:$D,MATCH(FORNECEDOR!A1948,PEDIDOS!$A:$A,0),4)</f>
        <v>#N/A</v>
      </c>
    </row>
    <row r="1949" spans="1:5" hidden="1" x14ac:dyDescent="0.25">
      <c r="A1949" s="1" t="s">
        <v>1948</v>
      </c>
      <c r="B1949" s="3">
        <f>COUNTIF(PEDIDOS!$A:$A,FORNECEDOR!A1949)</f>
        <v>0</v>
      </c>
      <c r="C1949" s="3" t="e">
        <f>INDEX(PEDIDOS!$A:$D,MATCH(FORNECEDOR!A1949,PEDIDOS!$A:$A,0),2)</f>
        <v>#N/A</v>
      </c>
      <c r="D1949" s="3" t="e">
        <f>INDEX(PEDIDOS!$A:$D,MATCH(FORNECEDOR!A1949,PEDIDOS!$A:$A,0),3)</f>
        <v>#N/A</v>
      </c>
      <c r="E1949" s="3" t="e">
        <f>INDEX(PEDIDOS!$A:$D,MATCH(FORNECEDOR!A1949,PEDIDOS!$A:$A,0),4)</f>
        <v>#N/A</v>
      </c>
    </row>
    <row r="1950" spans="1:5" hidden="1" x14ac:dyDescent="0.25">
      <c r="A1950" s="1" t="s">
        <v>1949</v>
      </c>
      <c r="B1950" s="3">
        <f>COUNTIF(PEDIDOS!$A:$A,FORNECEDOR!A1950)</f>
        <v>0</v>
      </c>
      <c r="C1950" s="3" t="e">
        <f>INDEX(PEDIDOS!$A:$D,MATCH(FORNECEDOR!A1950,PEDIDOS!$A:$A,0),2)</f>
        <v>#N/A</v>
      </c>
      <c r="D1950" s="3" t="e">
        <f>INDEX(PEDIDOS!$A:$D,MATCH(FORNECEDOR!A1950,PEDIDOS!$A:$A,0),3)</f>
        <v>#N/A</v>
      </c>
      <c r="E1950" s="3" t="e">
        <f>INDEX(PEDIDOS!$A:$D,MATCH(FORNECEDOR!A1950,PEDIDOS!$A:$A,0),4)</f>
        <v>#N/A</v>
      </c>
    </row>
    <row r="1951" spans="1:5" hidden="1" x14ac:dyDescent="0.25">
      <c r="A1951" s="1" t="s">
        <v>1950</v>
      </c>
      <c r="B1951" s="3">
        <f>COUNTIF(PEDIDOS!$A:$A,FORNECEDOR!A1951)</f>
        <v>0</v>
      </c>
      <c r="C1951" s="3" t="e">
        <f>INDEX(PEDIDOS!$A:$D,MATCH(FORNECEDOR!A1951,PEDIDOS!$A:$A,0),2)</f>
        <v>#N/A</v>
      </c>
      <c r="D1951" s="3" t="e">
        <f>INDEX(PEDIDOS!$A:$D,MATCH(FORNECEDOR!A1951,PEDIDOS!$A:$A,0),3)</f>
        <v>#N/A</v>
      </c>
      <c r="E1951" s="3" t="e">
        <f>INDEX(PEDIDOS!$A:$D,MATCH(FORNECEDOR!A1951,PEDIDOS!$A:$A,0),4)</f>
        <v>#N/A</v>
      </c>
    </row>
    <row r="1952" spans="1:5" hidden="1" x14ac:dyDescent="0.25">
      <c r="A1952" s="1" t="s">
        <v>1951</v>
      </c>
      <c r="B1952" s="3">
        <f>COUNTIF(PEDIDOS!$A:$A,FORNECEDOR!A1952)</f>
        <v>0</v>
      </c>
      <c r="C1952" s="3" t="e">
        <f>INDEX(PEDIDOS!$A:$D,MATCH(FORNECEDOR!A1952,PEDIDOS!$A:$A,0),2)</f>
        <v>#N/A</v>
      </c>
      <c r="D1952" s="3" t="e">
        <f>INDEX(PEDIDOS!$A:$D,MATCH(FORNECEDOR!A1952,PEDIDOS!$A:$A,0),3)</f>
        <v>#N/A</v>
      </c>
      <c r="E1952" s="3" t="e">
        <f>INDEX(PEDIDOS!$A:$D,MATCH(FORNECEDOR!A1952,PEDIDOS!$A:$A,0),4)</f>
        <v>#N/A</v>
      </c>
    </row>
    <row r="1953" spans="1:5" x14ac:dyDescent="0.25">
      <c r="A1953" s="1" t="s">
        <v>1952</v>
      </c>
      <c r="B1953" s="3">
        <f>COUNTIF(PEDIDOS!$A:$A,FORNECEDOR!A1953)</f>
        <v>1</v>
      </c>
      <c r="C1953" s="3" t="str">
        <f>INDEX(PEDIDOS!$A:$D,MATCH(FORNECEDOR!A1953,PEDIDOS!$A:$A,0),2)</f>
        <v>CD REGIS</v>
      </c>
      <c r="D1953" s="3" t="str">
        <f>INDEX(PEDIDOS!$A:$D,MATCH(FORNECEDOR!A1953,PEDIDOS!$A:$A,0),3)</f>
        <v>MATRIZ</v>
      </c>
      <c r="E1953" s="3" t="str">
        <f>INDEX(PEDIDOS!$A:$D,MATCH(FORNECEDOR!A1953,PEDIDOS!$A:$A,0),4)</f>
        <v>CD REGIS</v>
      </c>
    </row>
    <row r="1954" spans="1:5" hidden="1" x14ac:dyDescent="0.25">
      <c r="A1954" s="1" t="s">
        <v>1953</v>
      </c>
      <c r="B1954" s="3">
        <f>COUNTIF(PEDIDOS!$A:$A,FORNECEDOR!A1954)</f>
        <v>0</v>
      </c>
      <c r="C1954" s="3" t="e">
        <f>INDEX(PEDIDOS!$A:$D,MATCH(FORNECEDOR!A1954,PEDIDOS!$A:$A,0),2)</f>
        <v>#N/A</v>
      </c>
      <c r="D1954" s="3" t="e">
        <f>INDEX(PEDIDOS!$A:$D,MATCH(FORNECEDOR!A1954,PEDIDOS!$A:$A,0),3)</f>
        <v>#N/A</v>
      </c>
      <c r="E1954" s="3" t="e">
        <f>INDEX(PEDIDOS!$A:$D,MATCH(FORNECEDOR!A1954,PEDIDOS!$A:$A,0),4)</f>
        <v>#N/A</v>
      </c>
    </row>
    <row r="1955" spans="1:5" hidden="1" x14ac:dyDescent="0.25">
      <c r="A1955" s="1" t="s">
        <v>1954</v>
      </c>
      <c r="B1955" s="3">
        <f>COUNTIF(PEDIDOS!$A:$A,FORNECEDOR!A1955)</f>
        <v>0</v>
      </c>
      <c r="C1955" s="3" t="e">
        <f>INDEX(PEDIDOS!$A:$D,MATCH(FORNECEDOR!A1955,PEDIDOS!$A:$A,0),2)</f>
        <v>#N/A</v>
      </c>
      <c r="D1955" s="3" t="e">
        <f>INDEX(PEDIDOS!$A:$D,MATCH(FORNECEDOR!A1955,PEDIDOS!$A:$A,0),3)</f>
        <v>#N/A</v>
      </c>
      <c r="E1955" s="3" t="e">
        <f>INDEX(PEDIDOS!$A:$D,MATCH(FORNECEDOR!A1955,PEDIDOS!$A:$A,0),4)</f>
        <v>#N/A</v>
      </c>
    </row>
    <row r="1956" spans="1:5" x14ac:dyDescent="0.25">
      <c r="A1956" s="1" t="s">
        <v>1955</v>
      </c>
      <c r="B1956" s="3">
        <f>COUNTIF(PEDIDOS!$A:$A,FORNECEDOR!A1956)</f>
        <v>1</v>
      </c>
      <c r="C1956" s="3" t="str">
        <f>INDEX(PEDIDOS!$A:$D,MATCH(FORNECEDOR!A1956,PEDIDOS!$A:$A,0),2)</f>
        <v>SP - PARI</v>
      </c>
      <c r="D1956" s="3" t="str">
        <f>INDEX(PEDIDOS!$A:$D,MATCH(FORNECEDOR!A1956,PEDIDOS!$A:$A,0),3)</f>
        <v>SP - PARI</v>
      </c>
      <c r="E1956" s="3" t="str">
        <f>INDEX(PEDIDOS!$A:$D,MATCH(FORNECEDOR!A1956,PEDIDOS!$A:$A,0),4)</f>
        <v>SP - PARI</v>
      </c>
    </row>
    <row r="1957" spans="1:5" hidden="1" x14ac:dyDescent="0.25">
      <c r="A1957" s="1" t="s">
        <v>1956</v>
      </c>
      <c r="B1957" s="3">
        <f>COUNTIF(PEDIDOS!$A:$A,FORNECEDOR!A1957)</f>
        <v>0</v>
      </c>
      <c r="C1957" s="3" t="e">
        <f>INDEX(PEDIDOS!$A:$D,MATCH(FORNECEDOR!A1957,PEDIDOS!$A:$A,0),2)</f>
        <v>#N/A</v>
      </c>
      <c r="D1957" s="3" t="e">
        <f>INDEX(PEDIDOS!$A:$D,MATCH(FORNECEDOR!A1957,PEDIDOS!$A:$A,0),3)</f>
        <v>#N/A</v>
      </c>
      <c r="E1957" s="3" t="e">
        <f>INDEX(PEDIDOS!$A:$D,MATCH(FORNECEDOR!A1957,PEDIDOS!$A:$A,0),4)</f>
        <v>#N/A</v>
      </c>
    </row>
    <row r="1958" spans="1:5" hidden="1" x14ac:dyDescent="0.25">
      <c r="A1958" s="1" t="s">
        <v>1957</v>
      </c>
      <c r="B1958" s="3">
        <f>COUNTIF(PEDIDOS!$A:$A,FORNECEDOR!A1958)</f>
        <v>0</v>
      </c>
      <c r="C1958" s="3" t="e">
        <f>INDEX(PEDIDOS!$A:$D,MATCH(FORNECEDOR!A1958,PEDIDOS!$A:$A,0),2)</f>
        <v>#N/A</v>
      </c>
      <c r="D1958" s="3" t="e">
        <f>INDEX(PEDIDOS!$A:$D,MATCH(FORNECEDOR!A1958,PEDIDOS!$A:$A,0),3)</f>
        <v>#N/A</v>
      </c>
      <c r="E1958" s="3" t="e">
        <f>INDEX(PEDIDOS!$A:$D,MATCH(FORNECEDOR!A1958,PEDIDOS!$A:$A,0),4)</f>
        <v>#N/A</v>
      </c>
    </row>
    <row r="1959" spans="1:5" hidden="1" x14ac:dyDescent="0.25">
      <c r="A1959" s="1" t="s">
        <v>1958</v>
      </c>
      <c r="B1959" s="3">
        <f>COUNTIF(PEDIDOS!$A:$A,FORNECEDOR!A1959)</f>
        <v>0</v>
      </c>
      <c r="C1959" s="3" t="e">
        <f>INDEX(PEDIDOS!$A:$D,MATCH(FORNECEDOR!A1959,PEDIDOS!$A:$A,0),2)</f>
        <v>#N/A</v>
      </c>
      <c r="D1959" s="3" t="e">
        <f>INDEX(PEDIDOS!$A:$D,MATCH(FORNECEDOR!A1959,PEDIDOS!$A:$A,0),3)</f>
        <v>#N/A</v>
      </c>
      <c r="E1959" s="3" t="e">
        <f>INDEX(PEDIDOS!$A:$D,MATCH(FORNECEDOR!A1959,PEDIDOS!$A:$A,0),4)</f>
        <v>#N/A</v>
      </c>
    </row>
    <row r="1960" spans="1:5" hidden="1" x14ac:dyDescent="0.25">
      <c r="A1960" s="1" t="s">
        <v>1959</v>
      </c>
      <c r="B1960" s="3">
        <f>COUNTIF(PEDIDOS!$A:$A,FORNECEDOR!A1960)</f>
        <v>0</v>
      </c>
      <c r="C1960" s="3" t="e">
        <f>INDEX(PEDIDOS!$A:$D,MATCH(FORNECEDOR!A1960,PEDIDOS!$A:$A,0),2)</f>
        <v>#N/A</v>
      </c>
      <c r="D1960" s="3" t="e">
        <f>INDEX(PEDIDOS!$A:$D,MATCH(FORNECEDOR!A1960,PEDIDOS!$A:$A,0),3)</f>
        <v>#N/A</v>
      </c>
      <c r="E1960" s="3" t="e">
        <f>INDEX(PEDIDOS!$A:$D,MATCH(FORNECEDOR!A1960,PEDIDOS!$A:$A,0),4)</f>
        <v>#N/A</v>
      </c>
    </row>
    <row r="1961" spans="1:5" hidden="1" x14ac:dyDescent="0.25">
      <c r="A1961" s="1" t="s">
        <v>1960</v>
      </c>
      <c r="B1961" s="3">
        <f>COUNTIF(PEDIDOS!$A:$A,FORNECEDOR!A1961)</f>
        <v>0</v>
      </c>
      <c r="C1961" s="3" t="e">
        <f>INDEX(PEDIDOS!$A:$D,MATCH(FORNECEDOR!A1961,PEDIDOS!$A:$A,0),2)</f>
        <v>#N/A</v>
      </c>
      <c r="D1961" s="3" t="e">
        <f>INDEX(PEDIDOS!$A:$D,MATCH(FORNECEDOR!A1961,PEDIDOS!$A:$A,0),3)</f>
        <v>#N/A</v>
      </c>
      <c r="E1961" s="3" t="e">
        <f>INDEX(PEDIDOS!$A:$D,MATCH(FORNECEDOR!A1961,PEDIDOS!$A:$A,0),4)</f>
        <v>#N/A</v>
      </c>
    </row>
    <row r="1962" spans="1:5" hidden="1" x14ac:dyDescent="0.25">
      <c r="A1962" s="1" t="s">
        <v>1961</v>
      </c>
      <c r="B1962" s="3">
        <f>COUNTIF(PEDIDOS!$A:$A,FORNECEDOR!A1962)</f>
        <v>0</v>
      </c>
      <c r="C1962" s="3" t="e">
        <f>INDEX(PEDIDOS!$A:$D,MATCH(FORNECEDOR!A1962,PEDIDOS!$A:$A,0),2)</f>
        <v>#N/A</v>
      </c>
      <c r="D1962" s="3" t="e">
        <f>INDEX(PEDIDOS!$A:$D,MATCH(FORNECEDOR!A1962,PEDIDOS!$A:$A,0),3)</f>
        <v>#N/A</v>
      </c>
      <c r="E1962" s="3" t="e">
        <f>INDEX(PEDIDOS!$A:$D,MATCH(FORNECEDOR!A1962,PEDIDOS!$A:$A,0),4)</f>
        <v>#N/A</v>
      </c>
    </row>
    <row r="1963" spans="1:5" hidden="1" x14ac:dyDescent="0.25">
      <c r="A1963" s="1" t="s">
        <v>1962</v>
      </c>
      <c r="B1963" s="3">
        <f>COUNTIF(PEDIDOS!$A:$A,FORNECEDOR!A1963)</f>
        <v>0</v>
      </c>
      <c r="C1963" s="3" t="e">
        <f>INDEX(PEDIDOS!$A:$D,MATCH(FORNECEDOR!A1963,PEDIDOS!$A:$A,0),2)</f>
        <v>#N/A</v>
      </c>
      <c r="D1963" s="3" t="e">
        <f>INDEX(PEDIDOS!$A:$D,MATCH(FORNECEDOR!A1963,PEDIDOS!$A:$A,0),3)</f>
        <v>#N/A</v>
      </c>
      <c r="E1963" s="3" t="e">
        <f>INDEX(PEDIDOS!$A:$D,MATCH(FORNECEDOR!A1963,PEDIDOS!$A:$A,0),4)</f>
        <v>#N/A</v>
      </c>
    </row>
    <row r="1964" spans="1:5" hidden="1" x14ac:dyDescent="0.25">
      <c r="A1964" s="1" t="s">
        <v>1963</v>
      </c>
      <c r="B1964" s="3">
        <f>COUNTIF(PEDIDOS!$A:$A,FORNECEDOR!A1964)</f>
        <v>0</v>
      </c>
      <c r="C1964" s="3" t="e">
        <f>INDEX(PEDIDOS!$A:$D,MATCH(FORNECEDOR!A1964,PEDIDOS!$A:$A,0),2)</f>
        <v>#N/A</v>
      </c>
      <c r="D1964" s="3" t="e">
        <f>INDEX(PEDIDOS!$A:$D,MATCH(FORNECEDOR!A1964,PEDIDOS!$A:$A,0),3)</f>
        <v>#N/A</v>
      </c>
      <c r="E1964" s="3" t="e">
        <f>INDEX(PEDIDOS!$A:$D,MATCH(FORNECEDOR!A1964,PEDIDOS!$A:$A,0),4)</f>
        <v>#N/A</v>
      </c>
    </row>
    <row r="1965" spans="1:5" x14ac:dyDescent="0.25">
      <c r="A1965" s="1" t="s">
        <v>1964</v>
      </c>
      <c r="B1965" s="3">
        <f>COUNTIF(PEDIDOS!$A:$A,FORNECEDOR!A1965)</f>
        <v>1</v>
      </c>
      <c r="C1965" s="3" t="str">
        <f>INDEX(PEDIDOS!$A:$D,MATCH(FORNECEDOR!A1965,PEDIDOS!$A:$A,0),2)</f>
        <v>CD REGIS</v>
      </c>
      <c r="D1965" s="3" t="str">
        <f>INDEX(PEDIDOS!$A:$D,MATCH(FORNECEDOR!A1965,PEDIDOS!$A:$A,0),3)</f>
        <v>CD REGIS</v>
      </c>
      <c r="E1965" s="3" t="str">
        <f>INDEX(PEDIDOS!$A:$D,MATCH(FORNECEDOR!A1965,PEDIDOS!$A:$A,0),4)</f>
        <v>CD REGIS</v>
      </c>
    </row>
    <row r="1966" spans="1:5" x14ac:dyDescent="0.25">
      <c r="A1966" s="1" t="s">
        <v>1965</v>
      </c>
      <c r="B1966" s="3">
        <f>COUNTIF(PEDIDOS!$A:$A,FORNECEDOR!A1966)</f>
        <v>1</v>
      </c>
      <c r="C1966" s="3" t="str">
        <f>INDEX(PEDIDOS!$A:$D,MATCH(FORNECEDOR!A1966,PEDIDOS!$A:$A,0),2)</f>
        <v>CD REGIS</v>
      </c>
      <c r="D1966" s="3" t="str">
        <f>INDEX(PEDIDOS!$A:$D,MATCH(FORNECEDOR!A1966,PEDIDOS!$A:$A,0),3)</f>
        <v>CD REGIS</v>
      </c>
      <c r="E1966" s="3" t="str">
        <f>INDEX(PEDIDOS!$A:$D,MATCH(FORNECEDOR!A1966,PEDIDOS!$A:$A,0),4)</f>
        <v>CD REGIS</v>
      </c>
    </row>
    <row r="1967" spans="1:5" x14ac:dyDescent="0.25">
      <c r="A1967" s="1" t="s">
        <v>1966</v>
      </c>
      <c r="B1967" s="3">
        <f>COUNTIF(PEDIDOS!$A:$A,FORNECEDOR!A1967)</f>
        <v>1</v>
      </c>
      <c r="C1967" s="3" t="str">
        <f>INDEX(PEDIDOS!$A:$D,MATCH(FORNECEDOR!A1967,PEDIDOS!$A:$A,0),2)</f>
        <v>CD REGIS</v>
      </c>
      <c r="D1967" s="3" t="str">
        <f>INDEX(PEDIDOS!$A:$D,MATCH(FORNECEDOR!A1967,PEDIDOS!$A:$A,0),3)</f>
        <v>CD REGIS</v>
      </c>
      <c r="E1967" s="3" t="str">
        <f>INDEX(PEDIDOS!$A:$D,MATCH(FORNECEDOR!A1967,PEDIDOS!$A:$A,0),4)</f>
        <v>CD REGIS</v>
      </c>
    </row>
    <row r="1968" spans="1:5" hidden="1" x14ac:dyDescent="0.25">
      <c r="A1968" s="1" t="s">
        <v>1967</v>
      </c>
      <c r="B1968" s="3">
        <f>COUNTIF(PEDIDOS!$A:$A,FORNECEDOR!A1968)</f>
        <v>0</v>
      </c>
      <c r="C1968" s="3" t="e">
        <f>INDEX(PEDIDOS!$A:$D,MATCH(FORNECEDOR!A1968,PEDIDOS!$A:$A,0),2)</f>
        <v>#N/A</v>
      </c>
      <c r="D1968" s="3" t="e">
        <f>INDEX(PEDIDOS!$A:$D,MATCH(FORNECEDOR!A1968,PEDIDOS!$A:$A,0),3)</f>
        <v>#N/A</v>
      </c>
      <c r="E1968" s="3" t="e">
        <f>INDEX(PEDIDOS!$A:$D,MATCH(FORNECEDOR!A1968,PEDIDOS!$A:$A,0),4)</f>
        <v>#N/A</v>
      </c>
    </row>
    <row r="1969" spans="1:5" x14ac:dyDescent="0.25">
      <c r="A1969" s="1" t="s">
        <v>1968</v>
      </c>
      <c r="B1969" s="3">
        <f>COUNTIF(PEDIDOS!$A:$A,FORNECEDOR!A1969)</f>
        <v>1</v>
      </c>
      <c r="C1969" s="3" t="str">
        <f>INDEX(PEDIDOS!$A:$D,MATCH(FORNECEDOR!A1969,PEDIDOS!$A:$A,0),2)</f>
        <v>CD REGIS</v>
      </c>
      <c r="D1969" s="3" t="str">
        <f>INDEX(PEDIDOS!$A:$D,MATCH(FORNECEDOR!A1969,PEDIDOS!$A:$A,0),3)</f>
        <v>CD REGIS</v>
      </c>
      <c r="E1969" s="3" t="str">
        <f>INDEX(PEDIDOS!$A:$D,MATCH(FORNECEDOR!A1969,PEDIDOS!$A:$A,0),4)</f>
        <v>CD REGIS</v>
      </c>
    </row>
    <row r="1970" spans="1:5" x14ac:dyDescent="0.25">
      <c r="A1970" s="1" t="s">
        <v>1969</v>
      </c>
      <c r="B1970" s="3">
        <f>COUNTIF(PEDIDOS!$A:$A,FORNECEDOR!A1970)</f>
        <v>1</v>
      </c>
      <c r="C1970" s="3" t="str">
        <f>INDEX(PEDIDOS!$A:$D,MATCH(FORNECEDOR!A1970,PEDIDOS!$A:$A,0),2)</f>
        <v>CD REGIS</v>
      </c>
      <c r="D1970" s="3" t="str">
        <f>INDEX(PEDIDOS!$A:$D,MATCH(FORNECEDOR!A1970,PEDIDOS!$A:$A,0),3)</f>
        <v>CD REGIS</v>
      </c>
      <c r="E1970" s="3" t="str">
        <f>INDEX(PEDIDOS!$A:$D,MATCH(FORNECEDOR!A1970,PEDIDOS!$A:$A,0),4)</f>
        <v>CD REGIS</v>
      </c>
    </row>
    <row r="1971" spans="1:5" x14ac:dyDescent="0.25">
      <c r="A1971" s="1" t="s">
        <v>1970</v>
      </c>
      <c r="B1971" s="3">
        <f>COUNTIF(PEDIDOS!$A:$A,FORNECEDOR!A1971)</f>
        <v>1</v>
      </c>
      <c r="C1971" s="3" t="str">
        <f>INDEX(PEDIDOS!$A:$D,MATCH(FORNECEDOR!A1971,PEDIDOS!$A:$A,0),2)</f>
        <v>CD REGIS</v>
      </c>
      <c r="D1971" s="3" t="str">
        <f>INDEX(PEDIDOS!$A:$D,MATCH(FORNECEDOR!A1971,PEDIDOS!$A:$A,0),3)</f>
        <v>TATUAPE</v>
      </c>
      <c r="E1971" s="3" t="str">
        <f>INDEX(PEDIDOS!$A:$D,MATCH(FORNECEDOR!A1971,PEDIDOS!$A:$A,0),4)</f>
        <v>CD REGIS</v>
      </c>
    </row>
    <row r="1972" spans="1:5" hidden="1" x14ac:dyDescent="0.25">
      <c r="A1972" s="1" t="s">
        <v>1971</v>
      </c>
      <c r="B1972" s="3">
        <f>COUNTIF(PEDIDOS!$A:$A,FORNECEDOR!A1972)</f>
        <v>0</v>
      </c>
      <c r="C1972" s="3" t="e">
        <f>INDEX(PEDIDOS!$A:$D,MATCH(FORNECEDOR!A1972,PEDIDOS!$A:$A,0),2)</f>
        <v>#N/A</v>
      </c>
      <c r="D1972" s="3" t="e">
        <f>INDEX(PEDIDOS!$A:$D,MATCH(FORNECEDOR!A1972,PEDIDOS!$A:$A,0),3)</f>
        <v>#N/A</v>
      </c>
      <c r="E1972" s="3" t="e">
        <f>INDEX(PEDIDOS!$A:$D,MATCH(FORNECEDOR!A1972,PEDIDOS!$A:$A,0),4)</f>
        <v>#N/A</v>
      </c>
    </row>
    <row r="1973" spans="1:5" hidden="1" x14ac:dyDescent="0.25">
      <c r="A1973" s="1" t="s">
        <v>1972</v>
      </c>
      <c r="B1973" s="3">
        <f>COUNTIF(PEDIDOS!$A:$A,FORNECEDOR!A1973)</f>
        <v>0</v>
      </c>
      <c r="C1973" s="3" t="e">
        <f>INDEX(PEDIDOS!$A:$D,MATCH(FORNECEDOR!A1973,PEDIDOS!$A:$A,0),2)</f>
        <v>#N/A</v>
      </c>
      <c r="D1973" s="3" t="e">
        <f>INDEX(PEDIDOS!$A:$D,MATCH(FORNECEDOR!A1973,PEDIDOS!$A:$A,0),3)</f>
        <v>#N/A</v>
      </c>
      <c r="E1973" s="3" t="e">
        <f>INDEX(PEDIDOS!$A:$D,MATCH(FORNECEDOR!A1973,PEDIDOS!$A:$A,0),4)</f>
        <v>#N/A</v>
      </c>
    </row>
    <row r="1974" spans="1:5" hidden="1" x14ac:dyDescent="0.25">
      <c r="A1974" s="1" t="s">
        <v>1973</v>
      </c>
      <c r="B1974" s="3">
        <f>COUNTIF(PEDIDOS!$A:$A,FORNECEDOR!A1974)</f>
        <v>0</v>
      </c>
      <c r="C1974" s="3" t="e">
        <f>INDEX(PEDIDOS!$A:$D,MATCH(FORNECEDOR!A1974,PEDIDOS!$A:$A,0),2)</f>
        <v>#N/A</v>
      </c>
      <c r="D1974" s="3" t="e">
        <f>INDEX(PEDIDOS!$A:$D,MATCH(FORNECEDOR!A1974,PEDIDOS!$A:$A,0),3)</f>
        <v>#N/A</v>
      </c>
      <c r="E1974" s="3" t="e">
        <f>INDEX(PEDIDOS!$A:$D,MATCH(FORNECEDOR!A1974,PEDIDOS!$A:$A,0),4)</f>
        <v>#N/A</v>
      </c>
    </row>
    <row r="1975" spans="1:5" hidden="1" x14ac:dyDescent="0.25">
      <c r="A1975" s="1" t="s">
        <v>1974</v>
      </c>
      <c r="B1975" s="3">
        <f>COUNTIF(PEDIDOS!$A:$A,FORNECEDOR!A1975)</f>
        <v>0</v>
      </c>
      <c r="C1975" s="3" t="e">
        <f>INDEX(PEDIDOS!$A:$D,MATCH(FORNECEDOR!A1975,PEDIDOS!$A:$A,0),2)</f>
        <v>#N/A</v>
      </c>
      <c r="D1975" s="3" t="e">
        <f>INDEX(PEDIDOS!$A:$D,MATCH(FORNECEDOR!A1975,PEDIDOS!$A:$A,0),3)</f>
        <v>#N/A</v>
      </c>
      <c r="E1975" s="3" t="e">
        <f>INDEX(PEDIDOS!$A:$D,MATCH(FORNECEDOR!A1975,PEDIDOS!$A:$A,0),4)</f>
        <v>#N/A</v>
      </c>
    </row>
    <row r="1976" spans="1:5" x14ac:dyDescent="0.25">
      <c r="A1976" s="1" t="s">
        <v>1975</v>
      </c>
      <c r="B1976" s="3">
        <f>COUNTIF(PEDIDOS!$A:$A,FORNECEDOR!A1976)</f>
        <v>1</v>
      </c>
      <c r="C1976" s="3" t="str">
        <f>INDEX(PEDIDOS!$A:$D,MATCH(FORNECEDOR!A1976,PEDIDOS!$A:$A,0),2)</f>
        <v>CD REGIS</v>
      </c>
      <c r="D1976" s="3" t="str">
        <f>INDEX(PEDIDOS!$A:$D,MATCH(FORNECEDOR!A1976,PEDIDOS!$A:$A,0),3)</f>
        <v>CD REGIS</v>
      </c>
      <c r="E1976" s="3" t="str">
        <f>INDEX(PEDIDOS!$A:$D,MATCH(FORNECEDOR!A1976,PEDIDOS!$A:$A,0),4)</f>
        <v>CD REGIS</v>
      </c>
    </row>
    <row r="1977" spans="1:5" hidden="1" x14ac:dyDescent="0.25">
      <c r="A1977" s="1" t="s">
        <v>1976</v>
      </c>
      <c r="B1977" s="3">
        <f>COUNTIF(PEDIDOS!$A:$A,FORNECEDOR!A1977)</f>
        <v>0</v>
      </c>
      <c r="C1977" s="3" t="e">
        <f>INDEX(PEDIDOS!$A:$D,MATCH(FORNECEDOR!A1977,PEDIDOS!$A:$A,0),2)</f>
        <v>#N/A</v>
      </c>
      <c r="D1977" s="3" t="e">
        <f>INDEX(PEDIDOS!$A:$D,MATCH(FORNECEDOR!A1977,PEDIDOS!$A:$A,0),3)</f>
        <v>#N/A</v>
      </c>
      <c r="E1977" s="3" t="e">
        <f>INDEX(PEDIDOS!$A:$D,MATCH(FORNECEDOR!A1977,PEDIDOS!$A:$A,0),4)</f>
        <v>#N/A</v>
      </c>
    </row>
    <row r="1978" spans="1:5" hidden="1" x14ac:dyDescent="0.25">
      <c r="A1978" s="1" t="s">
        <v>1977</v>
      </c>
      <c r="B1978" s="3">
        <f>COUNTIF(PEDIDOS!$A:$A,FORNECEDOR!A1978)</f>
        <v>0</v>
      </c>
      <c r="C1978" s="3" t="e">
        <f>INDEX(PEDIDOS!$A:$D,MATCH(FORNECEDOR!A1978,PEDIDOS!$A:$A,0),2)</f>
        <v>#N/A</v>
      </c>
      <c r="D1978" s="3" t="e">
        <f>INDEX(PEDIDOS!$A:$D,MATCH(FORNECEDOR!A1978,PEDIDOS!$A:$A,0),3)</f>
        <v>#N/A</v>
      </c>
      <c r="E1978" s="3" t="e">
        <f>INDEX(PEDIDOS!$A:$D,MATCH(FORNECEDOR!A1978,PEDIDOS!$A:$A,0),4)</f>
        <v>#N/A</v>
      </c>
    </row>
    <row r="1979" spans="1:5" hidden="1" x14ac:dyDescent="0.25">
      <c r="A1979" s="1" t="s">
        <v>1978</v>
      </c>
      <c r="B1979" s="3">
        <f>COUNTIF(PEDIDOS!$A:$A,FORNECEDOR!A1979)</f>
        <v>0</v>
      </c>
      <c r="C1979" s="3" t="e">
        <f>INDEX(PEDIDOS!$A:$D,MATCH(FORNECEDOR!A1979,PEDIDOS!$A:$A,0),2)</f>
        <v>#N/A</v>
      </c>
      <c r="D1979" s="3" t="e">
        <f>INDEX(PEDIDOS!$A:$D,MATCH(FORNECEDOR!A1979,PEDIDOS!$A:$A,0),3)</f>
        <v>#N/A</v>
      </c>
      <c r="E1979" s="3" t="e">
        <f>INDEX(PEDIDOS!$A:$D,MATCH(FORNECEDOR!A1979,PEDIDOS!$A:$A,0),4)</f>
        <v>#N/A</v>
      </c>
    </row>
    <row r="1980" spans="1:5" hidden="1" x14ac:dyDescent="0.25">
      <c r="A1980" s="1" t="s">
        <v>1979</v>
      </c>
      <c r="B1980" s="3">
        <f>COUNTIF(PEDIDOS!$A:$A,FORNECEDOR!A1980)</f>
        <v>0</v>
      </c>
      <c r="C1980" s="3" t="e">
        <f>INDEX(PEDIDOS!$A:$D,MATCH(FORNECEDOR!A1980,PEDIDOS!$A:$A,0),2)</f>
        <v>#N/A</v>
      </c>
      <c r="D1980" s="3" t="e">
        <f>INDEX(PEDIDOS!$A:$D,MATCH(FORNECEDOR!A1980,PEDIDOS!$A:$A,0),3)</f>
        <v>#N/A</v>
      </c>
      <c r="E1980" s="3" t="e">
        <f>INDEX(PEDIDOS!$A:$D,MATCH(FORNECEDOR!A1980,PEDIDOS!$A:$A,0),4)</f>
        <v>#N/A</v>
      </c>
    </row>
    <row r="1981" spans="1:5" hidden="1" x14ac:dyDescent="0.25">
      <c r="A1981" s="1" t="s">
        <v>1980</v>
      </c>
      <c r="B1981" s="3">
        <f>COUNTIF(PEDIDOS!$A:$A,FORNECEDOR!A1981)</f>
        <v>0</v>
      </c>
      <c r="C1981" s="3" t="e">
        <f>INDEX(PEDIDOS!$A:$D,MATCH(FORNECEDOR!A1981,PEDIDOS!$A:$A,0),2)</f>
        <v>#N/A</v>
      </c>
      <c r="D1981" s="3" t="e">
        <f>INDEX(PEDIDOS!$A:$D,MATCH(FORNECEDOR!A1981,PEDIDOS!$A:$A,0),3)</f>
        <v>#N/A</v>
      </c>
      <c r="E1981" s="3" t="e">
        <f>INDEX(PEDIDOS!$A:$D,MATCH(FORNECEDOR!A1981,PEDIDOS!$A:$A,0),4)</f>
        <v>#N/A</v>
      </c>
    </row>
    <row r="1982" spans="1:5" x14ac:dyDescent="0.25">
      <c r="A1982" s="1" t="s">
        <v>1981</v>
      </c>
      <c r="B1982" s="3">
        <f>COUNTIF(PEDIDOS!$A:$A,FORNECEDOR!A1982)</f>
        <v>1</v>
      </c>
      <c r="C1982" s="3" t="str">
        <f>INDEX(PEDIDOS!$A:$D,MATCH(FORNECEDOR!A1982,PEDIDOS!$A:$A,0),2)</f>
        <v>CD REGIS</v>
      </c>
      <c r="D1982" s="3" t="str">
        <f>INDEX(PEDIDOS!$A:$D,MATCH(FORNECEDOR!A1982,PEDIDOS!$A:$A,0),3)</f>
        <v>MATRIZ</v>
      </c>
      <c r="E1982" s="3" t="str">
        <f>INDEX(PEDIDOS!$A:$D,MATCH(FORNECEDOR!A1982,PEDIDOS!$A:$A,0),4)</f>
        <v>CD REGIS</v>
      </c>
    </row>
    <row r="1983" spans="1:5" x14ac:dyDescent="0.25">
      <c r="A1983" s="1" t="s">
        <v>1982</v>
      </c>
      <c r="B1983" s="3">
        <f>COUNTIF(PEDIDOS!$A:$A,FORNECEDOR!A1983)</f>
        <v>1</v>
      </c>
      <c r="C1983" s="3" t="str">
        <f>INDEX(PEDIDOS!$A:$D,MATCH(FORNECEDOR!A1983,PEDIDOS!$A:$A,0),2)</f>
        <v>CD REGIS</v>
      </c>
      <c r="D1983" s="3" t="str">
        <f>INDEX(PEDIDOS!$A:$D,MATCH(FORNECEDOR!A1983,PEDIDOS!$A:$A,0),3)</f>
        <v>CD REGIS</v>
      </c>
      <c r="E1983" s="3" t="str">
        <f>INDEX(PEDIDOS!$A:$D,MATCH(FORNECEDOR!A1983,PEDIDOS!$A:$A,0),4)</f>
        <v>CD REGIS</v>
      </c>
    </row>
    <row r="1984" spans="1:5" hidden="1" x14ac:dyDescent="0.25">
      <c r="A1984" s="1" t="s">
        <v>1983</v>
      </c>
      <c r="B1984" s="3">
        <f>COUNTIF(PEDIDOS!$A:$A,FORNECEDOR!A1984)</f>
        <v>0</v>
      </c>
      <c r="C1984" s="3" t="e">
        <f>INDEX(PEDIDOS!$A:$D,MATCH(FORNECEDOR!A1984,PEDIDOS!$A:$A,0),2)</f>
        <v>#N/A</v>
      </c>
      <c r="D1984" s="3" t="e">
        <f>INDEX(PEDIDOS!$A:$D,MATCH(FORNECEDOR!A1984,PEDIDOS!$A:$A,0),3)</f>
        <v>#N/A</v>
      </c>
      <c r="E1984" s="3" t="e">
        <f>INDEX(PEDIDOS!$A:$D,MATCH(FORNECEDOR!A1984,PEDIDOS!$A:$A,0),4)</f>
        <v>#N/A</v>
      </c>
    </row>
    <row r="1985" spans="1:5" x14ac:dyDescent="0.25">
      <c r="A1985" s="1" t="s">
        <v>1984</v>
      </c>
      <c r="B1985" s="3">
        <f>COUNTIF(PEDIDOS!$A:$A,FORNECEDOR!A1985)</f>
        <v>1</v>
      </c>
      <c r="C1985" s="3" t="str">
        <f>INDEX(PEDIDOS!$A:$D,MATCH(FORNECEDOR!A1985,PEDIDOS!$A:$A,0),2)</f>
        <v>MATRIZ</v>
      </c>
      <c r="D1985" s="3" t="str">
        <f>INDEX(PEDIDOS!$A:$D,MATCH(FORNECEDOR!A1985,PEDIDOS!$A:$A,0),3)</f>
        <v>MATRIZ</v>
      </c>
      <c r="E1985" s="3" t="str">
        <f>INDEX(PEDIDOS!$A:$D,MATCH(FORNECEDOR!A1985,PEDIDOS!$A:$A,0),4)</f>
        <v>MATRIZ</v>
      </c>
    </row>
    <row r="1986" spans="1:5" hidden="1" x14ac:dyDescent="0.25">
      <c r="A1986" s="1" t="s">
        <v>1985</v>
      </c>
      <c r="B1986" s="3">
        <f>COUNTIF(PEDIDOS!$A:$A,FORNECEDOR!A1986)</f>
        <v>0</v>
      </c>
      <c r="C1986" s="3" t="e">
        <f>INDEX(PEDIDOS!$A:$D,MATCH(FORNECEDOR!A1986,PEDIDOS!$A:$A,0),2)</f>
        <v>#N/A</v>
      </c>
      <c r="D1986" s="3" t="e">
        <f>INDEX(PEDIDOS!$A:$D,MATCH(FORNECEDOR!A1986,PEDIDOS!$A:$A,0),3)</f>
        <v>#N/A</v>
      </c>
      <c r="E1986" s="3" t="e">
        <f>INDEX(PEDIDOS!$A:$D,MATCH(FORNECEDOR!A1986,PEDIDOS!$A:$A,0),4)</f>
        <v>#N/A</v>
      </c>
    </row>
    <row r="1987" spans="1:5" hidden="1" x14ac:dyDescent="0.25">
      <c r="A1987" s="1" t="s">
        <v>1986</v>
      </c>
      <c r="B1987" s="3">
        <f>COUNTIF(PEDIDOS!$A:$A,FORNECEDOR!A1987)</f>
        <v>0</v>
      </c>
      <c r="C1987" s="3" t="e">
        <f>INDEX(PEDIDOS!$A:$D,MATCH(FORNECEDOR!A1987,PEDIDOS!$A:$A,0),2)</f>
        <v>#N/A</v>
      </c>
      <c r="D1987" s="3" t="e">
        <f>INDEX(PEDIDOS!$A:$D,MATCH(FORNECEDOR!A1987,PEDIDOS!$A:$A,0),3)</f>
        <v>#N/A</v>
      </c>
      <c r="E1987" s="3" t="e">
        <f>INDEX(PEDIDOS!$A:$D,MATCH(FORNECEDOR!A1987,PEDIDOS!$A:$A,0),4)</f>
        <v>#N/A</v>
      </c>
    </row>
    <row r="1988" spans="1:5" x14ac:dyDescent="0.25">
      <c r="A1988" s="1" t="s">
        <v>1987</v>
      </c>
      <c r="B1988" s="3">
        <f>COUNTIF(PEDIDOS!$A:$A,FORNECEDOR!A1988)</f>
        <v>1</v>
      </c>
      <c r="C1988" s="3" t="str">
        <f>INDEX(PEDIDOS!$A:$D,MATCH(FORNECEDOR!A1988,PEDIDOS!$A:$A,0),2)</f>
        <v>CD REGIS</v>
      </c>
      <c r="D1988" s="3" t="str">
        <f>INDEX(PEDIDOS!$A:$D,MATCH(FORNECEDOR!A1988,PEDIDOS!$A:$A,0),3)</f>
        <v>CD REGIS</v>
      </c>
      <c r="E1988" s="3" t="str">
        <f>INDEX(PEDIDOS!$A:$D,MATCH(FORNECEDOR!A1988,PEDIDOS!$A:$A,0),4)</f>
        <v>CD REGIS</v>
      </c>
    </row>
    <row r="1989" spans="1:5" hidden="1" x14ac:dyDescent="0.25">
      <c r="A1989" s="1" t="s">
        <v>1988</v>
      </c>
      <c r="B1989" s="3">
        <f>COUNTIF(PEDIDOS!$A:$A,FORNECEDOR!A1989)</f>
        <v>0</v>
      </c>
      <c r="C1989" s="3" t="e">
        <f>INDEX(PEDIDOS!$A:$D,MATCH(FORNECEDOR!A1989,PEDIDOS!$A:$A,0),2)</f>
        <v>#N/A</v>
      </c>
      <c r="D1989" s="3" t="e">
        <f>INDEX(PEDIDOS!$A:$D,MATCH(FORNECEDOR!A1989,PEDIDOS!$A:$A,0),3)</f>
        <v>#N/A</v>
      </c>
      <c r="E1989" s="3" t="e">
        <f>INDEX(PEDIDOS!$A:$D,MATCH(FORNECEDOR!A1989,PEDIDOS!$A:$A,0),4)</f>
        <v>#N/A</v>
      </c>
    </row>
    <row r="1990" spans="1:5" hidden="1" x14ac:dyDescent="0.25">
      <c r="A1990" s="1" t="s">
        <v>1989</v>
      </c>
      <c r="B1990" s="3">
        <f>COUNTIF(PEDIDOS!$A:$A,FORNECEDOR!A1990)</f>
        <v>0</v>
      </c>
      <c r="C1990" s="3" t="e">
        <f>INDEX(PEDIDOS!$A:$D,MATCH(FORNECEDOR!A1990,PEDIDOS!$A:$A,0),2)</f>
        <v>#N/A</v>
      </c>
      <c r="D1990" s="3" t="e">
        <f>INDEX(PEDIDOS!$A:$D,MATCH(FORNECEDOR!A1990,PEDIDOS!$A:$A,0),3)</f>
        <v>#N/A</v>
      </c>
      <c r="E1990" s="3" t="e">
        <f>INDEX(PEDIDOS!$A:$D,MATCH(FORNECEDOR!A1990,PEDIDOS!$A:$A,0),4)</f>
        <v>#N/A</v>
      </c>
    </row>
    <row r="1991" spans="1:5" hidden="1" x14ac:dyDescent="0.25">
      <c r="A1991" s="1" t="s">
        <v>1990</v>
      </c>
      <c r="B1991" s="3">
        <f>COUNTIF(PEDIDOS!$A:$A,FORNECEDOR!A1991)</f>
        <v>0</v>
      </c>
      <c r="C1991" s="3" t="e">
        <f>INDEX(PEDIDOS!$A:$D,MATCH(FORNECEDOR!A1991,PEDIDOS!$A:$A,0),2)</f>
        <v>#N/A</v>
      </c>
      <c r="D1991" s="3" t="e">
        <f>INDEX(PEDIDOS!$A:$D,MATCH(FORNECEDOR!A1991,PEDIDOS!$A:$A,0),3)</f>
        <v>#N/A</v>
      </c>
      <c r="E1991" s="3" t="e">
        <f>INDEX(PEDIDOS!$A:$D,MATCH(FORNECEDOR!A1991,PEDIDOS!$A:$A,0),4)</f>
        <v>#N/A</v>
      </c>
    </row>
    <row r="1992" spans="1:5" hidden="1" x14ac:dyDescent="0.25">
      <c r="A1992" s="1" t="s">
        <v>1991</v>
      </c>
      <c r="B1992" s="3">
        <f>COUNTIF(PEDIDOS!$A:$A,FORNECEDOR!A1992)</f>
        <v>0</v>
      </c>
      <c r="C1992" s="3" t="e">
        <f>INDEX(PEDIDOS!$A:$D,MATCH(FORNECEDOR!A1992,PEDIDOS!$A:$A,0),2)</f>
        <v>#N/A</v>
      </c>
      <c r="D1992" s="3" t="e">
        <f>INDEX(PEDIDOS!$A:$D,MATCH(FORNECEDOR!A1992,PEDIDOS!$A:$A,0),3)</f>
        <v>#N/A</v>
      </c>
      <c r="E1992" s="3" t="e">
        <f>INDEX(PEDIDOS!$A:$D,MATCH(FORNECEDOR!A1992,PEDIDOS!$A:$A,0),4)</f>
        <v>#N/A</v>
      </c>
    </row>
    <row r="1993" spans="1:5" x14ac:dyDescent="0.25">
      <c r="A1993" s="1" t="s">
        <v>1992</v>
      </c>
      <c r="B1993" s="3">
        <f>COUNTIF(PEDIDOS!$A:$A,FORNECEDOR!A1993)</f>
        <v>1</v>
      </c>
      <c r="C1993" s="3" t="str">
        <f>INDEX(PEDIDOS!$A:$D,MATCH(FORNECEDOR!A1993,PEDIDOS!$A:$A,0),2)</f>
        <v>CD REGIS</v>
      </c>
      <c r="D1993" s="3" t="str">
        <f>INDEX(PEDIDOS!$A:$D,MATCH(FORNECEDOR!A1993,PEDIDOS!$A:$A,0),3)</f>
        <v>CD REGIS</v>
      </c>
      <c r="E1993" s="3" t="str">
        <f>INDEX(PEDIDOS!$A:$D,MATCH(FORNECEDOR!A1993,PEDIDOS!$A:$A,0),4)</f>
        <v>CD REGIS</v>
      </c>
    </row>
    <row r="1994" spans="1:5" x14ac:dyDescent="0.25">
      <c r="A1994" s="1" t="s">
        <v>1993</v>
      </c>
      <c r="B1994" s="3">
        <f>COUNTIF(PEDIDOS!$A:$A,FORNECEDOR!A1994)</f>
        <v>1</v>
      </c>
      <c r="C1994" s="3" t="str">
        <f>INDEX(PEDIDOS!$A:$D,MATCH(FORNECEDOR!A1994,PEDIDOS!$A:$A,0),2)</f>
        <v>CD NAVEGANTES</v>
      </c>
      <c r="D1994" s="3" t="str">
        <f>INDEX(PEDIDOS!$A:$D,MATCH(FORNECEDOR!A1994,PEDIDOS!$A:$A,0),3)</f>
        <v>MATRIZ</v>
      </c>
      <c r="E1994" s="3" t="str">
        <f>INDEX(PEDIDOS!$A:$D,MATCH(FORNECEDOR!A1994,PEDIDOS!$A:$A,0),4)</f>
        <v>CD NAVEGANTES</v>
      </c>
    </row>
    <row r="1995" spans="1:5" hidden="1" x14ac:dyDescent="0.25">
      <c r="A1995" s="1" t="s">
        <v>1994</v>
      </c>
      <c r="B1995" s="3">
        <f>COUNTIF(PEDIDOS!$A:$A,FORNECEDOR!A1995)</f>
        <v>0</v>
      </c>
      <c r="C1995" s="3" t="e">
        <f>INDEX(PEDIDOS!$A:$D,MATCH(FORNECEDOR!A1995,PEDIDOS!$A:$A,0),2)</f>
        <v>#N/A</v>
      </c>
      <c r="D1995" s="3" t="e">
        <f>INDEX(PEDIDOS!$A:$D,MATCH(FORNECEDOR!A1995,PEDIDOS!$A:$A,0),3)</f>
        <v>#N/A</v>
      </c>
      <c r="E1995" s="3" t="e">
        <f>INDEX(PEDIDOS!$A:$D,MATCH(FORNECEDOR!A1995,PEDIDOS!$A:$A,0),4)</f>
        <v>#N/A</v>
      </c>
    </row>
    <row r="1996" spans="1:5" hidden="1" x14ac:dyDescent="0.25">
      <c r="A1996" s="1" t="s">
        <v>1995</v>
      </c>
      <c r="B1996" s="3">
        <f>COUNTIF(PEDIDOS!$A:$A,FORNECEDOR!A1996)</f>
        <v>0</v>
      </c>
      <c r="C1996" s="3" t="e">
        <f>INDEX(PEDIDOS!$A:$D,MATCH(FORNECEDOR!A1996,PEDIDOS!$A:$A,0),2)</f>
        <v>#N/A</v>
      </c>
      <c r="D1996" s="3" t="e">
        <f>INDEX(PEDIDOS!$A:$D,MATCH(FORNECEDOR!A1996,PEDIDOS!$A:$A,0),3)</f>
        <v>#N/A</v>
      </c>
      <c r="E1996" s="3" t="e">
        <f>INDEX(PEDIDOS!$A:$D,MATCH(FORNECEDOR!A1996,PEDIDOS!$A:$A,0),4)</f>
        <v>#N/A</v>
      </c>
    </row>
    <row r="1997" spans="1:5" hidden="1" x14ac:dyDescent="0.25">
      <c r="A1997" s="1" t="s">
        <v>1996</v>
      </c>
      <c r="B1997" s="3">
        <f>COUNTIF(PEDIDOS!$A:$A,FORNECEDOR!A1997)</f>
        <v>0</v>
      </c>
      <c r="C1997" s="3" t="e">
        <f>INDEX(PEDIDOS!$A:$D,MATCH(FORNECEDOR!A1997,PEDIDOS!$A:$A,0),2)</f>
        <v>#N/A</v>
      </c>
      <c r="D1997" s="3" t="e">
        <f>INDEX(PEDIDOS!$A:$D,MATCH(FORNECEDOR!A1997,PEDIDOS!$A:$A,0),3)</f>
        <v>#N/A</v>
      </c>
      <c r="E1997" s="3" t="e">
        <f>INDEX(PEDIDOS!$A:$D,MATCH(FORNECEDOR!A1997,PEDIDOS!$A:$A,0),4)</f>
        <v>#N/A</v>
      </c>
    </row>
    <row r="1998" spans="1:5" x14ac:dyDescent="0.25">
      <c r="A1998" s="1" t="s">
        <v>1997</v>
      </c>
      <c r="B1998" s="3">
        <f>COUNTIF(PEDIDOS!$A:$A,FORNECEDOR!A1998)</f>
        <v>1</v>
      </c>
      <c r="C1998" s="3" t="str">
        <f>INDEX(PEDIDOS!$A:$D,MATCH(FORNECEDOR!A1998,PEDIDOS!$A:$A,0),2)</f>
        <v>CD REGIS</v>
      </c>
      <c r="D1998" s="3" t="str">
        <f>INDEX(PEDIDOS!$A:$D,MATCH(FORNECEDOR!A1998,PEDIDOS!$A:$A,0),3)</f>
        <v>TATUAPE</v>
      </c>
      <c r="E1998" s="3" t="str">
        <f>INDEX(PEDIDOS!$A:$D,MATCH(FORNECEDOR!A1998,PEDIDOS!$A:$A,0),4)</f>
        <v>CD REGIS</v>
      </c>
    </row>
    <row r="1999" spans="1:5" hidden="1" x14ac:dyDescent="0.25">
      <c r="A1999" s="1" t="s">
        <v>1998</v>
      </c>
      <c r="B1999" s="3">
        <f>COUNTIF(PEDIDOS!$A:$A,FORNECEDOR!A1999)</f>
        <v>0</v>
      </c>
      <c r="C1999" s="3" t="e">
        <f>INDEX(PEDIDOS!$A:$D,MATCH(FORNECEDOR!A1999,PEDIDOS!$A:$A,0),2)</f>
        <v>#N/A</v>
      </c>
      <c r="D1999" s="3" t="e">
        <f>INDEX(PEDIDOS!$A:$D,MATCH(FORNECEDOR!A1999,PEDIDOS!$A:$A,0),3)</f>
        <v>#N/A</v>
      </c>
      <c r="E1999" s="3" t="e">
        <f>INDEX(PEDIDOS!$A:$D,MATCH(FORNECEDOR!A1999,PEDIDOS!$A:$A,0),4)</f>
        <v>#N/A</v>
      </c>
    </row>
    <row r="2000" spans="1:5" hidden="1" x14ac:dyDescent="0.25">
      <c r="A2000" s="1" t="s">
        <v>1999</v>
      </c>
      <c r="B2000" s="3">
        <f>COUNTIF(PEDIDOS!$A:$A,FORNECEDOR!A2000)</f>
        <v>0</v>
      </c>
      <c r="C2000" s="3" t="e">
        <f>INDEX(PEDIDOS!$A:$D,MATCH(FORNECEDOR!A2000,PEDIDOS!$A:$A,0),2)</f>
        <v>#N/A</v>
      </c>
      <c r="D2000" s="3" t="e">
        <f>INDEX(PEDIDOS!$A:$D,MATCH(FORNECEDOR!A2000,PEDIDOS!$A:$A,0),3)</f>
        <v>#N/A</v>
      </c>
      <c r="E2000" s="3" t="e">
        <f>INDEX(PEDIDOS!$A:$D,MATCH(FORNECEDOR!A2000,PEDIDOS!$A:$A,0),4)</f>
        <v>#N/A</v>
      </c>
    </row>
    <row r="2001" spans="1:5" hidden="1" x14ac:dyDescent="0.25">
      <c r="A2001" s="1" t="s">
        <v>2000</v>
      </c>
      <c r="B2001" s="3">
        <f>COUNTIF(PEDIDOS!$A:$A,FORNECEDOR!A2001)</f>
        <v>0</v>
      </c>
      <c r="C2001" s="3" t="e">
        <f>INDEX(PEDIDOS!$A:$D,MATCH(FORNECEDOR!A2001,PEDIDOS!$A:$A,0),2)</f>
        <v>#N/A</v>
      </c>
      <c r="D2001" s="3" t="e">
        <f>INDEX(PEDIDOS!$A:$D,MATCH(FORNECEDOR!A2001,PEDIDOS!$A:$A,0),3)</f>
        <v>#N/A</v>
      </c>
      <c r="E2001" s="3" t="e">
        <f>INDEX(PEDIDOS!$A:$D,MATCH(FORNECEDOR!A2001,PEDIDOS!$A:$A,0),4)</f>
        <v>#N/A</v>
      </c>
    </row>
    <row r="2002" spans="1:5" hidden="1" x14ac:dyDescent="0.25">
      <c r="A2002" s="1" t="s">
        <v>2001</v>
      </c>
      <c r="B2002" s="3">
        <f>COUNTIF(PEDIDOS!$A:$A,FORNECEDOR!A2002)</f>
        <v>0</v>
      </c>
      <c r="C2002" s="3" t="e">
        <f>INDEX(PEDIDOS!$A:$D,MATCH(FORNECEDOR!A2002,PEDIDOS!$A:$A,0),2)</f>
        <v>#N/A</v>
      </c>
      <c r="D2002" s="3" t="e">
        <f>INDEX(PEDIDOS!$A:$D,MATCH(FORNECEDOR!A2002,PEDIDOS!$A:$A,0),3)</f>
        <v>#N/A</v>
      </c>
      <c r="E2002" s="3" t="e">
        <f>INDEX(PEDIDOS!$A:$D,MATCH(FORNECEDOR!A2002,PEDIDOS!$A:$A,0),4)</f>
        <v>#N/A</v>
      </c>
    </row>
    <row r="2003" spans="1:5" x14ac:dyDescent="0.25">
      <c r="A2003" s="1" t="s">
        <v>2002</v>
      </c>
      <c r="B2003" s="3">
        <f>COUNTIF(PEDIDOS!$A:$A,FORNECEDOR!A2003)</f>
        <v>1</v>
      </c>
      <c r="C2003" s="3" t="str">
        <f>INDEX(PEDIDOS!$A:$D,MATCH(FORNECEDOR!A2003,PEDIDOS!$A:$A,0),2)</f>
        <v>MATRIZ</v>
      </c>
      <c r="D2003" s="3" t="str">
        <f>INDEX(PEDIDOS!$A:$D,MATCH(FORNECEDOR!A2003,PEDIDOS!$A:$A,0),3)</f>
        <v>MATRIZ</v>
      </c>
      <c r="E2003" s="3" t="str">
        <f>INDEX(PEDIDOS!$A:$D,MATCH(FORNECEDOR!A2003,PEDIDOS!$A:$A,0),4)</f>
        <v>MATRIZ</v>
      </c>
    </row>
    <row r="2004" spans="1:5" hidden="1" x14ac:dyDescent="0.25">
      <c r="A2004" s="1" t="s">
        <v>2003</v>
      </c>
      <c r="B2004" s="3">
        <f>COUNTIF(PEDIDOS!$A:$A,FORNECEDOR!A2004)</f>
        <v>0</v>
      </c>
      <c r="C2004" s="3" t="e">
        <f>INDEX(PEDIDOS!$A:$D,MATCH(FORNECEDOR!A2004,PEDIDOS!$A:$A,0),2)</f>
        <v>#N/A</v>
      </c>
      <c r="D2004" s="3" t="e">
        <f>INDEX(PEDIDOS!$A:$D,MATCH(FORNECEDOR!A2004,PEDIDOS!$A:$A,0),3)</f>
        <v>#N/A</v>
      </c>
      <c r="E2004" s="3" t="e">
        <f>INDEX(PEDIDOS!$A:$D,MATCH(FORNECEDOR!A2004,PEDIDOS!$A:$A,0),4)</f>
        <v>#N/A</v>
      </c>
    </row>
    <row r="2005" spans="1:5" hidden="1" x14ac:dyDescent="0.25">
      <c r="A2005" s="1" t="s">
        <v>2004</v>
      </c>
      <c r="B2005" s="3">
        <f>COUNTIF(PEDIDOS!$A:$A,FORNECEDOR!A2005)</f>
        <v>0</v>
      </c>
      <c r="C2005" s="3" t="e">
        <f>INDEX(PEDIDOS!$A:$D,MATCH(FORNECEDOR!A2005,PEDIDOS!$A:$A,0),2)</f>
        <v>#N/A</v>
      </c>
      <c r="D2005" s="3" t="e">
        <f>INDEX(PEDIDOS!$A:$D,MATCH(FORNECEDOR!A2005,PEDIDOS!$A:$A,0),3)</f>
        <v>#N/A</v>
      </c>
      <c r="E2005" s="3" t="e">
        <f>INDEX(PEDIDOS!$A:$D,MATCH(FORNECEDOR!A2005,PEDIDOS!$A:$A,0),4)</f>
        <v>#N/A</v>
      </c>
    </row>
    <row r="2006" spans="1:5" x14ac:dyDescent="0.25">
      <c r="A2006" s="1" t="s">
        <v>2005</v>
      </c>
      <c r="B2006" s="3">
        <f>COUNTIF(PEDIDOS!$A:$A,FORNECEDOR!A2006)</f>
        <v>1</v>
      </c>
      <c r="C2006" s="3" t="str">
        <f>INDEX(PEDIDOS!$A:$D,MATCH(FORNECEDOR!A2006,PEDIDOS!$A:$A,0),2)</f>
        <v>AVANTI- ADM C.CREDITO</v>
      </c>
      <c r="D2006" s="3" t="str">
        <f>INDEX(PEDIDOS!$A:$D,MATCH(FORNECEDOR!A2006,PEDIDOS!$A:$A,0),3)</f>
        <v>AVANTI- ADM C.CREDITO</v>
      </c>
      <c r="E2006" s="3" t="str">
        <f>INDEX(PEDIDOS!$A:$D,MATCH(FORNECEDOR!A2006,PEDIDOS!$A:$A,0),4)</f>
        <v>AVANTI- ADM C.CREDITO</v>
      </c>
    </row>
    <row r="2007" spans="1:5" hidden="1" x14ac:dyDescent="0.25">
      <c r="A2007" s="1" t="s">
        <v>2006</v>
      </c>
      <c r="B2007" s="3">
        <f>COUNTIF(PEDIDOS!$A:$A,FORNECEDOR!A2007)</f>
        <v>0</v>
      </c>
      <c r="C2007" s="3" t="e">
        <f>INDEX(PEDIDOS!$A:$D,MATCH(FORNECEDOR!A2007,PEDIDOS!$A:$A,0),2)</f>
        <v>#N/A</v>
      </c>
      <c r="D2007" s="3" t="e">
        <f>INDEX(PEDIDOS!$A:$D,MATCH(FORNECEDOR!A2007,PEDIDOS!$A:$A,0),3)</f>
        <v>#N/A</v>
      </c>
      <c r="E2007" s="3" t="e">
        <f>INDEX(PEDIDOS!$A:$D,MATCH(FORNECEDOR!A2007,PEDIDOS!$A:$A,0),4)</f>
        <v>#N/A</v>
      </c>
    </row>
    <row r="2008" spans="1:5" hidden="1" x14ac:dyDescent="0.25">
      <c r="A2008" s="1" t="s">
        <v>2007</v>
      </c>
      <c r="B2008" s="3">
        <f>COUNTIF(PEDIDOS!$A:$A,FORNECEDOR!A2008)</f>
        <v>0</v>
      </c>
      <c r="C2008" s="3" t="e">
        <f>INDEX(PEDIDOS!$A:$D,MATCH(FORNECEDOR!A2008,PEDIDOS!$A:$A,0),2)</f>
        <v>#N/A</v>
      </c>
      <c r="D2008" s="3" t="e">
        <f>INDEX(PEDIDOS!$A:$D,MATCH(FORNECEDOR!A2008,PEDIDOS!$A:$A,0),3)</f>
        <v>#N/A</v>
      </c>
      <c r="E2008" s="3" t="e">
        <f>INDEX(PEDIDOS!$A:$D,MATCH(FORNECEDOR!A2008,PEDIDOS!$A:$A,0),4)</f>
        <v>#N/A</v>
      </c>
    </row>
    <row r="2009" spans="1:5" x14ac:dyDescent="0.25">
      <c r="A2009" s="1" t="s">
        <v>2008</v>
      </c>
      <c r="B2009" s="3">
        <f>COUNTIF(PEDIDOS!$A:$A,FORNECEDOR!A2009)</f>
        <v>12</v>
      </c>
      <c r="C2009" s="3" t="str">
        <f>INDEX(PEDIDOS!$A:$D,MATCH(FORNECEDOR!A2009,PEDIDOS!$A:$A,0),2)</f>
        <v>CARAGUATATUBA</v>
      </c>
      <c r="D2009" s="3" t="str">
        <f>INDEX(PEDIDOS!$A:$D,MATCH(FORNECEDOR!A2009,PEDIDOS!$A:$A,0),3)</f>
        <v>CARAGUATATUBA</v>
      </c>
      <c r="E2009" s="3" t="str">
        <f>INDEX(PEDIDOS!$A:$D,MATCH(FORNECEDOR!A2009,PEDIDOS!$A:$A,0),4)</f>
        <v>CARAGUATATUBA</v>
      </c>
    </row>
    <row r="2010" spans="1:5" hidden="1" x14ac:dyDescent="0.25">
      <c r="A2010" s="1" t="s">
        <v>2009</v>
      </c>
      <c r="B2010" s="3">
        <f>COUNTIF(PEDIDOS!$A:$A,FORNECEDOR!A2010)</f>
        <v>0</v>
      </c>
      <c r="C2010" s="3" t="e">
        <f>INDEX(PEDIDOS!$A:$D,MATCH(FORNECEDOR!A2010,PEDIDOS!$A:$A,0),2)</f>
        <v>#N/A</v>
      </c>
      <c r="D2010" s="3" t="e">
        <f>INDEX(PEDIDOS!$A:$D,MATCH(FORNECEDOR!A2010,PEDIDOS!$A:$A,0),3)</f>
        <v>#N/A</v>
      </c>
      <c r="E2010" s="3" t="e">
        <f>INDEX(PEDIDOS!$A:$D,MATCH(FORNECEDOR!A2010,PEDIDOS!$A:$A,0),4)</f>
        <v>#N/A</v>
      </c>
    </row>
    <row r="2011" spans="1:5" x14ac:dyDescent="0.25">
      <c r="A2011" s="1" t="s">
        <v>2010</v>
      </c>
      <c r="B2011" s="3">
        <f>COUNTIF(PEDIDOS!$A:$A,FORNECEDOR!A2011)</f>
        <v>1</v>
      </c>
      <c r="C2011" s="3" t="str">
        <f>INDEX(PEDIDOS!$A:$D,MATCH(FORNECEDOR!A2011,PEDIDOS!$A:$A,0),2)</f>
        <v>SP - PARI</v>
      </c>
      <c r="D2011" s="3" t="str">
        <f>INDEX(PEDIDOS!$A:$D,MATCH(FORNECEDOR!A2011,PEDIDOS!$A:$A,0),3)</f>
        <v>SP - PARI</v>
      </c>
      <c r="E2011" s="3" t="str">
        <f>INDEX(PEDIDOS!$A:$D,MATCH(FORNECEDOR!A2011,PEDIDOS!$A:$A,0),4)</f>
        <v>SP - PARI</v>
      </c>
    </row>
    <row r="2012" spans="1:5" hidden="1" x14ac:dyDescent="0.25">
      <c r="A2012" s="1" t="s">
        <v>2011</v>
      </c>
      <c r="B2012" s="3">
        <f>COUNTIF(PEDIDOS!$A:$A,FORNECEDOR!A2012)</f>
        <v>0</v>
      </c>
      <c r="C2012" s="3" t="e">
        <f>INDEX(PEDIDOS!$A:$D,MATCH(FORNECEDOR!A2012,PEDIDOS!$A:$A,0),2)</f>
        <v>#N/A</v>
      </c>
      <c r="D2012" s="3" t="e">
        <f>INDEX(PEDIDOS!$A:$D,MATCH(FORNECEDOR!A2012,PEDIDOS!$A:$A,0),3)</f>
        <v>#N/A</v>
      </c>
      <c r="E2012" s="3" t="e">
        <f>INDEX(PEDIDOS!$A:$D,MATCH(FORNECEDOR!A2012,PEDIDOS!$A:$A,0),4)</f>
        <v>#N/A</v>
      </c>
    </row>
    <row r="2013" spans="1:5" x14ac:dyDescent="0.25">
      <c r="A2013" s="1" t="s">
        <v>2012</v>
      </c>
      <c r="B2013" s="3">
        <f>COUNTIF(PEDIDOS!$A:$A,FORNECEDOR!A2013)</f>
        <v>4</v>
      </c>
      <c r="C2013" s="3" t="str">
        <f>INDEX(PEDIDOS!$A:$D,MATCH(FORNECEDOR!A2013,PEDIDOS!$A:$A,0),2)</f>
        <v>CD ARAQUARI</v>
      </c>
      <c r="D2013" s="3" t="str">
        <f>INDEX(PEDIDOS!$A:$D,MATCH(FORNECEDOR!A2013,PEDIDOS!$A:$A,0),3)</f>
        <v>MATRIZ</v>
      </c>
      <c r="E2013" s="3" t="str">
        <f>INDEX(PEDIDOS!$A:$D,MATCH(FORNECEDOR!A2013,PEDIDOS!$A:$A,0),4)</f>
        <v>CD ARAQUARI</v>
      </c>
    </row>
    <row r="2014" spans="1:5" x14ac:dyDescent="0.25">
      <c r="A2014" s="1" t="s">
        <v>2013</v>
      </c>
      <c r="B2014" s="3">
        <f>COUNTIF(PEDIDOS!$A:$A,FORNECEDOR!A2014)</f>
        <v>3</v>
      </c>
      <c r="C2014" s="3" t="str">
        <f>INDEX(PEDIDOS!$A:$D,MATCH(FORNECEDOR!A2014,PEDIDOS!$A:$A,0),2)</f>
        <v>FRANCISCO MORATO</v>
      </c>
      <c r="D2014" s="3" t="str">
        <f>INDEX(PEDIDOS!$A:$D,MATCH(FORNECEDOR!A2014,PEDIDOS!$A:$A,0),3)</f>
        <v>FRANCISCO MORATO</v>
      </c>
      <c r="E2014" s="3" t="str">
        <f>INDEX(PEDIDOS!$A:$D,MATCH(FORNECEDOR!A2014,PEDIDOS!$A:$A,0),4)</f>
        <v>FRANCISCO MORATO</v>
      </c>
    </row>
    <row r="2015" spans="1:5" x14ac:dyDescent="0.25">
      <c r="A2015" s="1" t="s">
        <v>2014</v>
      </c>
      <c r="B2015" s="3">
        <f>COUNTIF(PEDIDOS!$A:$A,FORNECEDOR!A2015)</f>
        <v>2</v>
      </c>
      <c r="C2015" s="3" t="str">
        <f>INDEX(PEDIDOS!$A:$D,MATCH(FORNECEDOR!A2015,PEDIDOS!$A:$A,0),2)</f>
        <v>CD REGIS</v>
      </c>
      <c r="D2015" s="3" t="str">
        <f>INDEX(PEDIDOS!$A:$D,MATCH(FORNECEDOR!A2015,PEDIDOS!$A:$A,0),3)</f>
        <v>MATRIZ</v>
      </c>
      <c r="E2015" s="3" t="str">
        <f>INDEX(PEDIDOS!$A:$D,MATCH(FORNECEDOR!A2015,PEDIDOS!$A:$A,0),4)</f>
        <v>CD REGIS</v>
      </c>
    </row>
    <row r="2016" spans="1:5" hidden="1" x14ac:dyDescent="0.25">
      <c r="A2016" s="1" t="s">
        <v>2015</v>
      </c>
      <c r="B2016" s="3">
        <f>COUNTIF(PEDIDOS!$A:$A,FORNECEDOR!A2016)</f>
        <v>0</v>
      </c>
      <c r="C2016" s="3" t="e">
        <f>INDEX(PEDIDOS!$A:$D,MATCH(FORNECEDOR!A2016,PEDIDOS!$A:$A,0),2)</f>
        <v>#N/A</v>
      </c>
      <c r="D2016" s="3" t="e">
        <f>INDEX(PEDIDOS!$A:$D,MATCH(FORNECEDOR!A2016,PEDIDOS!$A:$A,0),3)</f>
        <v>#N/A</v>
      </c>
      <c r="E2016" s="3" t="e">
        <f>INDEX(PEDIDOS!$A:$D,MATCH(FORNECEDOR!A2016,PEDIDOS!$A:$A,0),4)</f>
        <v>#N/A</v>
      </c>
    </row>
    <row r="2017" spans="1:5" x14ac:dyDescent="0.25">
      <c r="A2017" s="1" t="s">
        <v>2016</v>
      </c>
      <c r="B2017" s="3">
        <f>COUNTIF(PEDIDOS!$A:$A,FORNECEDOR!A2017)</f>
        <v>2</v>
      </c>
      <c r="C2017" s="3" t="str">
        <f>INDEX(PEDIDOS!$A:$D,MATCH(FORNECEDOR!A2017,PEDIDOS!$A:$A,0),2)</f>
        <v>CD REGIS</v>
      </c>
      <c r="D2017" s="3" t="str">
        <f>INDEX(PEDIDOS!$A:$D,MATCH(FORNECEDOR!A2017,PEDIDOS!$A:$A,0),3)</f>
        <v>MATRIZ</v>
      </c>
      <c r="E2017" s="3" t="str">
        <f>INDEX(PEDIDOS!$A:$D,MATCH(FORNECEDOR!A2017,PEDIDOS!$A:$A,0),4)</f>
        <v>CD REGIS</v>
      </c>
    </row>
    <row r="2018" spans="1:5" hidden="1" x14ac:dyDescent="0.25">
      <c r="A2018" s="1" t="s">
        <v>2017</v>
      </c>
      <c r="B2018" s="3">
        <f>COUNTIF(PEDIDOS!$A:$A,FORNECEDOR!A2018)</f>
        <v>0</v>
      </c>
      <c r="C2018" s="3" t="e">
        <f>INDEX(PEDIDOS!$A:$D,MATCH(FORNECEDOR!A2018,PEDIDOS!$A:$A,0),2)</f>
        <v>#N/A</v>
      </c>
      <c r="D2018" s="3" t="e">
        <f>INDEX(PEDIDOS!$A:$D,MATCH(FORNECEDOR!A2018,PEDIDOS!$A:$A,0),3)</f>
        <v>#N/A</v>
      </c>
      <c r="E2018" s="3" t="e">
        <f>INDEX(PEDIDOS!$A:$D,MATCH(FORNECEDOR!A2018,PEDIDOS!$A:$A,0),4)</f>
        <v>#N/A</v>
      </c>
    </row>
    <row r="2019" spans="1:5" hidden="1" x14ac:dyDescent="0.25">
      <c r="A2019" s="1" t="s">
        <v>2018</v>
      </c>
      <c r="B2019" s="3">
        <f>COUNTIF(PEDIDOS!$A:$A,FORNECEDOR!A2019)</f>
        <v>0</v>
      </c>
      <c r="C2019" s="3" t="e">
        <f>INDEX(PEDIDOS!$A:$D,MATCH(FORNECEDOR!A2019,PEDIDOS!$A:$A,0),2)</f>
        <v>#N/A</v>
      </c>
      <c r="D2019" s="3" t="e">
        <f>INDEX(PEDIDOS!$A:$D,MATCH(FORNECEDOR!A2019,PEDIDOS!$A:$A,0),3)</f>
        <v>#N/A</v>
      </c>
      <c r="E2019" s="3" t="e">
        <f>INDEX(PEDIDOS!$A:$D,MATCH(FORNECEDOR!A2019,PEDIDOS!$A:$A,0),4)</f>
        <v>#N/A</v>
      </c>
    </row>
    <row r="2020" spans="1:5" hidden="1" x14ac:dyDescent="0.25">
      <c r="A2020" s="1" t="s">
        <v>2019</v>
      </c>
      <c r="B2020" s="3">
        <f>COUNTIF(PEDIDOS!$A:$A,FORNECEDOR!A2020)</f>
        <v>0</v>
      </c>
      <c r="C2020" s="3" t="e">
        <f>INDEX(PEDIDOS!$A:$D,MATCH(FORNECEDOR!A2020,PEDIDOS!$A:$A,0),2)</f>
        <v>#N/A</v>
      </c>
      <c r="D2020" s="3" t="e">
        <f>INDEX(PEDIDOS!$A:$D,MATCH(FORNECEDOR!A2020,PEDIDOS!$A:$A,0),3)</f>
        <v>#N/A</v>
      </c>
      <c r="E2020" s="3" t="e">
        <f>INDEX(PEDIDOS!$A:$D,MATCH(FORNECEDOR!A2020,PEDIDOS!$A:$A,0),4)</f>
        <v>#N/A</v>
      </c>
    </row>
    <row r="2021" spans="1:5" hidden="1" x14ac:dyDescent="0.25">
      <c r="A2021" s="1" t="s">
        <v>2020</v>
      </c>
      <c r="B2021" s="3">
        <f>COUNTIF(PEDIDOS!$A:$A,FORNECEDOR!A2021)</f>
        <v>0</v>
      </c>
      <c r="C2021" s="3" t="e">
        <f>INDEX(PEDIDOS!$A:$D,MATCH(FORNECEDOR!A2021,PEDIDOS!$A:$A,0),2)</f>
        <v>#N/A</v>
      </c>
      <c r="D2021" s="3" t="e">
        <f>INDEX(PEDIDOS!$A:$D,MATCH(FORNECEDOR!A2021,PEDIDOS!$A:$A,0),3)</f>
        <v>#N/A</v>
      </c>
      <c r="E2021" s="3" t="e">
        <f>INDEX(PEDIDOS!$A:$D,MATCH(FORNECEDOR!A2021,PEDIDOS!$A:$A,0),4)</f>
        <v>#N/A</v>
      </c>
    </row>
    <row r="2022" spans="1:5" hidden="1" x14ac:dyDescent="0.25">
      <c r="A2022" s="1" t="s">
        <v>2021</v>
      </c>
      <c r="B2022" s="3">
        <f>COUNTIF(PEDIDOS!$A:$A,FORNECEDOR!A2022)</f>
        <v>0</v>
      </c>
      <c r="C2022" s="3" t="e">
        <f>INDEX(PEDIDOS!$A:$D,MATCH(FORNECEDOR!A2022,PEDIDOS!$A:$A,0),2)</f>
        <v>#N/A</v>
      </c>
      <c r="D2022" s="3" t="e">
        <f>INDEX(PEDIDOS!$A:$D,MATCH(FORNECEDOR!A2022,PEDIDOS!$A:$A,0),3)</f>
        <v>#N/A</v>
      </c>
      <c r="E2022" s="3" t="e">
        <f>INDEX(PEDIDOS!$A:$D,MATCH(FORNECEDOR!A2022,PEDIDOS!$A:$A,0),4)</f>
        <v>#N/A</v>
      </c>
    </row>
    <row r="2023" spans="1:5" x14ac:dyDescent="0.25">
      <c r="A2023" s="1" t="s">
        <v>2022</v>
      </c>
      <c r="B2023" s="3">
        <f>COUNTIF(PEDIDOS!$A:$A,FORNECEDOR!A2023)</f>
        <v>2</v>
      </c>
      <c r="C2023" s="3" t="str">
        <f>INDEX(PEDIDOS!$A:$D,MATCH(FORNECEDOR!A2023,PEDIDOS!$A:$A,0),2)</f>
        <v>CD REGIS</v>
      </c>
      <c r="D2023" s="3" t="str">
        <f>INDEX(PEDIDOS!$A:$D,MATCH(FORNECEDOR!A2023,PEDIDOS!$A:$A,0),3)</f>
        <v>MATRIZ</v>
      </c>
      <c r="E2023" s="3" t="str">
        <f>INDEX(PEDIDOS!$A:$D,MATCH(FORNECEDOR!A2023,PEDIDOS!$A:$A,0),4)</f>
        <v>CD REGIS</v>
      </c>
    </row>
    <row r="2024" spans="1:5" hidden="1" x14ac:dyDescent="0.25">
      <c r="A2024" s="1" t="s">
        <v>2023</v>
      </c>
      <c r="B2024" s="3">
        <f>COUNTIF(PEDIDOS!$A:$A,FORNECEDOR!A2024)</f>
        <v>0</v>
      </c>
      <c r="C2024" s="3" t="e">
        <f>INDEX(PEDIDOS!$A:$D,MATCH(FORNECEDOR!A2024,PEDIDOS!$A:$A,0),2)</f>
        <v>#N/A</v>
      </c>
      <c r="D2024" s="3" t="e">
        <f>INDEX(PEDIDOS!$A:$D,MATCH(FORNECEDOR!A2024,PEDIDOS!$A:$A,0),3)</f>
        <v>#N/A</v>
      </c>
      <c r="E2024" s="3" t="e">
        <f>INDEX(PEDIDOS!$A:$D,MATCH(FORNECEDOR!A2024,PEDIDOS!$A:$A,0),4)</f>
        <v>#N/A</v>
      </c>
    </row>
    <row r="2025" spans="1:5" hidden="1" x14ac:dyDescent="0.25">
      <c r="A2025" s="1" t="s">
        <v>2024</v>
      </c>
      <c r="B2025" s="3">
        <f>COUNTIF(PEDIDOS!$A:$A,FORNECEDOR!A2025)</f>
        <v>0</v>
      </c>
      <c r="C2025" s="3" t="e">
        <f>INDEX(PEDIDOS!$A:$D,MATCH(FORNECEDOR!A2025,PEDIDOS!$A:$A,0),2)</f>
        <v>#N/A</v>
      </c>
      <c r="D2025" s="3" t="e">
        <f>INDEX(PEDIDOS!$A:$D,MATCH(FORNECEDOR!A2025,PEDIDOS!$A:$A,0),3)</f>
        <v>#N/A</v>
      </c>
      <c r="E2025" s="3" t="e">
        <f>INDEX(PEDIDOS!$A:$D,MATCH(FORNECEDOR!A2025,PEDIDOS!$A:$A,0),4)</f>
        <v>#N/A</v>
      </c>
    </row>
    <row r="2026" spans="1:5" x14ac:dyDescent="0.25">
      <c r="A2026" s="1" t="s">
        <v>2025</v>
      </c>
      <c r="B2026" s="3">
        <f>COUNTIF(PEDIDOS!$A:$A,FORNECEDOR!A2026)</f>
        <v>2</v>
      </c>
      <c r="C2026" s="3" t="str">
        <f>INDEX(PEDIDOS!$A:$D,MATCH(FORNECEDOR!A2026,PEDIDOS!$A:$A,0),2)</f>
        <v>CD REGIS</v>
      </c>
      <c r="D2026" s="3" t="str">
        <f>INDEX(PEDIDOS!$A:$D,MATCH(FORNECEDOR!A2026,PEDIDOS!$A:$A,0),3)</f>
        <v>MATRIZ</v>
      </c>
      <c r="E2026" s="3" t="str">
        <f>INDEX(PEDIDOS!$A:$D,MATCH(FORNECEDOR!A2026,PEDIDOS!$A:$A,0),4)</f>
        <v>CD REGIS</v>
      </c>
    </row>
    <row r="2027" spans="1:5" hidden="1" x14ac:dyDescent="0.25">
      <c r="A2027" s="1" t="s">
        <v>2026</v>
      </c>
      <c r="B2027" s="3">
        <f>COUNTIF(PEDIDOS!$A:$A,FORNECEDOR!A2027)</f>
        <v>0</v>
      </c>
      <c r="C2027" s="3" t="e">
        <f>INDEX(PEDIDOS!$A:$D,MATCH(FORNECEDOR!A2027,PEDIDOS!$A:$A,0),2)</f>
        <v>#N/A</v>
      </c>
      <c r="D2027" s="3" t="e">
        <f>INDEX(PEDIDOS!$A:$D,MATCH(FORNECEDOR!A2027,PEDIDOS!$A:$A,0),3)</f>
        <v>#N/A</v>
      </c>
      <c r="E2027" s="3" t="e">
        <f>INDEX(PEDIDOS!$A:$D,MATCH(FORNECEDOR!A2027,PEDIDOS!$A:$A,0),4)</f>
        <v>#N/A</v>
      </c>
    </row>
    <row r="2028" spans="1:5" x14ac:dyDescent="0.25">
      <c r="A2028" s="1" t="s">
        <v>2027</v>
      </c>
      <c r="B2028" s="3">
        <f>COUNTIF(PEDIDOS!$A:$A,FORNECEDOR!A2028)</f>
        <v>1</v>
      </c>
      <c r="C2028" s="3" t="str">
        <f>INDEX(PEDIDOS!$A:$D,MATCH(FORNECEDOR!A2028,PEDIDOS!$A:$A,0),2)</f>
        <v>MATRIZ</v>
      </c>
      <c r="D2028" s="3" t="str">
        <f>INDEX(PEDIDOS!$A:$D,MATCH(FORNECEDOR!A2028,PEDIDOS!$A:$A,0),3)</f>
        <v>MATRIZ</v>
      </c>
      <c r="E2028" s="3" t="str">
        <f>INDEX(PEDIDOS!$A:$D,MATCH(FORNECEDOR!A2028,PEDIDOS!$A:$A,0),4)</f>
        <v>MATRIZ</v>
      </c>
    </row>
    <row r="2029" spans="1:5" hidden="1" x14ac:dyDescent="0.25">
      <c r="A2029" s="1" t="s">
        <v>2028</v>
      </c>
      <c r="B2029" s="3">
        <f>COUNTIF(PEDIDOS!$A:$A,FORNECEDOR!A2029)</f>
        <v>0</v>
      </c>
      <c r="C2029" s="3" t="e">
        <f>INDEX(PEDIDOS!$A:$D,MATCH(FORNECEDOR!A2029,PEDIDOS!$A:$A,0),2)</f>
        <v>#N/A</v>
      </c>
      <c r="D2029" s="3" t="e">
        <f>INDEX(PEDIDOS!$A:$D,MATCH(FORNECEDOR!A2029,PEDIDOS!$A:$A,0),3)</f>
        <v>#N/A</v>
      </c>
      <c r="E2029" s="3" t="e">
        <f>INDEX(PEDIDOS!$A:$D,MATCH(FORNECEDOR!A2029,PEDIDOS!$A:$A,0),4)</f>
        <v>#N/A</v>
      </c>
    </row>
    <row r="2030" spans="1:5" hidden="1" x14ac:dyDescent="0.25">
      <c r="A2030" s="1" t="s">
        <v>2029</v>
      </c>
      <c r="B2030" s="3">
        <f>COUNTIF(PEDIDOS!$A:$A,FORNECEDOR!A2030)</f>
        <v>0</v>
      </c>
      <c r="C2030" s="3" t="e">
        <f>INDEX(PEDIDOS!$A:$D,MATCH(FORNECEDOR!A2030,PEDIDOS!$A:$A,0),2)</f>
        <v>#N/A</v>
      </c>
      <c r="D2030" s="3" t="e">
        <f>INDEX(PEDIDOS!$A:$D,MATCH(FORNECEDOR!A2030,PEDIDOS!$A:$A,0),3)</f>
        <v>#N/A</v>
      </c>
      <c r="E2030" s="3" t="e">
        <f>INDEX(PEDIDOS!$A:$D,MATCH(FORNECEDOR!A2030,PEDIDOS!$A:$A,0),4)</f>
        <v>#N/A</v>
      </c>
    </row>
    <row r="2031" spans="1:5" hidden="1" x14ac:dyDescent="0.25">
      <c r="A2031" s="1" t="s">
        <v>2030</v>
      </c>
      <c r="B2031" s="3">
        <f>COUNTIF(PEDIDOS!$A:$A,FORNECEDOR!A2031)</f>
        <v>0</v>
      </c>
      <c r="C2031" s="3" t="e">
        <f>INDEX(PEDIDOS!$A:$D,MATCH(FORNECEDOR!A2031,PEDIDOS!$A:$A,0),2)</f>
        <v>#N/A</v>
      </c>
      <c r="D2031" s="3" t="e">
        <f>INDEX(PEDIDOS!$A:$D,MATCH(FORNECEDOR!A2031,PEDIDOS!$A:$A,0),3)</f>
        <v>#N/A</v>
      </c>
      <c r="E2031" s="3" t="e">
        <f>INDEX(PEDIDOS!$A:$D,MATCH(FORNECEDOR!A2031,PEDIDOS!$A:$A,0),4)</f>
        <v>#N/A</v>
      </c>
    </row>
    <row r="2032" spans="1:5" hidden="1" x14ac:dyDescent="0.25">
      <c r="A2032" s="1" t="s">
        <v>2031</v>
      </c>
      <c r="B2032" s="3">
        <f>COUNTIF(PEDIDOS!$A:$A,FORNECEDOR!A2032)</f>
        <v>0</v>
      </c>
      <c r="C2032" s="3" t="e">
        <f>INDEX(PEDIDOS!$A:$D,MATCH(FORNECEDOR!A2032,PEDIDOS!$A:$A,0),2)</f>
        <v>#N/A</v>
      </c>
      <c r="D2032" s="3" t="e">
        <f>INDEX(PEDIDOS!$A:$D,MATCH(FORNECEDOR!A2032,PEDIDOS!$A:$A,0),3)</f>
        <v>#N/A</v>
      </c>
      <c r="E2032" s="3" t="e">
        <f>INDEX(PEDIDOS!$A:$D,MATCH(FORNECEDOR!A2032,PEDIDOS!$A:$A,0),4)</f>
        <v>#N/A</v>
      </c>
    </row>
    <row r="2033" spans="1:5" hidden="1" x14ac:dyDescent="0.25">
      <c r="A2033" s="1" t="s">
        <v>2032</v>
      </c>
      <c r="B2033" s="3">
        <f>COUNTIF(PEDIDOS!$A:$A,FORNECEDOR!A2033)</f>
        <v>0</v>
      </c>
      <c r="C2033" s="3" t="e">
        <f>INDEX(PEDIDOS!$A:$D,MATCH(FORNECEDOR!A2033,PEDIDOS!$A:$A,0),2)</f>
        <v>#N/A</v>
      </c>
      <c r="D2033" s="3" t="e">
        <f>INDEX(PEDIDOS!$A:$D,MATCH(FORNECEDOR!A2033,PEDIDOS!$A:$A,0),3)</f>
        <v>#N/A</v>
      </c>
      <c r="E2033" s="3" t="e">
        <f>INDEX(PEDIDOS!$A:$D,MATCH(FORNECEDOR!A2033,PEDIDOS!$A:$A,0),4)</f>
        <v>#N/A</v>
      </c>
    </row>
    <row r="2034" spans="1:5" hidden="1" x14ac:dyDescent="0.25">
      <c r="A2034" s="1" t="s">
        <v>2033</v>
      </c>
      <c r="B2034" s="3">
        <f>COUNTIF(PEDIDOS!$A:$A,FORNECEDOR!A2034)</f>
        <v>0</v>
      </c>
      <c r="C2034" s="3" t="e">
        <f>INDEX(PEDIDOS!$A:$D,MATCH(FORNECEDOR!A2034,PEDIDOS!$A:$A,0),2)</f>
        <v>#N/A</v>
      </c>
      <c r="D2034" s="3" t="e">
        <f>INDEX(PEDIDOS!$A:$D,MATCH(FORNECEDOR!A2034,PEDIDOS!$A:$A,0),3)</f>
        <v>#N/A</v>
      </c>
      <c r="E2034" s="3" t="e">
        <f>INDEX(PEDIDOS!$A:$D,MATCH(FORNECEDOR!A2034,PEDIDOS!$A:$A,0),4)</f>
        <v>#N/A</v>
      </c>
    </row>
    <row r="2035" spans="1:5" x14ac:dyDescent="0.25">
      <c r="A2035" s="1" t="s">
        <v>2034</v>
      </c>
      <c r="B2035" s="3">
        <f>COUNTIF(PEDIDOS!$A:$A,FORNECEDOR!A2035)</f>
        <v>1</v>
      </c>
      <c r="C2035" s="3" t="str">
        <f>INDEX(PEDIDOS!$A:$D,MATCH(FORNECEDOR!A2035,PEDIDOS!$A:$A,0),2)</f>
        <v>CD REGIS</v>
      </c>
      <c r="D2035" s="3" t="str">
        <f>INDEX(PEDIDOS!$A:$D,MATCH(FORNECEDOR!A2035,PEDIDOS!$A:$A,0),3)</f>
        <v>MATRIZ</v>
      </c>
      <c r="E2035" s="3" t="str">
        <f>INDEX(PEDIDOS!$A:$D,MATCH(FORNECEDOR!A2035,PEDIDOS!$A:$A,0),4)</f>
        <v>CD REGIS</v>
      </c>
    </row>
    <row r="2036" spans="1:5" hidden="1" x14ac:dyDescent="0.25">
      <c r="A2036" s="1" t="s">
        <v>2035</v>
      </c>
      <c r="B2036" s="3">
        <f>COUNTIF(PEDIDOS!$A:$A,FORNECEDOR!A2036)</f>
        <v>0</v>
      </c>
      <c r="C2036" s="3" t="e">
        <f>INDEX(PEDIDOS!$A:$D,MATCH(FORNECEDOR!A2036,PEDIDOS!$A:$A,0),2)</f>
        <v>#N/A</v>
      </c>
      <c r="D2036" s="3" t="e">
        <f>INDEX(PEDIDOS!$A:$D,MATCH(FORNECEDOR!A2036,PEDIDOS!$A:$A,0),3)</f>
        <v>#N/A</v>
      </c>
      <c r="E2036" s="3" t="e">
        <f>INDEX(PEDIDOS!$A:$D,MATCH(FORNECEDOR!A2036,PEDIDOS!$A:$A,0),4)</f>
        <v>#N/A</v>
      </c>
    </row>
    <row r="2037" spans="1:5" hidden="1" x14ac:dyDescent="0.25">
      <c r="A2037" s="1" t="s">
        <v>2036</v>
      </c>
      <c r="B2037" s="3">
        <f>COUNTIF(PEDIDOS!$A:$A,FORNECEDOR!A2037)</f>
        <v>0</v>
      </c>
      <c r="C2037" s="3" t="e">
        <f>INDEX(PEDIDOS!$A:$D,MATCH(FORNECEDOR!A2037,PEDIDOS!$A:$A,0),2)</f>
        <v>#N/A</v>
      </c>
      <c r="D2037" s="3" t="e">
        <f>INDEX(PEDIDOS!$A:$D,MATCH(FORNECEDOR!A2037,PEDIDOS!$A:$A,0),3)</f>
        <v>#N/A</v>
      </c>
      <c r="E2037" s="3" t="e">
        <f>INDEX(PEDIDOS!$A:$D,MATCH(FORNECEDOR!A2037,PEDIDOS!$A:$A,0),4)</f>
        <v>#N/A</v>
      </c>
    </row>
    <row r="2038" spans="1:5" hidden="1" x14ac:dyDescent="0.25">
      <c r="A2038" s="1" t="s">
        <v>2037</v>
      </c>
      <c r="B2038" s="3">
        <f>COUNTIF(PEDIDOS!$A:$A,FORNECEDOR!A2038)</f>
        <v>0</v>
      </c>
      <c r="C2038" s="3" t="e">
        <f>INDEX(PEDIDOS!$A:$D,MATCH(FORNECEDOR!A2038,PEDIDOS!$A:$A,0),2)</f>
        <v>#N/A</v>
      </c>
      <c r="D2038" s="3" t="e">
        <f>INDEX(PEDIDOS!$A:$D,MATCH(FORNECEDOR!A2038,PEDIDOS!$A:$A,0),3)</f>
        <v>#N/A</v>
      </c>
      <c r="E2038" s="3" t="e">
        <f>INDEX(PEDIDOS!$A:$D,MATCH(FORNECEDOR!A2038,PEDIDOS!$A:$A,0),4)</f>
        <v>#N/A</v>
      </c>
    </row>
    <row r="2039" spans="1:5" hidden="1" x14ac:dyDescent="0.25">
      <c r="A2039" s="1" t="s">
        <v>2038</v>
      </c>
      <c r="B2039" s="3">
        <f>COUNTIF(PEDIDOS!$A:$A,FORNECEDOR!A2039)</f>
        <v>0</v>
      </c>
      <c r="C2039" s="3" t="e">
        <f>INDEX(PEDIDOS!$A:$D,MATCH(FORNECEDOR!A2039,PEDIDOS!$A:$A,0),2)</f>
        <v>#N/A</v>
      </c>
      <c r="D2039" s="3" t="e">
        <f>INDEX(PEDIDOS!$A:$D,MATCH(FORNECEDOR!A2039,PEDIDOS!$A:$A,0),3)</f>
        <v>#N/A</v>
      </c>
      <c r="E2039" s="3" t="e">
        <f>INDEX(PEDIDOS!$A:$D,MATCH(FORNECEDOR!A2039,PEDIDOS!$A:$A,0),4)</f>
        <v>#N/A</v>
      </c>
    </row>
    <row r="2040" spans="1:5" hidden="1" x14ac:dyDescent="0.25">
      <c r="A2040" s="1" t="s">
        <v>2039</v>
      </c>
      <c r="B2040" s="3">
        <f>COUNTIF(PEDIDOS!$A:$A,FORNECEDOR!A2040)</f>
        <v>0</v>
      </c>
      <c r="C2040" s="3" t="e">
        <f>INDEX(PEDIDOS!$A:$D,MATCH(FORNECEDOR!A2040,PEDIDOS!$A:$A,0),2)</f>
        <v>#N/A</v>
      </c>
      <c r="D2040" s="3" t="e">
        <f>INDEX(PEDIDOS!$A:$D,MATCH(FORNECEDOR!A2040,PEDIDOS!$A:$A,0),3)</f>
        <v>#N/A</v>
      </c>
      <c r="E2040" s="3" t="e">
        <f>INDEX(PEDIDOS!$A:$D,MATCH(FORNECEDOR!A2040,PEDIDOS!$A:$A,0),4)</f>
        <v>#N/A</v>
      </c>
    </row>
    <row r="2041" spans="1:5" x14ac:dyDescent="0.25">
      <c r="A2041" s="1" t="s">
        <v>2040</v>
      </c>
      <c r="B2041" s="3">
        <f>COUNTIF(PEDIDOS!$A:$A,FORNECEDOR!A2041)</f>
        <v>2</v>
      </c>
      <c r="C2041" s="3" t="str">
        <f>INDEX(PEDIDOS!$A:$D,MATCH(FORNECEDOR!A2041,PEDIDOS!$A:$A,0),2)</f>
        <v>CD REGIS</v>
      </c>
      <c r="D2041" s="3" t="str">
        <f>INDEX(PEDIDOS!$A:$D,MATCH(FORNECEDOR!A2041,PEDIDOS!$A:$A,0),3)</f>
        <v>MATRIZ</v>
      </c>
      <c r="E2041" s="3" t="str">
        <f>INDEX(PEDIDOS!$A:$D,MATCH(FORNECEDOR!A2041,PEDIDOS!$A:$A,0),4)</f>
        <v>CD REGIS</v>
      </c>
    </row>
    <row r="2042" spans="1:5" hidden="1" x14ac:dyDescent="0.25">
      <c r="A2042" s="1" t="s">
        <v>2041</v>
      </c>
      <c r="B2042" s="3">
        <f>COUNTIF(PEDIDOS!$A:$A,FORNECEDOR!A2042)</f>
        <v>0</v>
      </c>
      <c r="C2042" s="3" t="e">
        <f>INDEX(PEDIDOS!$A:$D,MATCH(FORNECEDOR!A2042,PEDIDOS!$A:$A,0),2)</f>
        <v>#N/A</v>
      </c>
      <c r="D2042" s="3" t="e">
        <f>INDEX(PEDIDOS!$A:$D,MATCH(FORNECEDOR!A2042,PEDIDOS!$A:$A,0),3)</f>
        <v>#N/A</v>
      </c>
      <c r="E2042" s="3" t="e">
        <f>INDEX(PEDIDOS!$A:$D,MATCH(FORNECEDOR!A2042,PEDIDOS!$A:$A,0),4)</f>
        <v>#N/A</v>
      </c>
    </row>
    <row r="2043" spans="1:5" x14ac:dyDescent="0.25">
      <c r="A2043" s="1" t="s">
        <v>2042</v>
      </c>
      <c r="B2043" s="3">
        <f>COUNTIF(PEDIDOS!$A:$A,FORNECEDOR!A2043)</f>
        <v>1</v>
      </c>
      <c r="C2043" s="3" t="str">
        <f>INDEX(PEDIDOS!$A:$D,MATCH(FORNECEDOR!A2043,PEDIDOS!$A:$A,0),2)</f>
        <v>CD REGIS</v>
      </c>
      <c r="D2043" s="3" t="str">
        <f>INDEX(PEDIDOS!$A:$D,MATCH(FORNECEDOR!A2043,PEDIDOS!$A:$A,0),3)</f>
        <v>CD REGIS</v>
      </c>
      <c r="E2043" s="3" t="str">
        <f>INDEX(PEDIDOS!$A:$D,MATCH(FORNECEDOR!A2043,PEDIDOS!$A:$A,0),4)</f>
        <v>CD REGIS</v>
      </c>
    </row>
    <row r="2044" spans="1:5" hidden="1" x14ac:dyDescent="0.25">
      <c r="A2044" s="1" t="s">
        <v>2043</v>
      </c>
      <c r="B2044" s="3">
        <f>COUNTIF(PEDIDOS!$A:$A,FORNECEDOR!A2044)</f>
        <v>0</v>
      </c>
      <c r="C2044" s="3" t="e">
        <f>INDEX(PEDIDOS!$A:$D,MATCH(FORNECEDOR!A2044,PEDIDOS!$A:$A,0),2)</f>
        <v>#N/A</v>
      </c>
      <c r="D2044" s="3" t="e">
        <f>INDEX(PEDIDOS!$A:$D,MATCH(FORNECEDOR!A2044,PEDIDOS!$A:$A,0),3)</f>
        <v>#N/A</v>
      </c>
      <c r="E2044" s="3" t="e">
        <f>INDEX(PEDIDOS!$A:$D,MATCH(FORNECEDOR!A2044,PEDIDOS!$A:$A,0),4)</f>
        <v>#N/A</v>
      </c>
    </row>
    <row r="2045" spans="1:5" x14ac:dyDescent="0.25">
      <c r="A2045" s="1" t="s">
        <v>2044</v>
      </c>
      <c r="B2045" s="3">
        <f>COUNTIF(PEDIDOS!$A:$A,FORNECEDOR!A2045)</f>
        <v>1</v>
      </c>
      <c r="C2045" s="3" t="str">
        <f>INDEX(PEDIDOS!$A:$D,MATCH(FORNECEDOR!A2045,PEDIDOS!$A:$A,0),2)</f>
        <v>CD REGIS</v>
      </c>
      <c r="D2045" s="3" t="str">
        <f>INDEX(PEDIDOS!$A:$D,MATCH(FORNECEDOR!A2045,PEDIDOS!$A:$A,0),3)</f>
        <v>TATUAPE</v>
      </c>
      <c r="E2045" s="3" t="str">
        <f>INDEX(PEDIDOS!$A:$D,MATCH(FORNECEDOR!A2045,PEDIDOS!$A:$A,0),4)</f>
        <v>CD REGIS</v>
      </c>
    </row>
    <row r="2046" spans="1:5" x14ac:dyDescent="0.25">
      <c r="A2046" s="1" t="s">
        <v>2045</v>
      </c>
      <c r="B2046" s="3">
        <f>COUNTIF(PEDIDOS!$A:$A,FORNECEDOR!A2046)</f>
        <v>1</v>
      </c>
      <c r="C2046" s="3" t="str">
        <f>INDEX(PEDIDOS!$A:$D,MATCH(FORNECEDOR!A2046,PEDIDOS!$A:$A,0),2)</f>
        <v>CD REGIS</v>
      </c>
      <c r="D2046" s="3" t="str">
        <f>INDEX(PEDIDOS!$A:$D,MATCH(FORNECEDOR!A2046,PEDIDOS!$A:$A,0),3)</f>
        <v>MATRIZ</v>
      </c>
      <c r="E2046" s="3" t="str">
        <f>INDEX(PEDIDOS!$A:$D,MATCH(FORNECEDOR!A2046,PEDIDOS!$A:$A,0),4)</f>
        <v>CD REGIS</v>
      </c>
    </row>
    <row r="2047" spans="1:5" x14ac:dyDescent="0.25">
      <c r="A2047" s="1" t="s">
        <v>2046</v>
      </c>
      <c r="B2047" s="3">
        <f>COUNTIF(PEDIDOS!$A:$A,FORNECEDOR!A2047)</f>
        <v>1</v>
      </c>
      <c r="C2047" s="3" t="str">
        <f>INDEX(PEDIDOS!$A:$D,MATCH(FORNECEDOR!A2047,PEDIDOS!$A:$A,0),2)</f>
        <v>CD REGIS</v>
      </c>
      <c r="D2047" s="3" t="str">
        <f>INDEX(PEDIDOS!$A:$D,MATCH(FORNECEDOR!A2047,PEDIDOS!$A:$A,0),3)</f>
        <v>TATUAPE</v>
      </c>
      <c r="E2047" s="3" t="str">
        <f>INDEX(PEDIDOS!$A:$D,MATCH(FORNECEDOR!A2047,PEDIDOS!$A:$A,0),4)</f>
        <v>CD REGIS</v>
      </c>
    </row>
    <row r="2048" spans="1:5" x14ac:dyDescent="0.25">
      <c r="A2048" s="1" t="s">
        <v>2047</v>
      </c>
      <c r="B2048" s="3">
        <f>COUNTIF(PEDIDOS!$A:$A,FORNECEDOR!A2048)</f>
        <v>2</v>
      </c>
      <c r="C2048" s="3" t="str">
        <f>INDEX(PEDIDOS!$A:$D,MATCH(FORNECEDOR!A2048,PEDIDOS!$A:$A,0),2)</f>
        <v>MATRIZ</v>
      </c>
      <c r="D2048" s="3" t="str">
        <f>INDEX(PEDIDOS!$A:$D,MATCH(FORNECEDOR!A2048,PEDIDOS!$A:$A,0),3)</f>
        <v>MATRIZ</v>
      </c>
      <c r="E2048" s="3" t="str">
        <f>INDEX(PEDIDOS!$A:$D,MATCH(FORNECEDOR!A2048,PEDIDOS!$A:$A,0),4)</f>
        <v>MATRIZ</v>
      </c>
    </row>
    <row r="2049" spans="1:5" hidden="1" x14ac:dyDescent="0.25">
      <c r="A2049" s="1" t="s">
        <v>2048</v>
      </c>
      <c r="B2049" s="3">
        <f>COUNTIF(PEDIDOS!$A:$A,FORNECEDOR!A2049)</f>
        <v>0</v>
      </c>
      <c r="C2049" s="3" t="e">
        <f>INDEX(PEDIDOS!$A:$D,MATCH(FORNECEDOR!A2049,PEDIDOS!$A:$A,0),2)</f>
        <v>#N/A</v>
      </c>
      <c r="D2049" s="3" t="e">
        <f>INDEX(PEDIDOS!$A:$D,MATCH(FORNECEDOR!A2049,PEDIDOS!$A:$A,0),3)</f>
        <v>#N/A</v>
      </c>
      <c r="E2049" s="3" t="e">
        <f>INDEX(PEDIDOS!$A:$D,MATCH(FORNECEDOR!A2049,PEDIDOS!$A:$A,0),4)</f>
        <v>#N/A</v>
      </c>
    </row>
    <row r="2050" spans="1:5" hidden="1" x14ac:dyDescent="0.25">
      <c r="A2050" s="1" t="s">
        <v>2049</v>
      </c>
      <c r="B2050" s="3">
        <f>COUNTIF(PEDIDOS!$A:$A,FORNECEDOR!A2050)</f>
        <v>0</v>
      </c>
      <c r="C2050" s="3" t="e">
        <f>INDEX(PEDIDOS!$A:$D,MATCH(FORNECEDOR!A2050,PEDIDOS!$A:$A,0),2)</f>
        <v>#N/A</v>
      </c>
      <c r="D2050" s="3" t="e">
        <f>INDEX(PEDIDOS!$A:$D,MATCH(FORNECEDOR!A2050,PEDIDOS!$A:$A,0),3)</f>
        <v>#N/A</v>
      </c>
      <c r="E2050" s="3" t="e">
        <f>INDEX(PEDIDOS!$A:$D,MATCH(FORNECEDOR!A2050,PEDIDOS!$A:$A,0),4)</f>
        <v>#N/A</v>
      </c>
    </row>
    <row r="2051" spans="1:5" hidden="1" x14ac:dyDescent="0.25">
      <c r="A2051" s="1" t="s">
        <v>2050</v>
      </c>
      <c r="B2051" s="3">
        <f>COUNTIF(PEDIDOS!$A:$A,FORNECEDOR!A2051)</f>
        <v>0</v>
      </c>
      <c r="C2051" s="3" t="e">
        <f>INDEX(PEDIDOS!$A:$D,MATCH(FORNECEDOR!A2051,PEDIDOS!$A:$A,0),2)</f>
        <v>#N/A</v>
      </c>
      <c r="D2051" s="3" t="e">
        <f>INDEX(PEDIDOS!$A:$D,MATCH(FORNECEDOR!A2051,PEDIDOS!$A:$A,0),3)</f>
        <v>#N/A</v>
      </c>
      <c r="E2051" s="3" t="e">
        <f>INDEX(PEDIDOS!$A:$D,MATCH(FORNECEDOR!A2051,PEDIDOS!$A:$A,0),4)</f>
        <v>#N/A</v>
      </c>
    </row>
    <row r="2052" spans="1:5" hidden="1" x14ac:dyDescent="0.25">
      <c r="A2052" s="1" t="s">
        <v>2051</v>
      </c>
      <c r="B2052" s="3">
        <f>COUNTIF(PEDIDOS!$A:$A,FORNECEDOR!A2052)</f>
        <v>0</v>
      </c>
      <c r="C2052" s="3" t="e">
        <f>INDEX(PEDIDOS!$A:$D,MATCH(FORNECEDOR!A2052,PEDIDOS!$A:$A,0),2)</f>
        <v>#N/A</v>
      </c>
      <c r="D2052" s="3" t="e">
        <f>INDEX(PEDIDOS!$A:$D,MATCH(FORNECEDOR!A2052,PEDIDOS!$A:$A,0),3)</f>
        <v>#N/A</v>
      </c>
      <c r="E2052" s="3" t="e">
        <f>INDEX(PEDIDOS!$A:$D,MATCH(FORNECEDOR!A2052,PEDIDOS!$A:$A,0),4)</f>
        <v>#N/A</v>
      </c>
    </row>
    <row r="2053" spans="1:5" hidden="1" x14ac:dyDescent="0.25">
      <c r="A2053" s="1" t="s">
        <v>2052</v>
      </c>
      <c r="B2053" s="3">
        <f>COUNTIF(PEDIDOS!$A:$A,FORNECEDOR!A2053)</f>
        <v>0</v>
      </c>
      <c r="C2053" s="3" t="e">
        <f>INDEX(PEDIDOS!$A:$D,MATCH(FORNECEDOR!A2053,PEDIDOS!$A:$A,0),2)</f>
        <v>#N/A</v>
      </c>
      <c r="D2053" s="3" t="e">
        <f>INDEX(PEDIDOS!$A:$D,MATCH(FORNECEDOR!A2053,PEDIDOS!$A:$A,0),3)</f>
        <v>#N/A</v>
      </c>
      <c r="E2053" s="3" t="e">
        <f>INDEX(PEDIDOS!$A:$D,MATCH(FORNECEDOR!A2053,PEDIDOS!$A:$A,0),4)</f>
        <v>#N/A</v>
      </c>
    </row>
    <row r="2054" spans="1:5" hidden="1" x14ac:dyDescent="0.25">
      <c r="A2054" s="1" t="s">
        <v>2053</v>
      </c>
      <c r="B2054" s="3">
        <f>COUNTIF(PEDIDOS!$A:$A,FORNECEDOR!A2054)</f>
        <v>0</v>
      </c>
      <c r="C2054" s="3" t="e">
        <f>INDEX(PEDIDOS!$A:$D,MATCH(FORNECEDOR!A2054,PEDIDOS!$A:$A,0),2)</f>
        <v>#N/A</v>
      </c>
      <c r="D2054" s="3" t="e">
        <f>INDEX(PEDIDOS!$A:$D,MATCH(FORNECEDOR!A2054,PEDIDOS!$A:$A,0),3)</f>
        <v>#N/A</v>
      </c>
      <c r="E2054" s="3" t="e">
        <f>INDEX(PEDIDOS!$A:$D,MATCH(FORNECEDOR!A2054,PEDIDOS!$A:$A,0),4)</f>
        <v>#N/A</v>
      </c>
    </row>
    <row r="2055" spans="1:5" hidden="1" x14ac:dyDescent="0.25">
      <c r="A2055" s="1" t="s">
        <v>2054</v>
      </c>
      <c r="B2055" s="3">
        <f>COUNTIF(PEDIDOS!$A:$A,FORNECEDOR!A2055)</f>
        <v>0</v>
      </c>
      <c r="C2055" s="3" t="e">
        <f>INDEX(PEDIDOS!$A:$D,MATCH(FORNECEDOR!A2055,PEDIDOS!$A:$A,0),2)</f>
        <v>#N/A</v>
      </c>
      <c r="D2055" s="3" t="e">
        <f>INDEX(PEDIDOS!$A:$D,MATCH(FORNECEDOR!A2055,PEDIDOS!$A:$A,0),3)</f>
        <v>#N/A</v>
      </c>
      <c r="E2055" s="3" t="e">
        <f>INDEX(PEDIDOS!$A:$D,MATCH(FORNECEDOR!A2055,PEDIDOS!$A:$A,0),4)</f>
        <v>#N/A</v>
      </c>
    </row>
    <row r="2056" spans="1:5" hidden="1" x14ac:dyDescent="0.25">
      <c r="A2056" s="1" t="s">
        <v>2055</v>
      </c>
      <c r="B2056" s="3">
        <f>COUNTIF(PEDIDOS!$A:$A,FORNECEDOR!A2056)</f>
        <v>0</v>
      </c>
      <c r="C2056" s="3" t="e">
        <f>INDEX(PEDIDOS!$A:$D,MATCH(FORNECEDOR!A2056,PEDIDOS!$A:$A,0),2)</f>
        <v>#N/A</v>
      </c>
      <c r="D2056" s="3" t="e">
        <f>INDEX(PEDIDOS!$A:$D,MATCH(FORNECEDOR!A2056,PEDIDOS!$A:$A,0),3)</f>
        <v>#N/A</v>
      </c>
      <c r="E2056" s="3" t="e">
        <f>INDEX(PEDIDOS!$A:$D,MATCH(FORNECEDOR!A2056,PEDIDOS!$A:$A,0),4)</f>
        <v>#N/A</v>
      </c>
    </row>
    <row r="2057" spans="1:5" x14ac:dyDescent="0.25">
      <c r="A2057" s="1" t="s">
        <v>2056</v>
      </c>
      <c r="B2057" s="3">
        <f>COUNTIF(PEDIDOS!$A:$A,FORNECEDOR!A2057)</f>
        <v>3</v>
      </c>
      <c r="C2057" s="3" t="str">
        <f>INDEX(PEDIDOS!$A:$D,MATCH(FORNECEDOR!A2057,PEDIDOS!$A:$A,0),2)</f>
        <v>CD ARAQUARI</v>
      </c>
      <c r="D2057" s="3" t="str">
        <f>INDEX(PEDIDOS!$A:$D,MATCH(FORNECEDOR!A2057,PEDIDOS!$A:$A,0),3)</f>
        <v>MATRIZ</v>
      </c>
      <c r="E2057" s="3" t="str">
        <f>INDEX(PEDIDOS!$A:$D,MATCH(FORNECEDOR!A2057,PEDIDOS!$A:$A,0),4)</f>
        <v>CD ARAQUARI</v>
      </c>
    </row>
    <row r="2058" spans="1:5" hidden="1" x14ac:dyDescent="0.25">
      <c r="A2058" s="1" t="s">
        <v>2057</v>
      </c>
      <c r="B2058" s="3">
        <f>COUNTIF(PEDIDOS!$A:$A,FORNECEDOR!A2058)</f>
        <v>0</v>
      </c>
      <c r="C2058" s="3" t="e">
        <f>INDEX(PEDIDOS!$A:$D,MATCH(FORNECEDOR!A2058,PEDIDOS!$A:$A,0),2)</f>
        <v>#N/A</v>
      </c>
      <c r="D2058" s="3" t="e">
        <f>INDEX(PEDIDOS!$A:$D,MATCH(FORNECEDOR!A2058,PEDIDOS!$A:$A,0),3)</f>
        <v>#N/A</v>
      </c>
      <c r="E2058" s="3" t="e">
        <f>INDEX(PEDIDOS!$A:$D,MATCH(FORNECEDOR!A2058,PEDIDOS!$A:$A,0),4)</f>
        <v>#N/A</v>
      </c>
    </row>
    <row r="2059" spans="1:5" x14ac:dyDescent="0.25">
      <c r="A2059" s="1" t="s">
        <v>2058</v>
      </c>
      <c r="B2059" s="3">
        <f>COUNTIF(PEDIDOS!$A:$A,FORNECEDOR!A2059)</f>
        <v>2</v>
      </c>
      <c r="C2059" s="3" t="str">
        <f>INDEX(PEDIDOS!$A:$D,MATCH(FORNECEDOR!A2059,PEDIDOS!$A:$A,0),2)</f>
        <v>CD REGIS</v>
      </c>
      <c r="D2059" s="3" t="str">
        <f>INDEX(PEDIDOS!$A:$D,MATCH(FORNECEDOR!A2059,PEDIDOS!$A:$A,0),3)</f>
        <v>MATRIZ</v>
      </c>
      <c r="E2059" s="3" t="str">
        <f>INDEX(PEDIDOS!$A:$D,MATCH(FORNECEDOR!A2059,PEDIDOS!$A:$A,0),4)</f>
        <v>CD REGIS</v>
      </c>
    </row>
    <row r="2060" spans="1:5" x14ac:dyDescent="0.25">
      <c r="A2060" s="1" t="s">
        <v>2059</v>
      </c>
      <c r="B2060" s="3">
        <f>COUNTIF(PEDIDOS!$A:$A,FORNECEDOR!A2060)</f>
        <v>1</v>
      </c>
      <c r="C2060" s="3" t="str">
        <f>INDEX(PEDIDOS!$A:$D,MATCH(FORNECEDOR!A2060,PEDIDOS!$A:$A,0),2)</f>
        <v>CD REGIS</v>
      </c>
      <c r="D2060" s="3" t="str">
        <f>INDEX(PEDIDOS!$A:$D,MATCH(FORNECEDOR!A2060,PEDIDOS!$A:$A,0),3)</f>
        <v>MATRIZ</v>
      </c>
      <c r="E2060" s="3" t="str">
        <f>INDEX(PEDIDOS!$A:$D,MATCH(FORNECEDOR!A2060,PEDIDOS!$A:$A,0),4)</f>
        <v>CD REGIS</v>
      </c>
    </row>
    <row r="2061" spans="1:5" x14ac:dyDescent="0.25">
      <c r="A2061" s="1" t="s">
        <v>2060</v>
      </c>
      <c r="B2061" s="3">
        <f>COUNTIF(PEDIDOS!$A:$A,FORNECEDOR!A2061)</f>
        <v>3</v>
      </c>
      <c r="C2061" s="3" t="str">
        <f>INDEX(PEDIDOS!$A:$D,MATCH(FORNECEDOR!A2061,PEDIDOS!$A:$A,0),2)</f>
        <v>CD ARAQUARI</v>
      </c>
      <c r="D2061" s="3" t="str">
        <f>INDEX(PEDIDOS!$A:$D,MATCH(FORNECEDOR!A2061,PEDIDOS!$A:$A,0),3)</f>
        <v>MATRIZ</v>
      </c>
      <c r="E2061" s="3" t="str">
        <f>INDEX(PEDIDOS!$A:$D,MATCH(FORNECEDOR!A2061,PEDIDOS!$A:$A,0),4)</f>
        <v>CD ARAQUARI</v>
      </c>
    </row>
    <row r="2062" spans="1:5" hidden="1" x14ac:dyDescent="0.25">
      <c r="A2062" s="1" t="s">
        <v>2061</v>
      </c>
      <c r="B2062" s="3">
        <f>COUNTIF(PEDIDOS!$A:$A,FORNECEDOR!A2062)</f>
        <v>0</v>
      </c>
      <c r="C2062" s="3" t="e">
        <f>INDEX(PEDIDOS!$A:$D,MATCH(FORNECEDOR!A2062,PEDIDOS!$A:$A,0),2)</f>
        <v>#N/A</v>
      </c>
      <c r="D2062" s="3" t="e">
        <f>INDEX(PEDIDOS!$A:$D,MATCH(FORNECEDOR!A2062,PEDIDOS!$A:$A,0),3)</f>
        <v>#N/A</v>
      </c>
      <c r="E2062" s="3" t="e">
        <f>INDEX(PEDIDOS!$A:$D,MATCH(FORNECEDOR!A2062,PEDIDOS!$A:$A,0),4)</f>
        <v>#N/A</v>
      </c>
    </row>
    <row r="2063" spans="1:5" x14ac:dyDescent="0.25">
      <c r="A2063" s="1" t="s">
        <v>2062</v>
      </c>
      <c r="B2063" s="3">
        <f>COUNTIF(PEDIDOS!$A:$A,FORNECEDOR!A2063)</f>
        <v>1</v>
      </c>
      <c r="C2063" s="3" t="str">
        <f>INDEX(PEDIDOS!$A:$D,MATCH(FORNECEDOR!A2063,PEDIDOS!$A:$A,0),2)</f>
        <v>SP - PARI</v>
      </c>
      <c r="D2063" s="3" t="str">
        <f>INDEX(PEDIDOS!$A:$D,MATCH(FORNECEDOR!A2063,PEDIDOS!$A:$A,0),3)</f>
        <v>SP - PARI</v>
      </c>
      <c r="E2063" s="3" t="str">
        <f>INDEX(PEDIDOS!$A:$D,MATCH(FORNECEDOR!A2063,PEDIDOS!$A:$A,0),4)</f>
        <v>SP - PARI</v>
      </c>
    </row>
    <row r="2064" spans="1:5" hidden="1" x14ac:dyDescent="0.25">
      <c r="A2064" s="1" t="s">
        <v>2063</v>
      </c>
      <c r="B2064" s="3">
        <f>COUNTIF(PEDIDOS!$A:$A,FORNECEDOR!A2064)</f>
        <v>0</v>
      </c>
      <c r="C2064" s="3" t="e">
        <f>INDEX(PEDIDOS!$A:$D,MATCH(FORNECEDOR!A2064,PEDIDOS!$A:$A,0),2)</f>
        <v>#N/A</v>
      </c>
      <c r="D2064" s="3" t="e">
        <f>INDEX(PEDIDOS!$A:$D,MATCH(FORNECEDOR!A2064,PEDIDOS!$A:$A,0),3)</f>
        <v>#N/A</v>
      </c>
      <c r="E2064" s="3" t="e">
        <f>INDEX(PEDIDOS!$A:$D,MATCH(FORNECEDOR!A2064,PEDIDOS!$A:$A,0),4)</f>
        <v>#N/A</v>
      </c>
    </row>
    <row r="2065" spans="1:5" hidden="1" x14ac:dyDescent="0.25">
      <c r="A2065" s="1" t="s">
        <v>2064</v>
      </c>
      <c r="B2065" s="3">
        <f>COUNTIF(PEDIDOS!$A:$A,FORNECEDOR!A2065)</f>
        <v>0</v>
      </c>
      <c r="C2065" s="3" t="e">
        <f>INDEX(PEDIDOS!$A:$D,MATCH(FORNECEDOR!A2065,PEDIDOS!$A:$A,0),2)</f>
        <v>#N/A</v>
      </c>
      <c r="D2065" s="3" t="e">
        <f>INDEX(PEDIDOS!$A:$D,MATCH(FORNECEDOR!A2065,PEDIDOS!$A:$A,0),3)</f>
        <v>#N/A</v>
      </c>
      <c r="E2065" s="3" t="e">
        <f>INDEX(PEDIDOS!$A:$D,MATCH(FORNECEDOR!A2065,PEDIDOS!$A:$A,0),4)</f>
        <v>#N/A</v>
      </c>
    </row>
    <row r="2066" spans="1:5" x14ac:dyDescent="0.25">
      <c r="A2066" s="1" t="s">
        <v>2065</v>
      </c>
      <c r="B2066" s="3">
        <f>COUNTIF(PEDIDOS!$A:$A,FORNECEDOR!A2066)</f>
        <v>2</v>
      </c>
      <c r="C2066" s="3" t="str">
        <f>INDEX(PEDIDOS!$A:$D,MATCH(FORNECEDOR!A2066,PEDIDOS!$A:$A,0),2)</f>
        <v>CD REGIS</v>
      </c>
      <c r="D2066" s="3" t="str">
        <f>INDEX(PEDIDOS!$A:$D,MATCH(FORNECEDOR!A2066,PEDIDOS!$A:$A,0),3)</f>
        <v>MATRIZ</v>
      </c>
      <c r="E2066" s="3" t="str">
        <f>INDEX(PEDIDOS!$A:$D,MATCH(FORNECEDOR!A2066,PEDIDOS!$A:$A,0),4)</f>
        <v>CD REGIS</v>
      </c>
    </row>
    <row r="2067" spans="1:5" hidden="1" x14ac:dyDescent="0.25">
      <c r="A2067" s="1" t="s">
        <v>2066</v>
      </c>
      <c r="B2067" s="3">
        <f>COUNTIF(PEDIDOS!$A:$A,FORNECEDOR!A2067)</f>
        <v>0</v>
      </c>
      <c r="C2067" s="3" t="e">
        <f>INDEX(PEDIDOS!$A:$D,MATCH(FORNECEDOR!A2067,PEDIDOS!$A:$A,0),2)</f>
        <v>#N/A</v>
      </c>
      <c r="D2067" s="3" t="e">
        <f>INDEX(PEDIDOS!$A:$D,MATCH(FORNECEDOR!A2067,PEDIDOS!$A:$A,0),3)</f>
        <v>#N/A</v>
      </c>
      <c r="E2067" s="3" t="e">
        <f>INDEX(PEDIDOS!$A:$D,MATCH(FORNECEDOR!A2067,PEDIDOS!$A:$A,0),4)</f>
        <v>#N/A</v>
      </c>
    </row>
    <row r="2068" spans="1:5" hidden="1" x14ac:dyDescent="0.25">
      <c r="A2068" s="1" t="s">
        <v>2067</v>
      </c>
      <c r="B2068" s="3">
        <f>COUNTIF(PEDIDOS!$A:$A,FORNECEDOR!A2068)</f>
        <v>0</v>
      </c>
      <c r="C2068" s="3" t="e">
        <f>INDEX(PEDIDOS!$A:$D,MATCH(FORNECEDOR!A2068,PEDIDOS!$A:$A,0),2)</f>
        <v>#N/A</v>
      </c>
      <c r="D2068" s="3" t="e">
        <f>INDEX(PEDIDOS!$A:$D,MATCH(FORNECEDOR!A2068,PEDIDOS!$A:$A,0),3)</f>
        <v>#N/A</v>
      </c>
      <c r="E2068" s="3" t="e">
        <f>INDEX(PEDIDOS!$A:$D,MATCH(FORNECEDOR!A2068,PEDIDOS!$A:$A,0),4)</f>
        <v>#N/A</v>
      </c>
    </row>
    <row r="2069" spans="1:5" x14ac:dyDescent="0.25">
      <c r="A2069" s="1" t="s">
        <v>2068</v>
      </c>
      <c r="B2069" s="3">
        <f>COUNTIF(PEDIDOS!$A:$A,FORNECEDOR!A2069)</f>
        <v>1</v>
      </c>
      <c r="C2069" s="3" t="str">
        <f>INDEX(PEDIDOS!$A:$D,MATCH(FORNECEDOR!A2069,PEDIDOS!$A:$A,0),2)</f>
        <v>MATRIZ</v>
      </c>
      <c r="D2069" s="3" t="str">
        <f>INDEX(PEDIDOS!$A:$D,MATCH(FORNECEDOR!A2069,PEDIDOS!$A:$A,0),3)</f>
        <v>MATRIZ</v>
      </c>
      <c r="E2069" s="3" t="str">
        <f>INDEX(PEDIDOS!$A:$D,MATCH(FORNECEDOR!A2069,PEDIDOS!$A:$A,0),4)</f>
        <v>MATRIZ</v>
      </c>
    </row>
    <row r="2070" spans="1:5" hidden="1" x14ac:dyDescent="0.25">
      <c r="A2070" s="1" t="s">
        <v>2069</v>
      </c>
      <c r="B2070" s="3">
        <f>COUNTIF(PEDIDOS!$A:$A,FORNECEDOR!A2070)</f>
        <v>0</v>
      </c>
      <c r="C2070" s="3" t="e">
        <f>INDEX(PEDIDOS!$A:$D,MATCH(FORNECEDOR!A2070,PEDIDOS!$A:$A,0),2)</f>
        <v>#N/A</v>
      </c>
      <c r="D2070" s="3" t="e">
        <f>INDEX(PEDIDOS!$A:$D,MATCH(FORNECEDOR!A2070,PEDIDOS!$A:$A,0),3)</f>
        <v>#N/A</v>
      </c>
      <c r="E2070" s="3" t="e">
        <f>INDEX(PEDIDOS!$A:$D,MATCH(FORNECEDOR!A2070,PEDIDOS!$A:$A,0),4)</f>
        <v>#N/A</v>
      </c>
    </row>
    <row r="2071" spans="1:5" hidden="1" x14ac:dyDescent="0.25">
      <c r="A2071" s="1" t="s">
        <v>2070</v>
      </c>
      <c r="B2071" s="3">
        <f>COUNTIF(PEDIDOS!$A:$A,FORNECEDOR!A2071)</f>
        <v>0</v>
      </c>
      <c r="C2071" s="3" t="e">
        <f>INDEX(PEDIDOS!$A:$D,MATCH(FORNECEDOR!A2071,PEDIDOS!$A:$A,0),2)</f>
        <v>#N/A</v>
      </c>
      <c r="D2071" s="3" t="e">
        <f>INDEX(PEDIDOS!$A:$D,MATCH(FORNECEDOR!A2071,PEDIDOS!$A:$A,0),3)</f>
        <v>#N/A</v>
      </c>
      <c r="E2071" s="3" t="e">
        <f>INDEX(PEDIDOS!$A:$D,MATCH(FORNECEDOR!A2071,PEDIDOS!$A:$A,0),4)</f>
        <v>#N/A</v>
      </c>
    </row>
    <row r="2072" spans="1:5" hidden="1" x14ac:dyDescent="0.25">
      <c r="A2072" s="1" t="s">
        <v>2071</v>
      </c>
      <c r="B2072" s="3">
        <f>COUNTIF(PEDIDOS!$A:$A,FORNECEDOR!A2072)</f>
        <v>0</v>
      </c>
      <c r="C2072" s="3" t="e">
        <f>INDEX(PEDIDOS!$A:$D,MATCH(FORNECEDOR!A2072,PEDIDOS!$A:$A,0),2)</f>
        <v>#N/A</v>
      </c>
      <c r="D2072" s="3" t="e">
        <f>INDEX(PEDIDOS!$A:$D,MATCH(FORNECEDOR!A2072,PEDIDOS!$A:$A,0),3)</f>
        <v>#N/A</v>
      </c>
      <c r="E2072" s="3" t="e">
        <f>INDEX(PEDIDOS!$A:$D,MATCH(FORNECEDOR!A2072,PEDIDOS!$A:$A,0),4)</f>
        <v>#N/A</v>
      </c>
    </row>
    <row r="2073" spans="1:5" x14ac:dyDescent="0.25">
      <c r="A2073" s="1" t="s">
        <v>2072</v>
      </c>
      <c r="B2073" s="3">
        <f>COUNTIF(PEDIDOS!$A:$A,FORNECEDOR!A2073)</f>
        <v>2</v>
      </c>
      <c r="C2073" s="3" t="str">
        <f>INDEX(PEDIDOS!$A:$D,MATCH(FORNECEDOR!A2073,PEDIDOS!$A:$A,0),2)</f>
        <v>CD REGIS</v>
      </c>
      <c r="D2073" s="3" t="str">
        <f>INDEX(PEDIDOS!$A:$D,MATCH(FORNECEDOR!A2073,PEDIDOS!$A:$A,0),3)</f>
        <v>CD REGIS</v>
      </c>
      <c r="E2073" s="3" t="str">
        <f>INDEX(PEDIDOS!$A:$D,MATCH(FORNECEDOR!A2073,PEDIDOS!$A:$A,0),4)</f>
        <v>CD REGIS</v>
      </c>
    </row>
    <row r="2074" spans="1:5" x14ac:dyDescent="0.25">
      <c r="A2074" s="1" t="s">
        <v>2073</v>
      </c>
      <c r="B2074" s="3">
        <f>COUNTIF(PEDIDOS!$A:$A,FORNECEDOR!A2074)</f>
        <v>1</v>
      </c>
      <c r="C2074" s="3" t="str">
        <f>INDEX(PEDIDOS!$A:$D,MATCH(FORNECEDOR!A2074,PEDIDOS!$A:$A,0),2)</f>
        <v>AVANTI- ADM C.CREDITO</v>
      </c>
      <c r="D2074" s="3" t="str">
        <f>INDEX(PEDIDOS!$A:$D,MATCH(FORNECEDOR!A2074,PEDIDOS!$A:$A,0),3)</f>
        <v>AVANTI- ADM C.CREDITO</v>
      </c>
      <c r="E2074" s="3" t="str">
        <f>INDEX(PEDIDOS!$A:$D,MATCH(FORNECEDOR!A2074,PEDIDOS!$A:$A,0),4)</f>
        <v>AVANTI- ADM C.CREDITO</v>
      </c>
    </row>
    <row r="2075" spans="1:5" hidden="1" x14ac:dyDescent="0.25">
      <c r="A2075" s="1" t="s">
        <v>2074</v>
      </c>
      <c r="B2075" s="3">
        <f>COUNTIF(PEDIDOS!$A:$A,FORNECEDOR!A2075)</f>
        <v>0</v>
      </c>
      <c r="C2075" s="3" t="e">
        <f>INDEX(PEDIDOS!$A:$D,MATCH(FORNECEDOR!A2075,PEDIDOS!$A:$A,0),2)</f>
        <v>#N/A</v>
      </c>
      <c r="D2075" s="3" t="e">
        <f>INDEX(PEDIDOS!$A:$D,MATCH(FORNECEDOR!A2075,PEDIDOS!$A:$A,0),3)</f>
        <v>#N/A</v>
      </c>
      <c r="E2075" s="3" t="e">
        <f>INDEX(PEDIDOS!$A:$D,MATCH(FORNECEDOR!A2075,PEDIDOS!$A:$A,0),4)</f>
        <v>#N/A</v>
      </c>
    </row>
    <row r="2076" spans="1:5" hidden="1" x14ac:dyDescent="0.25">
      <c r="A2076" s="1" t="s">
        <v>2075</v>
      </c>
      <c r="B2076" s="3">
        <f>COUNTIF(PEDIDOS!$A:$A,FORNECEDOR!A2076)</f>
        <v>0</v>
      </c>
      <c r="C2076" s="3" t="e">
        <f>INDEX(PEDIDOS!$A:$D,MATCH(FORNECEDOR!A2076,PEDIDOS!$A:$A,0),2)</f>
        <v>#N/A</v>
      </c>
      <c r="D2076" s="3" t="e">
        <f>INDEX(PEDIDOS!$A:$D,MATCH(FORNECEDOR!A2076,PEDIDOS!$A:$A,0),3)</f>
        <v>#N/A</v>
      </c>
      <c r="E2076" s="3" t="e">
        <f>INDEX(PEDIDOS!$A:$D,MATCH(FORNECEDOR!A2076,PEDIDOS!$A:$A,0),4)</f>
        <v>#N/A</v>
      </c>
    </row>
    <row r="2077" spans="1:5" hidden="1" x14ac:dyDescent="0.25">
      <c r="A2077" s="1" t="s">
        <v>2076</v>
      </c>
      <c r="B2077" s="3">
        <f>COUNTIF(PEDIDOS!$A:$A,FORNECEDOR!A2077)</f>
        <v>0</v>
      </c>
      <c r="C2077" s="3" t="e">
        <f>INDEX(PEDIDOS!$A:$D,MATCH(FORNECEDOR!A2077,PEDIDOS!$A:$A,0),2)</f>
        <v>#N/A</v>
      </c>
      <c r="D2077" s="3" t="e">
        <f>INDEX(PEDIDOS!$A:$D,MATCH(FORNECEDOR!A2077,PEDIDOS!$A:$A,0),3)</f>
        <v>#N/A</v>
      </c>
      <c r="E2077" s="3" t="e">
        <f>INDEX(PEDIDOS!$A:$D,MATCH(FORNECEDOR!A2077,PEDIDOS!$A:$A,0),4)</f>
        <v>#N/A</v>
      </c>
    </row>
    <row r="2078" spans="1:5" hidden="1" x14ac:dyDescent="0.25">
      <c r="A2078" s="1" t="s">
        <v>2077</v>
      </c>
      <c r="B2078" s="3">
        <f>COUNTIF(PEDIDOS!$A:$A,FORNECEDOR!A2078)</f>
        <v>0</v>
      </c>
      <c r="C2078" s="3" t="e">
        <f>INDEX(PEDIDOS!$A:$D,MATCH(FORNECEDOR!A2078,PEDIDOS!$A:$A,0),2)</f>
        <v>#N/A</v>
      </c>
      <c r="D2078" s="3" t="e">
        <f>INDEX(PEDIDOS!$A:$D,MATCH(FORNECEDOR!A2078,PEDIDOS!$A:$A,0),3)</f>
        <v>#N/A</v>
      </c>
      <c r="E2078" s="3" t="e">
        <f>INDEX(PEDIDOS!$A:$D,MATCH(FORNECEDOR!A2078,PEDIDOS!$A:$A,0),4)</f>
        <v>#N/A</v>
      </c>
    </row>
    <row r="2079" spans="1:5" hidden="1" x14ac:dyDescent="0.25">
      <c r="A2079" s="1" t="s">
        <v>2078</v>
      </c>
      <c r="B2079" s="3">
        <f>COUNTIF(PEDIDOS!$A:$A,FORNECEDOR!A2079)</f>
        <v>0</v>
      </c>
      <c r="C2079" s="3" t="e">
        <f>INDEX(PEDIDOS!$A:$D,MATCH(FORNECEDOR!A2079,PEDIDOS!$A:$A,0),2)</f>
        <v>#N/A</v>
      </c>
      <c r="D2079" s="3" t="e">
        <f>INDEX(PEDIDOS!$A:$D,MATCH(FORNECEDOR!A2079,PEDIDOS!$A:$A,0),3)</f>
        <v>#N/A</v>
      </c>
      <c r="E2079" s="3" t="e">
        <f>INDEX(PEDIDOS!$A:$D,MATCH(FORNECEDOR!A2079,PEDIDOS!$A:$A,0),4)</f>
        <v>#N/A</v>
      </c>
    </row>
    <row r="2080" spans="1:5" hidden="1" x14ac:dyDescent="0.25">
      <c r="A2080" s="1" t="s">
        <v>2079</v>
      </c>
      <c r="B2080" s="3">
        <f>COUNTIF(PEDIDOS!$A:$A,FORNECEDOR!A2080)</f>
        <v>0</v>
      </c>
      <c r="C2080" s="3" t="e">
        <f>INDEX(PEDIDOS!$A:$D,MATCH(FORNECEDOR!A2080,PEDIDOS!$A:$A,0),2)</f>
        <v>#N/A</v>
      </c>
      <c r="D2080" s="3" t="e">
        <f>INDEX(PEDIDOS!$A:$D,MATCH(FORNECEDOR!A2080,PEDIDOS!$A:$A,0),3)</f>
        <v>#N/A</v>
      </c>
      <c r="E2080" s="3" t="e">
        <f>INDEX(PEDIDOS!$A:$D,MATCH(FORNECEDOR!A2080,PEDIDOS!$A:$A,0),4)</f>
        <v>#N/A</v>
      </c>
    </row>
    <row r="2081" spans="1:5" x14ac:dyDescent="0.25">
      <c r="A2081" s="1" t="s">
        <v>2080</v>
      </c>
      <c r="B2081" s="3">
        <f>COUNTIF(PEDIDOS!$A:$A,FORNECEDOR!A2081)</f>
        <v>2</v>
      </c>
      <c r="C2081" s="3" t="str">
        <f>INDEX(PEDIDOS!$A:$D,MATCH(FORNECEDOR!A2081,PEDIDOS!$A:$A,0),2)</f>
        <v>ANPPLA</v>
      </c>
      <c r="D2081" s="3" t="str">
        <f>INDEX(PEDIDOS!$A:$D,MATCH(FORNECEDOR!A2081,PEDIDOS!$A:$A,0),3)</f>
        <v>ANPPLA</v>
      </c>
      <c r="E2081" s="3" t="str">
        <f>INDEX(PEDIDOS!$A:$D,MATCH(FORNECEDOR!A2081,PEDIDOS!$A:$A,0),4)</f>
        <v>ANPPLA</v>
      </c>
    </row>
    <row r="2082" spans="1:5" hidden="1" x14ac:dyDescent="0.25">
      <c r="A2082" s="1" t="s">
        <v>2081</v>
      </c>
      <c r="B2082" s="3">
        <f>COUNTIF(PEDIDOS!$A:$A,FORNECEDOR!A2082)</f>
        <v>0</v>
      </c>
      <c r="C2082" s="3" t="e">
        <f>INDEX(PEDIDOS!$A:$D,MATCH(FORNECEDOR!A2082,PEDIDOS!$A:$A,0),2)</f>
        <v>#N/A</v>
      </c>
      <c r="D2082" s="3" t="e">
        <f>INDEX(PEDIDOS!$A:$D,MATCH(FORNECEDOR!A2082,PEDIDOS!$A:$A,0),3)</f>
        <v>#N/A</v>
      </c>
      <c r="E2082" s="3" t="e">
        <f>INDEX(PEDIDOS!$A:$D,MATCH(FORNECEDOR!A2082,PEDIDOS!$A:$A,0),4)</f>
        <v>#N/A</v>
      </c>
    </row>
    <row r="2083" spans="1:5" hidden="1" x14ac:dyDescent="0.25">
      <c r="A2083" s="1" t="s">
        <v>2082</v>
      </c>
      <c r="B2083" s="3">
        <f>COUNTIF(PEDIDOS!$A:$A,FORNECEDOR!A2083)</f>
        <v>0</v>
      </c>
      <c r="C2083" s="3" t="e">
        <f>INDEX(PEDIDOS!$A:$D,MATCH(FORNECEDOR!A2083,PEDIDOS!$A:$A,0),2)</f>
        <v>#N/A</v>
      </c>
      <c r="D2083" s="3" t="e">
        <f>INDEX(PEDIDOS!$A:$D,MATCH(FORNECEDOR!A2083,PEDIDOS!$A:$A,0),3)</f>
        <v>#N/A</v>
      </c>
      <c r="E2083" s="3" t="e">
        <f>INDEX(PEDIDOS!$A:$D,MATCH(FORNECEDOR!A2083,PEDIDOS!$A:$A,0),4)</f>
        <v>#N/A</v>
      </c>
    </row>
    <row r="2084" spans="1:5" hidden="1" x14ac:dyDescent="0.25">
      <c r="A2084" s="1" t="s">
        <v>2083</v>
      </c>
      <c r="B2084" s="3">
        <f>COUNTIF(PEDIDOS!$A:$A,FORNECEDOR!A2084)</f>
        <v>0</v>
      </c>
      <c r="C2084" s="3" t="e">
        <f>INDEX(PEDIDOS!$A:$D,MATCH(FORNECEDOR!A2084,PEDIDOS!$A:$A,0),2)</f>
        <v>#N/A</v>
      </c>
      <c r="D2084" s="3" t="e">
        <f>INDEX(PEDIDOS!$A:$D,MATCH(FORNECEDOR!A2084,PEDIDOS!$A:$A,0),3)</f>
        <v>#N/A</v>
      </c>
      <c r="E2084" s="3" t="e">
        <f>INDEX(PEDIDOS!$A:$D,MATCH(FORNECEDOR!A2084,PEDIDOS!$A:$A,0),4)</f>
        <v>#N/A</v>
      </c>
    </row>
    <row r="2085" spans="1:5" x14ac:dyDescent="0.25">
      <c r="A2085" s="1" t="s">
        <v>2084</v>
      </c>
      <c r="B2085" s="3">
        <f>COUNTIF(PEDIDOS!$A:$A,FORNECEDOR!A2085)</f>
        <v>1</v>
      </c>
      <c r="C2085" s="3" t="str">
        <f>INDEX(PEDIDOS!$A:$D,MATCH(FORNECEDOR!A2085,PEDIDOS!$A:$A,0),2)</f>
        <v>CD REGIS</v>
      </c>
      <c r="D2085" s="3" t="str">
        <f>INDEX(PEDIDOS!$A:$D,MATCH(FORNECEDOR!A2085,PEDIDOS!$A:$A,0),3)</f>
        <v>TATUAPE</v>
      </c>
      <c r="E2085" s="3" t="str">
        <f>INDEX(PEDIDOS!$A:$D,MATCH(FORNECEDOR!A2085,PEDIDOS!$A:$A,0),4)</f>
        <v>CD REGIS</v>
      </c>
    </row>
    <row r="2086" spans="1:5" hidden="1" x14ac:dyDescent="0.25">
      <c r="A2086" s="1" t="s">
        <v>2085</v>
      </c>
      <c r="B2086" s="3">
        <f>COUNTIF(PEDIDOS!$A:$A,FORNECEDOR!A2086)</f>
        <v>0</v>
      </c>
      <c r="C2086" s="3" t="e">
        <f>INDEX(PEDIDOS!$A:$D,MATCH(FORNECEDOR!A2086,PEDIDOS!$A:$A,0),2)</f>
        <v>#N/A</v>
      </c>
      <c r="D2086" s="3" t="e">
        <f>INDEX(PEDIDOS!$A:$D,MATCH(FORNECEDOR!A2086,PEDIDOS!$A:$A,0),3)</f>
        <v>#N/A</v>
      </c>
      <c r="E2086" s="3" t="e">
        <f>INDEX(PEDIDOS!$A:$D,MATCH(FORNECEDOR!A2086,PEDIDOS!$A:$A,0),4)</f>
        <v>#N/A</v>
      </c>
    </row>
    <row r="2087" spans="1:5" x14ac:dyDescent="0.25">
      <c r="A2087" s="1" t="s">
        <v>2086</v>
      </c>
      <c r="B2087" s="3">
        <f>COUNTIF(PEDIDOS!$A:$A,FORNECEDOR!A2087)</f>
        <v>1</v>
      </c>
      <c r="C2087" s="3" t="str">
        <f>INDEX(PEDIDOS!$A:$D,MATCH(FORNECEDOR!A2087,PEDIDOS!$A:$A,0),2)</f>
        <v>POA</v>
      </c>
      <c r="D2087" s="3" t="str">
        <f>INDEX(PEDIDOS!$A:$D,MATCH(FORNECEDOR!A2087,PEDIDOS!$A:$A,0),3)</f>
        <v>POA</v>
      </c>
      <c r="E2087" s="3" t="str">
        <f>INDEX(PEDIDOS!$A:$D,MATCH(FORNECEDOR!A2087,PEDIDOS!$A:$A,0),4)</f>
        <v>POA</v>
      </c>
    </row>
    <row r="2088" spans="1:5" hidden="1" x14ac:dyDescent="0.25">
      <c r="A2088" s="1" t="s">
        <v>2087</v>
      </c>
      <c r="B2088" s="3">
        <f>COUNTIF(PEDIDOS!$A:$A,FORNECEDOR!A2088)</f>
        <v>0</v>
      </c>
      <c r="C2088" s="3" t="e">
        <f>INDEX(PEDIDOS!$A:$D,MATCH(FORNECEDOR!A2088,PEDIDOS!$A:$A,0),2)</f>
        <v>#N/A</v>
      </c>
      <c r="D2088" s="3" t="e">
        <f>INDEX(PEDIDOS!$A:$D,MATCH(FORNECEDOR!A2088,PEDIDOS!$A:$A,0),3)</f>
        <v>#N/A</v>
      </c>
      <c r="E2088" s="3" t="e">
        <f>INDEX(PEDIDOS!$A:$D,MATCH(FORNECEDOR!A2088,PEDIDOS!$A:$A,0),4)</f>
        <v>#N/A</v>
      </c>
    </row>
    <row r="2089" spans="1:5" x14ac:dyDescent="0.25">
      <c r="A2089" s="1" t="s">
        <v>2088</v>
      </c>
      <c r="B2089" s="3">
        <f>COUNTIF(PEDIDOS!$A:$A,FORNECEDOR!A2089)</f>
        <v>1</v>
      </c>
      <c r="C2089" s="3" t="str">
        <f>INDEX(PEDIDOS!$A:$D,MATCH(FORNECEDOR!A2089,PEDIDOS!$A:$A,0),2)</f>
        <v>CD REGIS</v>
      </c>
      <c r="D2089" s="3" t="str">
        <f>INDEX(PEDIDOS!$A:$D,MATCH(FORNECEDOR!A2089,PEDIDOS!$A:$A,0),3)</f>
        <v>TATUAPE</v>
      </c>
      <c r="E2089" s="3" t="str">
        <f>INDEX(PEDIDOS!$A:$D,MATCH(FORNECEDOR!A2089,PEDIDOS!$A:$A,0),4)</f>
        <v>CD REGIS</v>
      </c>
    </row>
    <row r="2090" spans="1:5" hidden="1" x14ac:dyDescent="0.25">
      <c r="A2090" s="1" t="s">
        <v>2089</v>
      </c>
      <c r="B2090" s="3">
        <f>COUNTIF(PEDIDOS!$A:$A,FORNECEDOR!A2090)</f>
        <v>0</v>
      </c>
      <c r="C2090" s="3" t="e">
        <f>INDEX(PEDIDOS!$A:$D,MATCH(FORNECEDOR!A2090,PEDIDOS!$A:$A,0),2)</f>
        <v>#N/A</v>
      </c>
      <c r="D2090" s="3" t="e">
        <f>INDEX(PEDIDOS!$A:$D,MATCH(FORNECEDOR!A2090,PEDIDOS!$A:$A,0),3)</f>
        <v>#N/A</v>
      </c>
      <c r="E2090" s="3" t="e">
        <f>INDEX(PEDIDOS!$A:$D,MATCH(FORNECEDOR!A2090,PEDIDOS!$A:$A,0),4)</f>
        <v>#N/A</v>
      </c>
    </row>
    <row r="2091" spans="1:5" x14ac:dyDescent="0.25">
      <c r="A2091" s="1" t="s">
        <v>2090</v>
      </c>
      <c r="B2091" s="3">
        <f>COUNTIF(PEDIDOS!$A:$A,FORNECEDOR!A2091)</f>
        <v>1</v>
      </c>
      <c r="C2091" s="3" t="str">
        <f>INDEX(PEDIDOS!$A:$D,MATCH(FORNECEDOR!A2091,PEDIDOS!$A:$A,0),2)</f>
        <v>SP - PARI</v>
      </c>
      <c r="D2091" s="3" t="str">
        <f>INDEX(PEDIDOS!$A:$D,MATCH(FORNECEDOR!A2091,PEDIDOS!$A:$A,0),3)</f>
        <v>SP - PARI</v>
      </c>
      <c r="E2091" s="3" t="str">
        <f>INDEX(PEDIDOS!$A:$D,MATCH(FORNECEDOR!A2091,PEDIDOS!$A:$A,0),4)</f>
        <v>SP - PARI</v>
      </c>
    </row>
    <row r="2092" spans="1:5" hidden="1" x14ac:dyDescent="0.25">
      <c r="A2092" s="1" t="s">
        <v>2091</v>
      </c>
      <c r="B2092" s="3">
        <f>COUNTIF(PEDIDOS!$A:$A,FORNECEDOR!A2092)</f>
        <v>0</v>
      </c>
      <c r="C2092" s="3" t="e">
        <f>INDEX(PEDIDOS!$A:$D,MATCH(FORNECEDOR!A2092,PEDIDOS!$A:$A,0),2)</f>
        <v>#N/A</v>
      </c>
      <c r="D2092" s="3" t="e">
        <f>INDEX(PEDIDOS!$A:$D,MATCH(FORNECEDOR!A2092,PEDIDOS!$A:$A,0),3)</f>
        <v>#N/A</v>
      </c>
      <c r="E2092" s="3" t="e">
        <f>INDEX(PEDIDOS!$A:$D,MATCH(FORNECEDOR!A2092,PEDIDOS!$A:$A,0),4)</f>
        <v>#N/A</v>
      </c>
    </row>
    <row r="2093" spans="1:5" hidden="1" x14ac:dyDescent="0.25">
      <c r="A2093" s="1" t="s">
        <v>2092</v>
      </c>
      <c r="B2093" s="3">
        <f>COUNTIF(PEDIDOS!$A:$A,FORNECEDOR!A2093)</f>
        <v>0</v>
      </c>
      <c r="C2093" s="3" t="e">
        <f>INDEX(PEDIDOS!$A:$D,MATCH(FORNECEDOR!A2093,PEDIDOS!$A:$A,0),2)</f>
        <v>#N/A</v>
      </c>
      <c r="D2093" s="3" t="e">
        <f>INDEX(PEDIDOS!$A:$D,MATCH(FORNECEDOR!A2093,PEDIDOS!$A:$A,0),3)</f>
        <v>#N/A</v>
      </c>
      <c r="E2093" s="3" t="e">
        <f>INDEX(PEDIDOS!$A:$D,MATCH(FORNECEDOR!A2093,PEDIDOS!$A:$A,0),4)</f>
        <v>#N/A</v>
      </c>
    </row>
    <row r="2094" spans="1:5" hidden="1" x14ac:dyDescent="0.25">
      <c r="A2094" s="1" t="s">
        <v>2093</v>
      </c>
      <c r="B2094" s="3">
        <f>COUNTIF(PEDIDOS!$A:$A,FORNECEDOR!A2094)</f>
        <v>0</v>
      </c>
      <c r="C2094" s="3" t="e">
        <f>INDEX(PEDIDOS!$A:$D,MATCH(FORNECEDOR!A2094,PEDIDOS!$A:$A,0),2)</f>
        <v>#N/A</v>
      </c>
      <c r="D2094" s="3" t="e">
        <f>INDEX(PEDIDOS!$A:$D,MATCH(FORNECEDOR!A2094,PEDIDOS!$A:$A,0),3)</f>
        <v>#N/A</v>
      </c>
      <c r="E2094" s="3" t="e">
        <f>INDEX(PEDIDOS!$A:$D,MATCH(FORNECEDOR!A2094,PEDIDOS!$A:$A,0),4)</f>
        <v>#N/A</v>
      </c>
    </row>
    <row r="2095" spans="1:5" hidden="1" x14ac:dyDescent="0.25">
      <c r="A2095" s="1" t="s">
        <v>2094</v>
      </c>
      <c r="B2095" s="3">
        <f>COUNTIF(PEDIDOS!$A:$A,FORNECEDOR!A2095)</f>
        <v>0</v>
      </c>
      <c r="C2095" s="3" t="e">
        <f>INDEX(PEDIDOS!$A:$D,MATCH(FORNECEDOR!A2095,PEDIDOS!$A:$A,0),2)</f>
        <v>#N/A</v>
      </c>
      <c r="D2095" s="3" t="e">
        <f>INDEX(PEDIDOS!$A:$D,MATCH(FORNECEDOR!A2095,PEDIDOS!$A:$A,0),3)</f>
        <v>#N/A</v>
      </c>
      <c r="E2095" s="3" t="e">
        <f>INDEX(PEDIDOS!$A:$D,MATCH(FORNECEDOR!A2095,PEDIDOS!$A:$A,0),4)</f>
        <v>#N/A</v>
      </c>
    </row>
    <row r="2096" spans="1:5" x14ac:dyDescent="0.25">
      <c r="A2096" s="1" t="s">
        <v>2095</v>
      </c>
      <c r="B2096" s="3">
        <f>COUNTIF(PEDIDOS!$A:$A,FORNECEDOR!A2096)</f>
        <v>1</v>
      </c>
      <c r="C2096" s="3" t="str">
        <f>INDEX(PEDIDOS!$A:$D,MATCH(FORNECEDOR!A2096,PEDIDOS!$A:$A,0),2)</f>
        <v>CD REGIS</v>
      </c>
      <c r="D2096" s="3" t="str">
        <f>INDEX(PEDIDOS!$A:$D,MATCH(FORNECEDOR!A2096,PEDIDOS!$A:$A,0),3)</f>
        <v>TATUAPE</v>
      </c>
      <c r="E2096" s="3" t="str">
        <f>INDEX(PEDIDOS!$A:$D,MATCH(FORNECEDOR!A2096,PEDIDOS!$A:$A,0),4)</f>
        <v>CD REGIS</v>
      </c>
    </row>
    <row r="2097" spans="1:5" hidden="1" x14ac:dyDescent="0.25">
      <c r="A2097" s="1" t="s">
        <v>2096</v>
      </c>
      <c r="B2097" s="3">
        <f>COUNTIF(PEDIDOS!$A:$A,FORNECEDOR!A2097)</f>
        <v>0</v>
      </c>
      <c r="C2097" s="3" t="e">
        <f>INDEX(PEDIDOS!$A:$D,MATCH(FORNECEDOR!A2097,PEDIDOS!$A:$A,0),2)</f>
        <v>#N/A</v>
      </c>
      <c r="D2097" s="3" t="e">
        <f>INDEX(PEDIDOS!$A:$D,MATCH(FORNECEDOR!A2097,PEDIDOS!$A:$A,0),3)</f>
        <v>#N/A</v>
      </c>
      <c r="E2097" s="3" t="e">
        <f>INDEX(PEDIDOS!$A:$D,MATCH(FORNECEDOR!A2097,PEDIDOS!$A:$A,0),4)</f>
        <v>#N/A</v>
      </c>
    </row>
    <row r="2098" spans="1:5" x14ac:dyDescent="0.25">
      <c r="A2098" s="1" t="s">
        <v>2097</v>
      </c>
      <c r="B2098" s="3">
        <f>COUNTIF(PEDIDOS!$A:$A,FORNECEDOR!A2098)</f>
        <v>1</v>
      </c>
      <c r="C2098" s="3" t="str">
        <f>INDEX(PEDIDOS!$A:$D,MATCH(FORNECEDOR!A2098,PEDIDOS!$A:$A,0),2)</f>
        <v>CD REGIS</v>
      </c>
      <c r="D2098" s="3" t="str">
        <f>INDEX(PEDIDOS!$A:$D,MATCH(FORNECEDOR!A2098,PEDIDOS!$A:$A,0),3)</f>
        <v>TATUAPE</v>
      </c>
      <c r="E2098" s="3" t="str">
        <f>INDEX(PEDIDOS!$A:$D,MATCH(FORNECEDOR!A2098,PEDIDOS!$A:$A,0),4)</f>
        <v>CD REGIS</v>
      </c>
    </row>
    <row r="2099" spans="1:5" hidden="1" x14ac:dyDescent="0.25">
      <c r="A2099" s="1" t="s">
        <v>2098</v>
      </c>
      <c r="B2099" s="3">
        <f>COUNTIF(PEDIDOS!$A:$A,FORNECEDOR!A2099)</f>
        <v>0</v>
      </c>
      <c r="C2099" s="3" t="e">
        <f>INDEX(PEDIDOS!$A:$D,MATCH(FORNECEDOR!A2099,PEDIDOS!$A:$A,0),2)</f>
        <v>#N/A</v>
      </c>
      <c r="D2099" s="3" t="e">
        <f>INDEX(PEDIDOS!$A:$D,MATCH(FORNECEDOR!A2099,PEDIDOS!$A:$A,0),3)</f>
        <v>#N/A</v>
      </c>
      <c r="E2099" s="3" t="e">
        <f>INDEX(PEDIDOS!$A:$D,MATCH(FORNECEDOR!A2099,PEDIDOS!$A:$A,0),4)</f>
        <v>#N/A</v>
      </c>
    </row>
    <row r="2100" spans="1:5" hidden="1" x14ac:dyDescent="0.25">
      <c r="A2100" s="1" t="s">
        <v>2099</v>
      </c>
      <c r="B2100" s="3">
        <f>COUNTIF(PEDIDOS!$A:$A,FORNECEDOR!A2100)</f>
        <v>0</v>
      </c>
      <c r="C2100" s="3" t="e">
        <f>INDEX(PEDIDOS!$A:$D,MATCH(FORNECEDOR!A2100,PEDIDOS!$A:$A,0),2)</f>
        <v>#N/A</v>
      </c>
      <c r="D2100" s="3" t="e">
        <f>INDEX(PEDIDOS!$A:$D,MATCH(FORNECEDOR!A2100,PEDIDOS!$A:$A,0),3)</f>
        <v>#N/A</v>
      </c>
      <c r="E2100" s="3" t="e">
        <f>INDEX(PEDIDOS!$A:$D,MATCH(FORNECEDOR!A2100,PEDIDOS!$A:$A,0),4)</f>
        <v>#N/A</v>
      </c>
    </row>
    <row r="2101" spans="1:5" hidden="1" x14ac:dyDescent="0.25">
      <c r="A2101" s="1" t="s">
        <v>2100</v>
      </c>
      <c r="B2101" s="3">
        <f>COUNTIF(PEDIDOS!$A:$A,FORNECEDOR!A2101)</f>
        <v>0</v>
      </c>
      <c r="C2101" s="3" t="e">
        <f>INDEX(PEDIDOS!$A:$D,MATCH(FORNECEDOR!A2101,PEDIDOS!$A:$A,0),2)</f>
        <v>#N/A</v>
      </c>
      <c r="D2101" s="3" t="e">
        <f>INDEX(PEDIDOS!$A:$D,MATCH(FORNECEDOR!A2101,PEDIDOS!$A:$A,0),3)</f>
        <v>#N/A</v>
      </c>
      <c r="E2101" s="3" t="e">
        <f>INDEX(PEDIDOS!$A:$D,MATCH(FORNECEDOR!A2101,PEDIDOS!$A:$A,0),4)</f>
        <v>#N/A</v>
      </c>
    </row>
    <row r="2102" spans="1:5" hidden="1" x14ac:dyDescent="0.25">
      <c r="A2102" s="1" t="s">
        <v>2101</v>
      </c>
      <c r="B2102" s="3">
        <f>COUNTIF(PEDIDOS!$A:$A,FORNECEDOR!A2102)</f>
        <v>0</v>
      </c>
      <c r="C2102" s="3" t="e">
        <f>INDEX(PEDIDOS!$A:$D,MATCH(FORNECEDOR!A2102,PEDIDOS!$A:$A,0),2)</f>
        <v>#N/A</v>
      </c>
      <c r="D2102" s="3" t="e">
        <f>INDEX(PEDIDOS!$A:$D,MATCH(FORNECEDOR!A2102,PEDIDOS!$A:$A,0),3)</f>
        <v>#N/A</v>
      </c>
      <c r="E2102" s="3" t="e">
        <f>INDEX(PEDIDOS!$A:$D,MATCH(FORNECEDOR!A2102,PEDIDOS!$A:$A,0),4)</f>
        <v>#N/A</v>
      </c>
    </row>
    <row r="2103" spans="1:5" x14ac:dyDescent="0.25">
      <c r="A2103" s="1" t="s">
        <v>2102</v>
      </c>
      <c r="B2103" s="3">
        <f>COUNTIF(PEDIDOS!$A:$A,FORNECEDOR!A2103)</f>
        <v>18</v>
      </c>
      <c r="C2103" s="3" t="str">
        <f>INDEX(PEDIDOS!$A:$D,MATCH(FORNECEDOR!A2103,PEDIDOS!$A:$A,0),2)</f>
        <v>BARUERI</v>
      </c>
      <c r="D2103" s="3" t="str">
        <f>INDEX(PEDIDOS!$A:$D,MATCH(FORNECEDOR!A2103,PEDIDOS!$A:$A,0),3)</f>
        <v>BARUERI</v>
      </c>
      <c r="E2103" s="3" t="str">
        <f>INDEX(PEDIDOS!$A:$D,MATCH(FORNECEDOR!A2103,PEDIDOS!$A:$A,0),4)</f>
        <v>BARUERI</v>
      </c>
    </row>
    <row r="2104" spans="1:5" hidden="1" x14ac:dyDescent="0.25">
      <c r="A2104" s="1" t="s">
        <v>2103</v>
      </c>
      <c r="B2104" s="3">
        <f>COUNTIF(PEDIDOS!$A:$A,FORNECEDOR!A2104)</f>
        <v>0</v>
      </c>
      <c r="C2104" s="3" t="e">
        <f>INDEX(PEDIDOS!$A:$D,MATCH(FORNECEDOR!A2104,PEDIDOS!$A:$A,0),2)</f>
        <v>#N/A</v>
      </c>
      <c r="D2104" s="3" t="e">
        <f>INDEX(PEDIDOS!$A:$D,MATCH(FORNECEDOR!A2104,PEDIDOS!$A:$A,0),3)</f>
        <v>#N/A</v>
      </c>
      <c r="E2104" s="3" t="e">
        <f>INDEX(PEDIDOS!$A:$D,MATCH(FORNECEDOR!A2104,PEDIDOS!$A:$A,0),4)</f>
        <v>#N/A</v>
      </c>
    </row>
    <row r="2105" spans="1:5" hidden="1" x14ac:dyDescent="0.25">
      <c r="A2105" s="1" t="s">
        <v>2104</v>
      </c>
      <c r="B2105" s="3">
        <f>COUNTIF(PEDIDOS!$A:$A,FORNECEDOR!A2105)</f>
        <v>0</v>
      </c>
      <c r="C2105" s="3" t="e">
        <f>INDEX(PEDIDOS!$A:$D,MATCH(FORNECEDOR!A2105,PEDIDOS!$A:$A,0),2)</f>
        <v>#N/A</v>
      </c>
      <c r="D2105" s="3" t="e">
        <f>INDEX(PEDIDOS!$A:$D,MATCH(FORNECEDOR!A2105,PEDIDOS!$A:$A,0),3)</f>
        <v>#N/A</v>
      </c>
      <c r="E2105" s="3" t="e">
        <f>INDEX(PEDIDOS!$A:$D,MATCH(FORNECEDOR!A2105,PEDIDOS!$A:$A,0),4)</f>
        <v>#N/A</v>
      </c>
    </row>
    <row r="2106" spans="1:5" hidden="1" x14ac:dyDescent="0.25">
      <c r="A2106" s="1" t="s">
        <v>2105</v>
      </c>
      <c r="B2106" s="3">
        <f>COUNTIF(PEDIDOS!$A:$A,FORNECEDOR!A2106)</f>
        <v>0</v>
      </c>
      <c r="C2106" s="3" t="e">
        <f>INDEX(PEDIDOS!$A:$D,MATCH(FORNECEDOR!A2106,PEDIDOS!$A:$A,0),2)</f>
        <v>#N/A</v>
      </c>
      <c r="D2106" s="3" t="e">
        <f>INDEX(PEDIDOS!$A:$D,MATCH(FORNECEDOR!A2106,PEDIDOS!$A:$A,0),3)</f>
        <v>#N/A</v>
      </c>
      <c r="E2106" s="3" t="e">
        <f>INDEX(PEDIDOS!$A:$D,MATCH(FORNECEDOR!A2106,PEDIDOS!$A:$A,0),4)</f>
        <v>#N/A</v>
      </c>
    </row>
    <row r="2107" spans="1:5" x14ac:dyDescent="0.25">
      <c r="A2107" s="1" t="s">
        <v>2106</v>
      </c>
      <c r="B2107" s="3">
        <f>COUNTIF(PEDIDOS!$A:$A,FORNECEDOR!A2107)</f>
        <v>2</v>
      </c>
      <c r="C2107" s="3" t="str">
        <f>INDEX(PEDIDOS!$A:$D,MATCH(FORNECEDOR!A2107,PEDIDOS!$A:$A,0),2)</f>
        <v>CD REGIS</v>
      </c>
      <c r="D2107" s="3" t="str">
        <f>INDEX(PEDIDOS!$A:$D,MATCH(FORNECEDOR!A2107,PEDIDOS!$A:$A,0),3)</f>
        <v>CD REGIS</v>
      </c>
      <c r="E2107" s="3" t="str">
        <f>INDEX(PEDIDOS!$A:$D,MATCH(FORNECEDOR!A2107,PEDIDOS!$A:$A,0),4)</f>
        <v>CD REGIS</v>
      </c>
    </row>
    <row r="2108" spans="1:5" hidden="1" x14ac:dyDescent="0.25">
      <c r="A2108" s="1" t="s">
        <v>2107</v>
      </c>
      <c r="B2108" s="3">
        <f>COUNTIF(PEDIDOS!$A:$A,FORNECEDOR!A2108)</f>
        <v>0</v>
      </c>
      <c r="C2108" s="3" t="e">
        <f>INDEX(PEDIDOS!$A:$D,MATCH(FORNECEDOR!A2108,PEDIDOS!$A:$A,0),2)</f>
        <v>#N/A</v>
      </c>
      <c r="D2108" s="3" t="e">
        <f>INDEX(PEDIDOS!$A:$D,MATCH(FORNECEDOR!A2108,PEDIDOS!$A:$A,0),3)</f>
        <v>#N/A</v>
      </c>
      <c r="E2108" s="3" t="e">
        <f>INDEX(PEDIDOS!$A:$D,MATCH(FORNECEDOR!A2108,PEDIDOS!$A:$A,0),4)</f>
        <v>#N/A</v>
      </c>
    </row>
    <row r="2109" spans="1:5" x14ac:dyDescent="0.25">
      <c r="A2109" s="1" t="s">
        <v>2108</v>
      </c>
      <c r="B2109" s="3">
        <f>COUNTIF(PEDIDOS!$A:$A,FORNECEDOR!A2109)</f>
        <v>1</v>
      </c>
      <c r="C2109" s="3" t="str">
        <f>INDEX(PEDIDOS!$A:$D,MATCH(FORNECEDOR!A2109,PEDIDOS!$A:$A,0),2)</f>
        <v>CD REGIS</v>
      </c>
      <c r="D2109" s="3" t="str">
        <f>INDEX(PEDIDOS!$A:$D,MATCH(FORNECEDOR!A2109,PEDIDOS!$A:$A,0),3)</f>
        <v>TATUAPE</v>
      </c>
      <c r="E2109" s="3" t="str">
        <f>INDEX(PEDIDOS!$A:$D,MATCH(FORNECEDOR!A2109,PEDIDOS!$A:$A,0),4)</f>
        <v>CD REGIS</v>
      </c>
    </row>
    <row r="2110" spans="1:5" hidden="1" x14ac:dyDescent="0.25">
      <c r="A2110" s="1" t="s">
        <v>2109</v>
      </c>
      <c r="B2110" s="3">
        <f>COUNTIF(PEDIDOS!$A:$A,FORNECEDOR!A2110)</f>
        <v>0</v>
      </c>
      <c r="C2110" s="3" t="e">
        <f>INDEX(PEDIDOS!$A:$D,MATCH(FORNECEDOR!A2110,PEDIDOS!$A:$A,0),2)</f>
        <v>#N/A</v>
      </c>
      <c r="D2110" s="3" t="e">
        <f>INDEX(PEDIDOS!$A:$D,MATCH(FORNECEDOR!A2110,PEDIDOS!$A:$A,0),3)</f>
        <v>#N/A</v>
      </c>
      <c r="E2110" s="3" t="e">
        <f>INDEX(PEDIDOS!$A:$D,MATCH(FORNECEDOR!A2110,PEDIDOS!$A:$A,0),4)</f>
        <v>#N/A</v>
      </c>
    </row>
    <row r="2111" spans="1:5" hidden="1" x14ac:dyDescent="0.25">
      <c r="A2111" s="1" t="s">
        <v>2110</v>
      </c>
      <c r="B2111" s="3">
        <f>COUNTIF(PEDIDOS!$A:$A,FORNECEDOR!A2111)</f>
        <v>0</v>
      </c>
      <c r="C2111" s="3" t="e">
        <f>INDEX(PEDIDOS!$A:$D,MATCH(FORNECEDOR!A2111,PEDIDOS!$A:$A,0),2)</f>
        <v>#N/A</v>
      </c>
      <c r="D2111" s="3" t="e">
        <f>INDEX(PEDIDOS!$A:$D,MATCH(FORNECEDOR!A2111,PEDIDOS!$A:$A,0),3)</f>
        <v>#N/A</v>
      </c>
      <c r="E2111" s="3" t="e">
        <f>INDEX(PEDIDOS!$A:$D,MATCH(FORNECEDOR!A2111,PEDIDOS!$A:$A,0),4)</f>
        <v>#N/A</v>
      </c>
    </row>
    <row r="2112" spans="1:5" hidden="1" x14ac:dyDescent="0.25">
      <c r="A2112" s="1" t="s">
        <v>2111</v>
      </c>
      <c r="B2112" s="3">
        <f>COUNTIF(PEDIDOS!$A:$A,FORNECEDOR!A2112)</f>
        <v>0</v>
      </c>
      <c r="C2112" s="3" t="e">
        <f>INDEX(PEDIDOS!$A:$D,MATCH(FORNECEDOR!A2112,PEDIDOS!$A:$A,0),2)</f>
        <v>#N/A</v>
      </c>
      <c r="D2112" s="3" t="e">
        <f>INDEX(PEDIDOS!$A:$D,MATCH(FORNECEDOR!A2112,PEDIDOS!$A:$A,0),3)</f>
        <v>#N/A</v>
      </c>
      <c r="E2112" s="3" t="e">
        <f>INDEX(PEDIDOS!$A:$D,MATCH(FORNECEDOR!A2112,PEDIDOS!$A:$A,0),4)</f>
        <v>#N/A</v>
      </c>
    </row>
    <row r="2113" spans="1:5" hidden="1" x14ac:dyDescent="0.25">
      <c r="A2113" s="1" t="s">
        <v>2112</v>
      </c>
      <c r="B2113" s="3">
        <f>COUNTIF(PEDIDOS!$A:$A,FORNECEDOR!A2113)</f>
        <v>0</v>
      </c>
      <c r="C2113" s="3" t="e">
        <f>INDEX(PEDIDOS!$A:$D,MATCH(FORNECEDOR!A2113,PEDIDOS!$A:$A,0),2)</f>
        <v>#N/A</v>
      </c>
      <c r="D2113" s="3" t="e">
        <f>INDEX(PEDIDOS!$A:$D,MATCH(FORNECEDOR!A2113,PEDIDOS!$A:$A,0),3)</f>
        <v>#N/A</v>
      </c>
      <c r="E2113" s="3" t="e">
        <f>INDEX(PEDIDOS!$A:$D,MATCH(FORNECEDOR!A2113,PEDIDOS!$A:$A,0),4)</f>
        <v>#N/A</v>
      </c>
    </row>
    <row r="2114" spans="1:5" hidden="1" x14ac:dyDescent="0.25">
      <c r="A2114" s="1" t="s">
        <v>2113</v>
      </c>
      <c r="B2114" s="3">
        <f>COUNTIF(PEDIDOS!$A:$A,FORNECEDOR!A2114)</f>
        <v>0</v>
      </c>
      <c r="C2114" s="3" t="e">
        <f>INDEX(PEDIDOS!$A:$D,MATCH(FORNECEDOR!A2114,PEDIDOS!$A:$A,0),2)</f>
        <v>#N/A</v>
      </c>
      <c r="D2114" s="3" t="e">
        <f>INDEX(PEDIDOS!$A:$D,MATCH(FORNECEDOR!A2114,PEDIDOS!$A:$A,0),3)</f>
        <v>#N/A</v>
      </c>
      <c r="E2114" s="3" t="e">
        <f>INDEX(PEDIDOS!$A:$D,MATCH(FORNECEDOR!A2114,PEDIDOS!$A:$A,0),4)</f>
        <v>#N/A</v>
      </c>
    </row>
    <row r="2115" spans="1:5" hidden="1" x14ac:dyDescent="0.25">
      <c r="A2115" s="1" t="s">
        <v>2114</v>
      </c>
      <c r="B2115" s="3">
        <f>COUNTIF(PEDIDOS!$A:$A,FORNECEDOR!A2115)</f>
        <v>0</v>
      </c>
      <c r="C2115" s="3" t="e">
        <f>INDEX(PEDIDOS!$A:$D,MATCH(FORNECEDOR!A2115,PEDIDOS!$A:$A,0),2)</f>
        <v>#N/A</v>
      </c>
      <c r="D2115" s="3" t="e">
        <f>INDEX(PEDIDOS!$A:$D,MATCH(FORNECEDOR!A2115,PEDIDOS!$A:$A,0),3)</f>
        <v>#N/A</v>
      </c>
      <c r="E2115" s="3" t="e">
        <f>INDEX(PEDIDOS!$A:$D,MATCH(FORNECEDOR!A2115,PEDIDOS!$A:$A,0),4)</f>
        <v>#N/A</v>
      </c>
    </row>
    <row r="2116" spans="1:5" hidden="1" x14ac:dyDescent="0.25">
      <c r="A2116" s="1" t="s">
        <v>2115</v>
      </c>
      <c r="B2116" s="3">
        <f>COUNTIF(PEDIDOS!$A:$A,FORNECEDOR!A2116)</f>
        <v>0</v>
      </c>
      <c r="C2116" s="3" t="e">
        <f>INDEX(PEDIDOS!$A:$D,MATCH(FORNECEDOR!A2116,PEDIDOS!$A:$A,0),2)</f>
        <v>#N/A</v>
      </c>
      <c r="D2116" s="3" t="e">
        <f>INDEX(PEDIDOS!$A:$D,MATCH(FORNECEDOR!A2116,PEDIDOS!$A:$A,0),3)</f>
        <v>#N/A</v>
      </c>
      <c r="E2116" s="3" t="e">
        <f>INDEX(PEDIDOS!$A:$D,MATCH(FORNECEDOR!A2116,PEDIDOS!$A:$A,0),4)</f>
        <v>#N/A</v>
      </c>
    </row>
    <row r="2117" spans="1:5" x14ac:dyDescent="0.25">
      <c r="A2117" s="1" t="s">
        <v>2116</v>
      </c>
      <c r="B2117" s="3">
        <f>COUNTIF(PEDIDOS!$A:$A,FORNECEDOR!A2117)</f>
        <v>2</v>
      </c>
      <c r="C2117" s="3" t="str">
        <f>INDEX(PEDIDOS!$A:$D,MATCH(FORNECEDOR!A2117,PEDIDOS!$A:$A,0),2)</f>
        <v>CD NAVEGANTES</v>
      </c>
      <c r="D2117" s="3" t="str">
        <f>INDEX(PEDIDOS!$A:$D,MATCH(FORNECEDOR!A2117,PEDIDOS!$A:$A,0),3)</f>
        <v>MATRIZ</v>
      </c>
      <c r="E2117" s="3" t="str">
        <f>INDEX(PEDIDOS!$A:$D,MATCH(FORNECEDOR!A2117,PEDIDOS!$A:$A,0),4)</f>
        <v>CD NAVEGANTES</v>
      </c>
    </row>
    <row r="2118" spans="1:5" hidden="1" x14ac:dyDescent="0.25">
      <c r="A2118" s="1" t="s">
        <v>2117</v>
      </c>
      <c r="B2118" s="3">
        <f>COUNTIF(PEDIDOS!$A:$A,FORNECEDOR!A2118)</f>
        <v>0</v>
      </c>
      <c r="C2118" s="3" t="e">
        <f>INDEX(PEDIDOS!$A:$D,MATCH(FORNECEDOR!A2118,PEDIDOS!$A:$A,0),2)</f>
        <v>#N/A</v>
      </c>
      <c r="D2118" s="3" t="e">
        <f>INDEX(PEDIDOS!$A:$D,MATCH(FORNECEDOR!A2118,PEDIDOS!$A:$A,0),3)</f>
        <v>#N/A</v>
      </c>
      <c r="E2118" s="3" t="e">
        <f>INDEX(PEDIDOS!$A:$D,MATCH(FORNECEDOR!A2118,PEDIDOS!$A:$A,0),4)</f>
        <v>#N/A</v>
      </c>
    </row>
    <row r="2119" spans="1:5" hidden="1" x14ac:dyDescent="0.25">
      <c r="A2119" s="1" t="s">
        <v>2118</v>
      </c>
      <c r="B2119" s="3">
        <f>COUNTIF(PEDIDOS!$A:$A,FORNECEDOR!A2119)</f>
        <v>0</v>
      </c>
      <c r="C2119" s="3" t="e">
        <f>INDEX(PEDIDOS!$A:$D,MATCH(FORNECEDOR!A2119,PEDIDOS!$A:$A,0),2)</f>
        <v>#N/A</v>
      </c>
      <c r="D2119" s="3" t="e">
        <f>INDEX(PEDIDOS!$A:$D,MATCH(FORNECEDOR!A2119,PEDIDOS!$A:$A,0),3)</f>
        <v>#N/A</v>
      </c>
      <c r="E2119" s="3" t="e">
        <f>INDEX(PEDIDOS!$A:$D,MATCH(FORNECEDOR!A2119,PEDIDOS!$A:$A,0),4)</f>
        <v>#N/A</v>
      </c>
    </row>
    <row r="2120" spans="1:5" hidden="1" x14ac:dyDescent="0.25">
      <c r="A2120" s="1" t="s">
        <v>2119</v>
      </c>
      <c r="B2120" s="3">
        <f>COUNTIF(PEDIDOS!$A:$A,FORNECEDOR!A2120)</f>
        <v>0</v>
      </c>
      <c r="C2120" s="3" t="e">
        <f>INDEX(PEDIDOS!$A:$D,MATCH(FORNECEDOR!A2120,PEDIDOS!$A:$A,0),2)</f>
        <v>#N/A</v>
      </c>
      <c r="D2120" s="3" t="e">
        <f>INDEX(PEDIDOS!$A:$D,MATCH(FORNECEDOR!A2120,PEDIDOS!$A:$A,0),3)</f>
        <v>#N/A</v>
      </c>
      <c r="E2120" s="3" t="e">
        <f>INDEX(PEDIDOS!$A:$D,MATCH(FORNECEDOR!A2120,PEDIDOS!$A:$A,0),4)</f>
        <v>#N/A</v>
      </c>
    </row>
    <row r="2121" spans="1:5" hidden="1" x14ac:dyDescent="0.25">
      <c r="A2121" s="1" t="s">
        <v>2120</v>
      </c>
      <c r="B2121" s="3">
        <f>COUNTIF(PEDIDOS!$A:$A,FORNECEDOR!A2121)</f>
        <v>0</v>
      </c>
      <c r="C2121" s="3" t="e">
        <f>INDEX(PEDIDOS!$A:$D,MATCH(FORNECEDOR!A2121,PEDIDOS!$A:$A,0),2)</f>
        <v>#N/A</v>
      </c>
      <c r="D2121" s="3" t="e">
        <f>INDEX(PEDIDOS!$A:$D,MATCH(FORNECEDOR!A2121,PEDIDOS!$A:$A,0),3)</f>
        <v>#N/A</v>
      </c>
      <c r="E2121" s="3" t="e">
        <f>INDEX(PEDIDOS!$A:$D,MATCH(FORNECEDOR!A2121,PEDIDOS!$A:$A,0),4)</f>
        <v>#N/A</v>
      </c>
    </row>
    <row r="2122" spans="1:5" x14ac:dyDescent="0.25">
      <c r="A2122" s="1" t="s">
        <v>2121</v>
      </c>
      <c r="B2122" s="3">
        <f>COUNTIF(PEDIDOS!$A:$A,FORNECEDOR!A2122)</f>
        <v>1</v>
      </c>
      <c r="C2122" s="3" t="str">
        <f>INDEX(PEDIDOS!$A:$D,MATCH(FORNECEDOR!A2122,PEDIDOS!$A:$A,0),2)</f>
        <v>AVANTI- ADM C.CREDITO</v>
      </c>
      <c r="D2122" s="3" t="str">
        <f>INDEX(PEDIDOS!$A:$D,MATCH(FORNECEDOR!A2122,PEDIDOS!$A:$A,0),3)</f>
        <v>AVANTI- ADM C.CREDITO</v>
      </c>
      <c r="E2122" s="3" t="str">
        <f>INDEX(PEDIDOS!$A:$D,MATCH(FORNECEDOR!A2122,PEDIDOS!$A:$A,0),4)</f>
        <v>AVANTI- ADM C.CREDITO</v>
      </c>
    </row>
    <row r="2123" spans="1:5" hidden="1" x14ac:dyDescent="0.25">
      <c r="A2123" s="1" t="s">
        <v>2122</v>
      </c>
      <c r="B2123" s="3">
        <f>COUNTIF(PEDIDOS!$A:$A,FORNECEDOR!A2123)</f>
        <v>0</v>
      </c>
      <c r="C2123" s="3" t="e">
        <f>INDEX(PEDIDOS!$A:$D,MATCH(FORNECEDOR!A2123,PEDIDOS!$A:$A,0),2)</f>
        <v>#N/A</v>
      </c>
      <c r="D2123" s="3" t="e">
        <f>INDEX(PEDIDOS!$A:$D,MATCH(FORNECEDOR!A2123,PEDIDOS!$A:$A,0),3)</f>
        <v>#N/A</v>
      </c>
      <c r="E2123" s="3" t="e">
        <f>INDEX(PEDIDOS!$A:$D,MATCH(FORNECEDOR!A2123,PEDIDOS!$A:$A,0),4)</f>
        <v>#N/A</v>
      </c>
    </row>
    <row r="2124" spans="1:5" x14ac:dyDescent="0.25">
      <c r="A2124" s="1" t="s">
        <v>2123</v>
      </c>
      <c r="B2124" s="3">
        <f>COUNTIF(PEDIDOS!$A:$A,FORNECEDOR!A2124)</f>
        <v>1</v>
      </c>
      <c r="C2124" s="3" t="str">
        <f>INDEX(PEDIDOS!$A:$D,MATCH(FORNECEDOR!A2124,PEDIDOS!$A:$A,0),2)</f>
        <v>CD REGIS</v>
      </c>
      <c r="D2124" s="3" t="str">
        <f>INDEX(PEDIDOS!$A:$D,MATCH(FORNECEDOR!A2124,PEDIDOS!$A:$A,0),3)</f>
        <v>TATUAPE</v>
      </c>
      <c r="E2124" s="3" t="str">
        <f>INDEX(PEDIDOS!$A:$D,MATCH(FORNECEDOR!A2124,PEDIDOS!$A:$A,0),4)</f>
        <v>CD REGIS</v>
      </c>
    </row>
    <row r="2125" spans="1:5" x14ac:dyDescent="0.25">
      <c r="A2125" s="1" t="s">
        <v>2124</v>
      </c>
      <c r="B2125" s="3">
        <f>COUNTIF(PEDIDOS!$A:$A,FORNECEDOR!A2125)</f>
        <v>2</v>
      </c>
      <c r="C2125" s="3" t="str">
        <f>INDEX(PEDIDOS!$A:$D,MATCH(FORNECEDOR!A2125,PEDIDOS!$A:$A,0),2)</f>
        <v>CD REGIS</v>
      </c>
      <c r="D2125" s="3" t="str">
        <f>INDEX(PEDIDOS!$A:$D,MATCH(FORNECEDOR!A2125,PEDIDOS!$A:$A,0),3)</f>
        <v>MATRIZ</v>
      </c>
      <c r="E2125" s="3" t="str">
        <f>INDEX(PEDIDOS!$A:$D,MATCH(FORNECEDOR!A2125,PEDIDOS!$A:$A,0),4)</f>
        <v>CD REGIS</v>
      </c>
    </row>
    <row r="2126" spans="1:5" hidden="1" x14ac:dyDescent="0.25">
      <c r="A2126" s="1" t="s">
        <v>2125</v>
      </c>
      <c r="B2126" s="3">
        <f>COUNTIF(PEDIDOS!$A:$A,FORNECEDOR!A2126)</f>
        <v>0</v>
      </c>
      <c r="C2126" s="3" t="e">
        <f>INDEX(PEDIDOS!$A:$D,MATCH(FORNECEDOR!A2126,PEDIDOS!$A:$A,0),2)</f>
        <v>#N/A</v>
      </c>
      <c r="D2126" s="3" t="e">
        <f>INDEX(PEDIDOS!$A:$D,MATCH(FORNECEDOR!A2126,PEDIDOS!$A:$A,0),3)</f>
        <v>#N/A</v>
      </c>
      <c r="E2126" s="3" t="e">
        <f>INDEX(PEDIDOS!$A:$D,MATCH(FORNECEDOR!A2126,PEDIDOS!$A:$A,0),4)</f>
        <v>#N/A</v>
      </c>
    </row>
    <row r="2127" spans="1:5" hidden="1" x14ac:dyDescent="0.25">
      <c r="A2127" s="1" t="s">
        <v>2126</v>
      </c>
      <c r="B2127" s="3">
        <f>COUNTIF(PEDIDOS!$A:$A,FORNECEDOR!A2127)</f>
        <v>0</v>
      </c>
      <c r="C2127" s="3" t="e">
        <f>INDEX(PEDIDOS!$A:$D,MATCH(FORNECEDOR!A2127,PEDIDOS!$A:$A,0),2)</f>
        <v>#N/A</v>
      </c>
      <c r="D2127" s="3" t="e">
        <f>INDEX(PEDIDOS!$A:$D,MATCH(FORNECEDOR!A2127,PEDIDOS!$A:$A,0),3)</f>
        <v>#N/A</v>
      </c>
      <c r="E2127" s="3" t="e">
        <f>INDEX(PEDIDOS!$A:$D,MATCH(FORNECEDOR!A2127,PEDIDOS!$A:$A,0),4)</f>
        <v>#N/A</v>
      </c>
    </row>
    <row r="2128" spans="1:5" hidden="1" x14ac:dyDescent="0.25">
      <c r="A2128" s="1" t="s">
        <v>2127</v>
      </c>
      <c r="B2128" s="3">
        <f>COUNTIF(PEDIDOS!$A:$A,FORNECEDOR!A2128)</f>
        <v>0</v>
      </c>
      <c r="C2128" s="3" t="e">
        <f>INDEX(PEDIDOS!$A:$D,MATCH(FORNECEDOR!A2128,PEDIDOS!$A:$A,0),2)</f>
        <v>#N/A</v>
      </c>
      <c r="D2128" s="3" t="e">
        <f>INDEX(PEDIDOS!$A:$D,MATCH(FORNECEDOR!A2128,PEDIDOS!$A:$A,0),3)</f>
        <v>#N/A</v>
      </c>
      <c r="E2128" s="3" t="e">
        <f>INDEX(PEDIDOS!$A:$D,MATCH(FORNECEDOR!A2128,PEDIDOS!$A:$A,0),4)</f>
        <v>#N/A</v>
      </c>
    </row>
    <row r="2129" spans="1:5" hidden="1" x14ac:dyDescent="0.25">
      <c r="A2129" s="1" t="s">
        <v>2128</v>
      </c>
      <c r="B2129" s="3">
        <f>COUNTIF(PEDIDOS!$A:$A,FORNECEDOR!A2129)</f>
        <v>0</v>
      </c>
      <c r="C2129" s="3" t="e">
        <f>INDEX(PEDIDOS!$A:$D,MATCH(FORNECEDOR!A2129,PEDIDOS!$A:$A,0),2)</f>
        <v>#N/A</v>
      </c>
      <c r="D2129" s="3" t="e">
        <f>INDEX(PEDIDOS!$A:$D,MATCH(FORNECEDOR!A2129,PEDIDOS!$A:$A,0),3)</f>
        <v>#N/A</v>
      </c>
      <c r="E2129" s="3" t="e">
        <f>INDEX(PEDIDOS!$A:$D,MATCH(FORNECEDOR!A2129,PEDIDOS!$A:$A,0),4)</f>
        <v>#N/A</v>
      </c>
    </row>
    <row r="2130" spans="1:5" x14ac:dyDescent="0.25">
      <c r="A2130" s="1" t="s">
        <v>2129</v>
      </c>
      <c r="B2130" s="3">
        <f>COUNTIF(PEDIDOS!$A:$A,FORNECEDOR!A2130)</f>
        <v>1</v>
      </c>
      <c r="C2130" s="3" t="str">
        <f>INDEX(PEDIDOS!$A:$D,MATCH(FORNECEDOR!A2130,PEDIDOS!$A:$A,0),2)</f>
        <v>CD REGIS</v>
      </c>
      <c r="D2130" s="3" t="str">
        <f>INDEX(PEDIDOS!$A:$D,MATCH(FORNECEDOR!A2130,PEDIDOS!$A:$A,0),3)</f>
        <v>MATRIZ</v>
      </c>
      <c r="E2130" s="3" t="str">
        <f>INDEX(PEDIDOS!$A:$D,MATCH(FORNECEDOR!A2130,PEDIDOS!$A:$A,0),4)</f>
        <v>CD REGIS</v>
      </c>
    </row>
    <row r="2131" spans="1:5" hidden="1" x14ac:dyDescent="0.25">
      <c r="A2131" s="1" t="s">
        <v>2130</v>
      </c>
      <c r="B2131" s="3">
        <f>COUNTIF(PEDIDOS!$A:$A,FORNECEDOR!A2131)</f>
        <v>0</v>
      </c>
      <c r="C2131" s="3" t="e">
        <f>INDEX(PEDIDOS!$A:$D,MATCH(FORNECEDOR!A2131,PEDIDOS!$A:$A,0),2)</f>
        <v>#N/A</v>
      </c>
      <c r="D2131" s="3" t="e">
        <f>INDEX(PEDIDOS!$A:$D,MATCH(FORNECEDOR!A2131,PEDIDOS!$A:$A,0),3)</f>
        <v>#N/A</v>
      </c>
      <c r="E2131" s="3" t="e">
        <f>INDEX(PEDIDOS!$A:$D,MATCH(FORNECEDOR!A2131,PEDIDOS!$A:$A,0),4)</f>
        <v>#N/A</v>
      </c>
    </row>
    <row r="2132" spans="1:5" hidden="1" x14ac:dyDescent="0.25">
      <c r="A2132" s="1" t="s">
        <v>2131</v>
      </c>
      <c r="B2132" s="3">
        <f>COUNTIF(PEDIDOS!$A:$A,FORNECEDOR!A2132)</f>
        <v>0</v>
      </c>
      <c r="C2132" s="3" t="e">
        <f>INDEX(PEDIDOS!$A:$D,MATCH(FORNECEDOR!A2132,PEDIDOS!$A:$A,0),2)</f>
        <v>#N/A</v>
      </c>
      <c r="D2132" s="3" t="e">
        <f>INDEX(PEDIDOS!$A:$D,MATCH(FORNECEDOR!A2132,PEDIDOS!$A:$A,0),3)</f>
        <v>#N/A</v>
      </c>
      <c r="E2132" s="3" t="e">
        <f>INDEX(PEDIDOS!$A:$D,MATCH(FORNECEDOR!A2132,PEDIDOS!$A:$A,0),4)</f>
        <v>#N/A</v>
      </c>
    </row>
    <row r="2133" spans="1:5" hidden="1" x14ac:dyDescent="0.25">
      <c r="A2133" s="1" t="s">
        <v>2132</v>
      </c>
      <c r="B2133" s="3">
        <f>COUNTIF(PEDIDOS!$A:$A,FORNECEDOR!A2133)</f>
        <v>0</v>
      </c>
      <c r="C2133" s="3" t="e">
        <f>INDEX(PEDIDOS!$A:$D,MATCH(FORNECEDOR!A2133,PEDIDOS!$A:$A,0),2)</f>
        <v>#N/A</v>
      </c>
      <c r="D2133" s="3" t="e">
        <f>INDEX(PEDIDOS!$A:$D,MATCH(FORNECEDOR!A2133,PEDIDOS!$A:$A,0),3)</f>
        <v>#N/A</v>
      </c>
      <c r="E2133" s="3" t="e">
        <f>INDEX(PEDIDOS!$A:$D,MATCH(FORNECEDOR!A2133,PEDIDOS!$A:$A,0),4)</f>
        <v>#N/A</v>
      </c>
    </row>
    <row r="2134" spans="1:5" hidden="1" x14ac:dyDescent="0.25">
      <c r="A2134" s="1" t="s">
        <v>2133</v>
      </c>
      <c r="B2134" s="3">
        <f>COUNTIF(PEDIDOS!$A:$A,FORNECEDOR!A2134)</f>
        <v>0</v>
      </c>
      <c r="C2134" s="3" t="e">
        <f>INDEX(PEDIDOS!$A:$D,MATCH(FORNECEDOR!A2134,PEDIDOS!$A:$A,0),2)</f>
        <v>#N/A</v>
      </c>
      <c r="D2134" s="3" t="e">
        <f>INDEX(PEDIDOS!$A:$D,MATCH(FORNECEDOR!A2134,PEDIDOS!$A:$A,0),3)</f>
        <v>#N/A</v>
      </c>
      <c r="E2134" s="3" t="e">
        <f>INDEX(PEDIDOS!$A:$D,MATCH(FORNECEDOR!A2134,PEDIDOS!$A:$A,0),4)</f>
        <v>#N/A</v>
      </c>
    </row>
    <row r="2135" spans="1:5" x14ac:dyDescent="0.25">
      <c r="A2135" s="1" t="s">
        <v>2134</v>
      </c>
      <c r="B2135" s="3">
        <f>COUNTIF(PEDIDOS!$A:$A,FORNECEDOR!A2135)</f>
        <v>1</v>
      </c>
      <c r="C2135" s="3" t="str">
        <f>INDEX(PEDIDOS!$A:$D,MATCH(FORNECEDOR!A2135,PEDIDOS!$A:$A,0),2)</f>
        <v>PIRASSUNUNGA</v>
      </c>
      <c r="D2135" s="3" t="str">
        <f>INDEX(PEDIDOS!$A:$D,MATCH(FORNECEDOR!A2135,PEDIDOS!$A:$A,0),3)</f>
        <v>PIRASSUNUNGA</v>
      </c>
      <c r="E2135" s="3" t="str">
        <f>INDEX(PEDIDOS!$A:$D,MATCH(FORNECEDOR!A2135,PEDIDOS!$A:$A,0),4)</f>
        <v>PIRASSUNUNGA</v>
      </c>
    </row>
    <row r="2136" spans="1:5" hidden="1" x14ac:dyDescent="0.25">
      <c r="A2136" s="1" t="s">
        <v>2135</v>
      </c>
      <c r="B2136" s="3">
        <f>COUNTIF(PEDIDOS!$A:$A,FORNECEDOR!A2136)</f>
        <v>0</v>
      </c>
      <c r="C2136" s="3" t="e">
        <f>INDEX(PEDIDOS!$A:$D,MATCH(FORNECEDOR!A2136,PEDIDOS!$A:$A,0),2)</f>
        <v>#N/A</v>
      </c>
      <c r="D2136" s="3" t="e">
        <f>INDEX(PEDIDOS!$A:$D,MATCH(FORNECEDOR!A2136,PEDIDOS!$A:$A,0),3)</f>
        <v>#N/A</v>
      </c>
      <c r="E2136" s="3" t="e">
        <f>INDEX(PEDIDOS!$A:$D,MATCH(FORNECEDOR!A2136,PEDIDOS!$A:$A,0),4)</f>
        <v>#N/A</v>
      </c>
    </row>
    <row r="2137" spans="1:5" x14ac:dyDescent="0.25">
      <c r="A2137" s="1" t="s">
        <v>2136</v>
      </c>
      <c r="B2137" s="3">
        <f>COUNTIF(PEDIDOS!$A:$A,FORNECEDOR!A2137)</f>
        <v>4</v>
      </c>
      <c r="C2137" s="3" t="str">
        <f>INDEX(PEDIDOS!$A:$D,MATCH(FORNECEDOR!A2137,PEDIDOS!$A:$A,0),2)</f>
        <v>CD ARAQUARI</v>
      </c>
      <c r="D2137" s="3" t="str">
        <f>INDEX(PEDIDOS!$A:$D,MATCH(FORNECEDOR!A2137,PEDIDOS!$A:$A,0),3)</f>
        <v>MATRIZ</v>
      </c>
      <c r="E2137" s="3" t="str">
        <f>INDEX(PEDIDOS!$A:$D,MATCH(FORNECEDOR!A2137,PEDIDOS!$A:$A,0),4)</f>
        <v>CD ARAQUARI</v>
      </c>
    </row>
    <row r="2138" spans="1:5" hidden="1" x14ac:dyDescent="0.25">
      <c r="A2138" s="1" t="s">
        <v>2137</v>
      </c>
      <c r="B2138" s="3">
        <f>COUNTIF(PEDIDOS!$A:$A,FORNECEDOR!A2138)</f>
        <v>0</v>
      </c>
      <c r="C2138" s="3" t="e">
        <f>INDEX(PEDIDOS!$A:$D,MATCH(FORNECEDOR!A2138,PEDIDOS!$A:$A,0),2)</f>
        <v>#N/A</v>
      </c>
      <c r="D2138" s="3" t="e">
        <f>INDEX(PEDIDOS!$A:$D,MATCH(FORNECEDOR!A2138,PEDIDOS!$A:$A,0),3)</f>
        <v>#N/A</v>
      </c>
      <c r="E2138" s="3" t="e">
        <f>INDEX(PEDIDOS!$A:$D,MATCH(FORNECEDOR!A2138,PEDIDOS!$A:$A,0),4)</f>
        <v>#N/A</v>
      </c>
    </row>
    <row r="2139" spans="1:5" hidden="1" x14ac:dyDescent="0.25">
      <c r="A2139" s="1" t="s">
        <v>2138</v>
      </c>
      <c r="B2139" s="3">
        <f>COUNTIF(PEDIDOS!$A:$A,FORNECEDOR!A2139)</f>
        <v>0</v>
      </c>
      <c r="C2139" s="3" t="e">
        <f>INDEX(PEDIDOS!$A:$D,MATCH(FORNECEDOR!A2139,PEDIDOS!$A:$A,0),2)</f>
        <v>#N/A</v>
      </c>
      <c r="D2139" s="3" t="e">
        <f>INDEX(PEDIDOS!$A:$D,MATCH(FORNECEDOR!A2139,PEDIDOS!$A:$A,0),3)</f>
        <v>#N/A</v>
      </c>
      <c r="E2139" s="3" t="e">
        <f>INDEX(PEDIDOS!$A:$D,MATCH(FORNECEDOR!A2139,PEDIDOS!$A:$A,0),4)</f>
        <v>#N/A</v>
      </c>
    </row>
    <row r="2140" spans="1:5" x14ac:dyDescent="0.25">
      <c r="A2140" s="1" t="s">
        <v>2139</v>
      </c>
      <c r="B2140" s="3">
        <f>COUNTIF(PEDIDOS!$A:$A,FORNECEDOR!A2140)</f>
        <v>1</v>
      </c>
      <c r="C2140" s="3" t="str">
        <f>INDEX(PEDIDOS!$A:$D,MATCH(FORNECEDOR!A2140,PEDIDOS!$A:$A,0),2)</f>
        <v>MATRIZ</v>
      </c>
      <c r="D2140" s="3" t="str">
        <f>INDEX(PEDIDOS!$A:$D,MATCH(FORNECEDOR!A2140,PEDIDOS!$A:$A,0),3)</f>
        <v>MATRIZ</v>
      </c>
      <c r="E2140" s="3" t="str">
        <f>INDEX(PEDIDOS!$A:$D,MATCH(FORNECEDOR!A2140,PEDIDOS!$A:$A,0),4)</f>
        <v>MATRIZ</v>
      </c>
    </row>
    <row r="2141" spans="1:5" x14ac:dyDescent="0.25">
      <c r="A2141" s="1" t="s">
        <v>2140</v>
      </c>
      <c r="B2141" s="3">
        <f>COUNTIF(PEDIDOS!$A:$A,FORNECEDOR!A2141)</f>
        <v>2</v>
      </c>
      <c r="C2141" s="3" t="str">
        <f>INDEX(PEDIDOS!$A:$D,MATCH(FORNECEDOR!A2141,PEDIDOS!$A:$A,0),2)</f>
        <v>MATRIZ</v>
      </c>
      <c r="D2141" s="3" t="str">
        <f>INDEX(PEDIDOS!$A:$D,MATCH(FORNECEDOR!A2141,PEDIDOS!$A:$A,0),3)</f>
        <v>MATRIZ</v>
      </c>
      <c r="E2141" s="3" t="str">
        <f>INDEX(PEDIDOS!$A:$D,MATCH(FORNECEDOR!A2141,PEDIDOS!$A:$A,0),4)</f>
        <v>MATRIZ</v>
      </c>
    </row>
    <row r="2142" spans="1:5" x14ac:dyDescent="0.25">
      <c r="A2142" s="1" t="s">
        <v>2141</v>
      </c>
      <c r="B2142" s="3">
        <f>COUNTIF(PEDIDOS!$A:$A,FORNECEDOR!A2142)</f>
        <v>5</v>
      </c>
      <c r="C2142" s="3" t="str">
        <f>INDEX(PEDIDOS!$A:$D,MATCH(FORNECEDOR!A2142,PEDIDOS!$A:$A,0),2)</f>
        <v>ANPPLA</v>
      </c>
      <c r="D2142" s="3" t="str">
        <f>INDEX(PEDIDOS!$A:$D,MATCH(FORNECEDOR!A2142,PEDIDOS!$A:$A,0),3)</f>
        <v>ANPPLA</v>
      </c>
      <c r="E2142" s="3" t="str">
        <f>INDEX(PEDIDOS!$A:$D,MATCH(FORNECEDOR!A2142,PEDIDOS!$A:$A,0),4)</f>
        <v>ANPPLA</v>
      </c>
    </row>
    <row r="2143" spans="1:5" hidden="1" x14ac:dyDescent="0.25">
      <c r="A2143" s="1" t="s">
        <v>2142</v>
      </c>
      <c r="B2143" s="3">
        <f>COUNTIF(PEDIDOS!$A:$A,FORNECEDOR!A2143)</f>
        <v>0</v>
      </c>
      <c r="C2143" s="3" t="e">
        <f>INDEX(PEDIDOS!$A:$D,MATCH(FORNECEDOR!A2143,PEDIDOS!$A:$A,0),2)</f>
        <v>#N/A</v>
      </c>
      <c r="D2143" s="3" t="e">
        <f>INDEX(PEDIDOS!$A:$D,MATCH(FORNECEDOR!A2143,PEDIDOS!$A:$A,0),3)</f>
        <v>#N/A</v>
      </c>
      <c r="E2143" s="3" t="e">
        <f>INDEX(PEDIDOS!$A:$D,MATCH(FORNECEDOR!A2143,PEDIDOS!$A:$A,0),4)</f>
        <v>#N/A</v>
      </c>
    </row>
    <row r="2144" spans="1:5" hidden="1" x14ac:dyDescent="0.25">
      <c r="A2144" s="1" t="s">
        <v>2143</v>
      </c>
      <c r="B2144" s="3">
        <f>COUNTIF(PEDIDOS!$A:$A,FORNECEDOR!A2144)</f>
        <v>0</v>
      </c>
      <c r="C2144" s="3" t="e">
        <f>INDEX(PEDIDOS!$A:$D,MATCH(FORNECEDOR!A2144,PEDIDOS!$A:$A,0),2)</f>
        <v>#N/A</v>
      </c>
      <c r="D2144" s="3" t="e">
        <f>INDEX(PEDIDOS!$A:$D,MATCH(FORNECEDOR!A2144,PEDIDOS!$A:$A,0),3)</f>
        <v>#N/A</v>
      </c>
      <c r="E2144" s="3" t="e">
        <f>INDEX(PEDIDOS!$A:$D,MATCH(FORNECEDOR!A2144,PEDIDOS!$A:$A,0),4)</f>
        <v>#N/A</v>
      </c>
    </row>
    <row r="2145" spans="1:5" hidden="1" x14ac:dyDescent="0.25">
      <c r="A2145" s="1" t="s">
        <v>2144</v>
      </c>
      <c r="B2145" s="3">
        <f>COUNTIF(PEDIDOS!$A:$A,FORNECEDOR!A2145)</f>
        <v>0</v>
      </c>
      <c r="C2145" s="3" t="e">
        <f>INDEX(PEDIDOS!$A:$D,MATCH(FORNECEDOR!A2145,PEDIDOS!$A:$A,0),2)</f>
        <v>#N/A</v>
      </c>
      <c r="D2145" s="3" t="e">
        <f>INDEX(PEDIDOS!$A:$D,MATCH(FORNECEDOR!A2145,PEDIDOS!$A:$A,0),3)</f>
        <v>#N/A</v>
      </c>
      <c r="E2145" s="3" t="e">
        <f>INDEX(PEDIDOS!$A:$D,MATCH(FORNECEDOR!A2145,PEDIDOS!$A:$A,0),4)</f>
        <v>#N/A</v>
      </c>
    </row>
    <row r="2146" spans="1:5" x14ac:dyDescent="0.25">
      <c r="A2146" s="1" t="s">
        <v>2145</v>
      </c>
      <c r="B2146" s="3">
        <f>COUNTIF(PEDIDOS!$A:$A,FORNECEDOR!A2146)</f>
        <v>1</v>
      </c>
      <c r="C2146" s="3" t="str">
        <f>INDEX(PEDIDOS!$A:$D,MATCH(FORNECEDOR!A2146,PEDIDOS!$A:$A,0),2)</f>
        <v>CD REGIS</v>
      </c>
      <c r="D2146" s="3" t="str">
        <f>INDEX(PEDIDOS!$A:$D,MATCH(FORNECEDOR!A2146,PEDIDOS!$A:$A,0),3)</f>
        <v>CD REGIS</v>
      </c>
      <c r="E2146" s="3" t="str">
        <f>INDEX(PEDIDOS!$A:$D,MATCH(FORNECEDOR!A2146,PEDIDOS!$A:$A,0),4)</f>
        <v>CD REGIS</v>
      </c>
    </row>
    <row r="2147" spans="1:5" hidden="1" x14ac:dyDescent="0.25">
      <c r="A2147" s="1" t="s">
        <v>2146</v>
      </c>
      <c r="B2147" s="3">
        <f>COUNTIF(PEDIDOS!$A:$A,FORNECEDOR!A2147)</f>
        <v>0</v>
      </c>
      <c r="C2147" s="3" t="e">
        <f>INDEX(PEDIDOS!$A:$D,MATCH(FORNECEDOR!A2147,PEDIDOS!$A:$A,0),2)</f>
        <v>#N/A</v>
      </c>
      <c r="D2147" s="3" t="e">
        <f>INDEX(PEDIDOS!$A:$D,MATCH(FORNECEDOR!A2147,PEDIDOS!$A:$A,0),3)</f>
        <v>#N/A</v>
      </c>
      <c r="E2147" s="3" t="e">
        <f>INDEX(PEDIDOS!$A:$D,MATCH(FORNECEDOR!A2147,PEDIDOS!$A:$A,0),4)</f>
        <v>#N/A</v>
      </c>
    </row>
    <row r="2148" spans="1:5" x14ac:dyDescent="0.25">
      <c r="A2148" s="1" t="s">
        <v>2147</v>
      </c>
      <c r="B2148" s="3">
        <f>COUNTIF(PEDIDOS!$A:$A,FORNECEDOR!A2148)</f>
        <v>1</v>
      </c>
      <c r="C2148" s="3" t="str">
        <f>INDEX(PEDIDOS!$A:$D,MATCH(FORNECEDOR!A2148,PEDIDOS!$A:$A,0),2)</f>
        <v>CD REGIS</v>
      </c>
      <c r="D2148" s="3" t="str">
        <f>INDEX(PEDIDOS!$A:$D,MATCH(FORNECEDOR!A2148,PEDIDOS!$A:$A,0),3)</f>
        <v>MATRIZ</v>
      </c>
      <c r="E2148" s="3" t="str">
        <f>INDEX(PEDIDOS!$A:$D,MATCH(FORNECEDOR!A2148,PEDIDOS!$A:$A,0),4)</f>
        <v>CD REGIS</v>
      </c>
    </row>
    <row r="2149" spans="1:5" hidden="1" x14ac:dyDescent="0.25">
      <c r="A2149" s="1" t="s">
        <v>2148</v>
      </c>
      <c r="B2149" s="3">
        <f>COUNTIF(PEDIDOS!$A:$A,FORNECEDOR!A2149)</f>
        <v>0</v>
      </c>
      <c r="C2149" s="3" t="e">
        <f>INDEX(PEDIDOS!$A:$D,MATCH(FORNECEDOR!A2149,PEDIDOS!$A:$A,0),2)</f>
        <v>#N/A</v>
      </c>
      <c r="D2149" s="3" t="e">
        <f>INDEX(PEDIDOS!$A:$D,MATCH(FORNECEDOR!A2149,PEDIDOS!$A:$A,0),3)</f>
        <v>#N/A</v>
      </c>
      <c r="E2149" s="3" t="e">
        <f>INDEX(PEDIDOS!$A:$D,MATCH(FORNECEDOR!A2149,PEDIDOS!$A:$A,0),4)</f>
        <v>#N/A</v>
      </c>
    </row>
    <row r="2150" spans="1:5" x14ac:dyDescent="0.25">
      <c r="A2150" s="1" t="s">
        <v>2149</v>
      </c>
      <c r="B2150" s="3">
        <f>COUNTIF(PEDIDOS!$A:$A,FORNECEDOR!A2150)</f>
        <v>1</v>
      </c>
      <c r="C2150" s="3" t="str">
        <f>INDEX(PEDIDOS!$A:$D,MATCH(FORNECEDOR!A2150,PEDIDOS!$A:$A,0),2)</f>
        <v>MATRIZ</v>
      </c>
      <c r="D2150" s="3" t="str">
        <f>INDEX(PEDIDOS!$A:$D,MATCH(FORNECEDOR!A2150,PEDIDOS!$A:$A,0),3)</f>
        <v>MATRIZ</v>
      </c>
      <c r="E2150" s="3" t="str">
        <f>INDEX(PEDIDOS!$A:$D,MATCH(FORNECEDOR!A2150,PEDIDOS!$A:$A,0),4)</f>
        <v>MATRIZ</v>
      </c>
    </row>
    <row r="2151" spans="1:5" hidden="1" x14ac:dyDescent="0.25">
      <c r="A2151" s="1" t="s">
        <v>2150</v>
      </c>
      <c r="B2151" s="3">
        <f>COUNTIF(PEDIDOS!$A:$A,FORNECEDOR!A2151)</f>
        <v>0</v>
      </c>
      <c r="C2151" s="3" t="e">
        <f>INDEX(PEDIDOS!$A:$D,MATCH(FORNECEDOR!A2151,PEDIDOS!$A:$A,0),2)</f>
        <v>#N/A</v>
      </c>
      <c r="D2151" s="3" t="e">
        <f>INDEX(PEDIDOS!$A:$D,MATCH(FORNECEDOR!A2151,PEDIDOS!$A:$A,0),3)</f>
        <v>#N/A</v>
      </c>
      <c r="E2151" s="3" t="e">
        <f>INDEX(PEDIDOS!$A:$D,MATCH(FORNECEDOR!A2151,PEDIDOS!$A:$A,0),4)</f>
        <v>#N/A</v>
      </c>
    </row>
    <row r="2152" spans="1:5" hidden="1" x14ac:dyDescent="0.25">
      <c r="A2152" s="1" t="s">
        <v>2151</v>
      </c>
      <c r="B2152" s="3">
        <f>COUNTIF(PEDIDOS!$A:$A,FORNECEDOR!A2152)</f>
        <v>0</v>
      </c>
      <c r="C2152" s="3" t="e">
        <f>INDEX(PEDIDOS!$A:$D,MATCH(FORNECEDOR!A2152,PEDIDOS!$A:$A,0),2)</f>
        <v>#N/A</v>
      </c>
      <c r="D2152" s="3" t="e">
        <f>INDEX(PEDIDOS!$A:$D,MATCH(FORNECEDOR!A2152,PEDIDOS!$A:$A,0),3)</f>
        <v>#N/A</v>
      </c>
      <c r="E2152" s="3" t="e">
        <f>INDEX(PEDIDOS!$A:$D,MATCH(FORNECEDOR!A2152,PEDIDOS!$A:$A,0),4)</f>
        <v>#N/A</v>
      </c>
    </row>
    <row r="2153" spans="1:5" hidden="1" x14ac:dyDescent="0.25">
      <c r="A2153" s="1" t="s">
        <v>2152</v>
      </c>
      <c r="B2153" s="3">
        <f>COUNTIF(PEDIDOS!$A:$A,FORNECEDOR!A2153)</f>
        <v>0</v>
      </c>
      <c r="C2153" s="3" t="e">
        <f>INDEX(PEDIDOS!$A:$D,MATCH(FORNECEDOR!A2153,PEDIDOS!$A:$A,0),2)</f>
        <v>#N/A</v>
      </c>
      <c r="D2153" s="3" t="e">
        <f>INDEX(PEDIDOS!$A:$D,MATCH(FORNECEDOR!A2153,PEDIDOS!$A:$A,0),3)</f>
        <v>#N/A</v>
      </c>
      <c r="E2153" s="3" t="e">
        <f>INDEX(PEDIDOS!$A:$D,MATCH(FORNECEDOR!A2153,PEDIDOS!$A:$A,0),4)</f>
        <v>#N/A</v>
      </c>
    </row>
    <row r="2154" spans="1:5" hidden="1" x14ac:dyDescent="0.25">
      <c r="A2154" s="1" t="s">
        <v>2153</v>
      </c>
      <c r="B2154" s="3">
        <f>COUNTIF(PEDIDOS!$A:$A,FORNECEDOR!A2154)</f>
        <v>0</v>
      </c>
      <c r="C2154" s="3" t="e">
        <f>INDEX(PEDIDOS!$A:$D,MATCH(FORNECEDOR!A2154,PEDIDOS!$A:$A,0),2)</f>
        <v>#N/A</v>
      </c>
      <c r="D2154" s="3" t="e">
        <f>INDEX(PEDIDOS!$A:$D,MATCH(FORNECEDOR!A2154,PEDIDOS!$A:$A,0),3)</f>
        <v>#N/A</v>
      </c>
      <c r="E2154" s="3" t="e">
        <f>INDEX(PEDIDOS!$A:$D,MATCH(FORNECEDOR!A2154,PEDIDOS!$A:$A,0),4)</f>
        <v>#N/A</v>
      </c>
    </row>
    <row r="2155" spans="1:5" x14ac:dyDescent="0.25">
      <c r="A2155" s="1" t="s">
        <v>2154</v>
      </c>
      <c r="B2155" s="3">
        <f>COUNTIF(PEDIDOS!$A:$A,FORNECEDOR!A2155)</f>
        <v>1</v>
      </c>
      <c r="C2155" s="3" t="str">
        <f>INDEX(PEDIDOS!$A:$D,MATCH(FORNECEDOR!A2155,PEDIDOS!$A:$A,0),2)</f>
        <v>CD REGIS</v>
      </c>
      <c r="D2155" s="3" t="str">
        <f>INDEX(PEDIDOS!$A:$D,MATCH(FORNECEDOR!A2155,PEDIDOS!$A:$A,0),3)</f>
        <v>MATRIZ</v>
      </c>
      <c r="E2155" s="3" t="str">
        <f>INDEX(PEDIDOS!$A:$D,MATCH(FORNECEDOR!A2155,PEDIDOS!$A:$A,0),4)</f>
        <v>CD REGIS</v>
      </c>
    </row>
    <row r="2156" spans="1:5" hidden="1" x14ac:dyDescent="0.25">
      <c r="A2156" s="1" t="s">
        <v>2155</v>
      </c>
      <c r="B2156" s="3">
        <f>COUNTIF(PEDIDOS!$A:$A,FORNECEDOR!A2156)</f>
        <v>0</v>
      </c>
      <c r="C2156" s="3" t="e">
        <f>INDEX(PEDIDOS!$A:$D,MATCH(FORNECEDOR!A2156,PEDIDOS!$A:$A,0),2)</f>
        <v>#N/A</v>
      </c>
      <c r="D2156" s="3" t="e">
        <f>INDEX(PEDIDOS!$A:$D,MATCH(FORNECEDOR!A2156,PEDIDOS!$A:$A,0),3)</f>
        <v>#N/A</v>
      </c>
      <c r="E2156" s="3" t="e">
        <f>INDEX(PEDIDOS!$A:$D,MATCH(FORNECEDOR!A2156,PEDIDOS!$A:$A,0),4)</f>
        <v>#N/A</v>
      </c>
    </row>
    <row r="2157" spans="1:5" hidden="1" x14ac:dyDescent="0.25">
      <c r="A2157" s="1" t="s">
        <v>2156</v>
      </c>
      <c r="B2157" s="3">
        <f>COUNTIF(PEDIDOS!$A:$A,FORNECEDOR!A2157)</f>
        <v>0</v>
      </c>
      <c r="C2157" s="3" t="e">
        <f>INDEX(PEDIDOS!$A:$D,MATCH(FORNECEDOR!A2157,PEDIDOS!$A:$A,0),2)</f>
        <v>#N/A</v>
      </c>
      <c r="D2157" s="3" t="e">
        <f>INDEX(PEDIDOS!$A:$D,MATCH(FORNECEDOR!A2157,PEDIDOS!$A:$A,0),3)</f>
        <v>#N/A</v>
      </c>
      <c r="E2157" s="3" t="e">
        <f>INDEX(PEDIDOS!$A:$D,MATCH(FORNECEDOR!A2157,PEDIDOS!$A:$A,0),4)</f>
        <v>#N/A</v>
      </c>
    </row>
    <row r="2158" spans="1:5" hidden="1" x14ac:dyDescent="0.25">
      <c r="A2158" s="1" t="s">
        <v>2157</v>
      </c>
      <c r="B2158" s="3">
        <f>COUNTIF(PEDIDOS!$A:$A,FORNECEDOR!A2158)</f>
        <v>0</v>
      </c>
      <c r="C2158" s="3" t="e">
        <f>INDEX(PEDIDOS!$A:$D,MATCH(FORNECEDOR!A2158,PEDIDOS!$A:$A,0),2)</f>
        <v>#N/A</v>
      </c>
      <c r="D2158" s="3" t="e">
        <f>INDEX(PEDIDOS!$A:$D,MATCH(FORNECEDOR!A2158,PEDIDOS!$A:$A,0),3)</f>
        <v>#N/A</v>
      </c>
      <c r="E2158" s="3" t="e">
        <f>INDEX(PEDIDOS!$A:$D,MATCH(FORNECEDOR!A2158,PEDIDOS!$A:$A,0),4)</f>
        <v>#N/A</v>
      </c>
    </row>
    <row r="2159" spans="1:5" hidden="1" x14ac:dyDescent="0.25">
      <c r="A2159" s="1" t="s">
        <v>2158</v>
      </c>
      <c r="B2159" s="3">
        <f>COUNTIF(PEDIDOS!$A:$A,FORNECEDOR!A2159)</f>
        <v>0</v>
      </c>
      <c r="C2159" s="3" t="e">
        <f>INDEX(PEDIDOS!$A:$D,MATCH(FORNECEDOR!A2159,PEDIDOS!$A:$A,0),2)</f>
        <v>#N/A</v>
      </c>
      <c r="D2159" s="3" t="e">
        <f>INDEX(PEDIDOS!$A:$D,MATCH(FORNECEDOR!A2159,PEDIDOS!$A:$A,0),3)</f>
        <v>#N/A</v>
      </c>
      <c r="E2159" s="3" t="e">
        <f>INDEX(PEDIDOS!$A:$D,MATCH(FORNECEDOR!A2159,PEDIDOS!$A:$A,0),4)</f>
        <v>#N/A</v>
      </c>
    </row>
    <row r="2160" spans="1:5" hidden="1" x14ac:dyDescent="0.25">
      <c r="A2160" s="1" t="s">
        <v>2159</v>
      </c>
      <c r="B2160" s="3">
        <f>COUNTIF(PEDIDOS!$A:$A,FORNECEDOR!A2160)</f>
        <v>0</v>
      </c>
      <c r="C2160" s="3" t="e">
        <f>INDEX(PEDIDOS!$A:$D,MATCH(FORNECEDOR!A2160,PEDIDOS!$A:$A,0),2)</f>
        <v>#N/A</v>
      </c>
      <c r="D2160" s="3" t="e">
        <f>INDEX(PEDIDOS!$A:$D,MATCH(FORNECEDOR!A2160,PEDIDOS!$A:$A,0),3)</f>
        <v>#N/A</v>
      </c>
      <c r="E2160" s="3" t="e">
        <f>INDEX(PEDIDOS!$A:$D,MATCH(FORNECEDOR!A2160,PEDIDOS!$A:$A,0),4)</f>
        <v>#N/A</v>
      </c>
    </row>
    <row r="2161" spans="1:5" x14ac:dyDescent="0.25">
      <c r="A2161" s="1" t="s">
        <v>2160</v>
      </c>
      <c r="B2161" s="3">
        <f>COUNTIF(PEDIDOS!$A:$A,FORNECEDOR!A2161)</f>
        <v>1</v>
      </c>
      <c r="C2161" s="3" t="str">
        <f>INDEX(PEDIDOS!$A:$D,MATCH(FORNECEDOR!A2161,PEDIDOS!$A:$A,0),2)</f>
        <v>MATRIZ</v>
      </c>
      <c r="D2161" s="3" t="str">
        <f>INDEX(PEDIDOS!$A:$D,MATCH(FORNECEDOR!A2161,PEDIDOS!$A:$A,0),3)</f>
        <v>MATRIZ</v>
      </c>
      <c r="E2161" s="3" t="str">
        <f>INDEX(PEDIDOS!$A:$D,MATCH(FORNECEDOR!A2161,PEDIDOS!$A:$A,0),4)</f>
        <v>MATRIZ</v>
      </c>
    </row>
    <row r="2162" spans="1:5" hidden="1" x14ac:dyDescent="0.25">
      <c r="A2162" s="1" t="s">
        <v>2161</v>
      </c>
      <c r="B2162" s="3">
        <f>COUNTIF(PEDIDOS!$A:$A,FORNECEDOR!A2162)</f>
        <v>0</v>
      </c>
      <c r="C2162" s="3" t="e">
        <f>INDEX(PEDIDOS!$A:$D,MATCH(FORNECEDOR!A2162,PEDIDOS!$A:$A,0),2)</f>
        <v>#N/A</v>
      </c>
      <c r="D2162" s="3" t="e">
        <f>INDEX(PEDIDOS!$A:$D,MATCH(FORNECEDOR!A2162,PEDIDOS!$A:$A,0),3)</f>
        <v>#N/A</v>
      </c>
      <c r="E2162" s="3" t="e">
        <f>INDEX(PEDIDOS!$A:$D,MATCH(FORNECEDOR!A2162,PEDIDOS!$A:$A,0),4)</f>
        <v>#N/A</v>
      </c>
    </row>
    <row r="2163" spans="1:5" hidden="1" x14ac:dyDescent="0.25">
      <c r="A2163" s="1" t="s">
        <v>2162</v>
      </c>
      <c r="B2163" s="3">
        <f>COUNTIF(PEDIDOS!$A:$A,FORNECEDOR!A2163)</f>
        <v>0</v>
      </c>
      <c r="C2163" s="3" t="e">
        <f>INDEX(PEDIDOS!$A:$D,MATCH(FORNECEDOR!A2163,PEDIDOS!$A:$A,0),2)</f>
        <v>#N/A</v>
      </c>
      <c r="D2163" s="3" t="e">
        <f>INDEX(PEDIDOS!$A:$D,MATCH(FORNECEDOR!A2163,PEDIDOS!$A:$A,0),3)</f>
        <v>#N/A</v>
      </c>
      <c r="E2163" s="3" t="e">
        <f>INDEX(PEDIDOS!$A:$D,MATCH(FORNECEDOR!A2163,PEDIDOS!$A:$A,0),4)</f>
        <v>#N/A</v>
      </c>
    </row>
    <row r="2164" spans="1:5" x14ac:dyDescent="0.25">
      <c r="A2164" s="1" t="s">
        <v>2163</v>
      </c>
      <c r="B2164" s="3">
        <f>COUNTIF(PEDIDOS!$A:$A,FORNECEDOR!A2164)</f>
        <v>3</v>
      </c>
      <c r="C2164" s="3" t="str">
        <f>INDEX(PEDIDOS!$A:$D,MATCH(FORNECEDOR!A2164,PEDIDOS!$A:$A,0),2)</f>
        <v>CD REGIS</v>
      </c>
      <c r="D2164" s="3" t="str">
        <f>INDEX(PEDIDOS!$A:$D,MATCH(FORNECEDOR!A2164,PEDIDOS!$A:$A,0),3)</f>
        <v>CD REGIS</v>
      </c>
      <c r="E2164" s="3" t="str">
        <f>INDEX(PEDIDOS!$A:$D,MATCH(FORNECEDOR!A2164,PEDIDOS!$A:$A,0),4)</f>
        <v>CD REGIS</v>
      </c>
    </row>
    <row r="2165" spans="1:5" x14ac:dyDescent="0.25">
      <c r="A2165" s="1" t="s">
        <v>2164</v>
      </c>
      <c r="B2165" s="3">
        <f>COUNTIF(PEDIDOS!$A:$A,FORNECEDOR!A2165)</f>
        <v>8</v>
      </c>
      <c r="C2165" s="3" t="str">
        <f>INDEX(PEDIDOS!$A:$D,MATCH(FORNECEDOR!A2165,PEDIDOS!$A:$A,0),2)</f>
        <v>CD REGIS</v>
      </c>
      <c r="D2165" s="3" t="str">
        <f>INDEX(PEDIDOS!$A:$D,MATCH(FORNECEDOR!A2165,PEDIDOS!$A:$A,0),3)</f>
        <v>CD REGIS</v>
      </c>
      <c r="E2165" s="3" t="str">
        <f>INDEX(PEDIDOS!$A:$D,MATCH(FORNECEDOR!A2165,PEDIDOS!$A:$A,0),4)</f>
        <v>CD REGIS</v>
      </c>
    </row>
    <row r="2166" spans="1:5" hidden="1" x14ac:dyDescent="0.25">
      <c r="A2166" s="1" t="s">
        <v>2165</v>
      </c>
      <c r="B2166" s="3">
        <f>COUNTIF(PEDIDOS!$A:$A,FORNECEDOR!A2166)</f>
        <v>0</v>
      </c>
      <c r="C2166" s="3" t="e">
        <f>INDEX(PEDIDOS!$A:$D,MATCH(FORNECEDOR!A2166,PEDIDOS!$A:$A,0),2)</f>
        <v>#N/A</v>
      </c>
      <c r="D2166" s="3" t="e">
        <f>INDEX(PEDIDOS!$A:$D,MATCH(FORNECEDOR!A2166,PEDIDOS!$A:$A,0),3)</f>
        <v>#N/A</v>
      </c>
      <c r="E2166" s="3" t="e">
        <f>INDEX(PEDIDOS!$A:$D,MATCH(FORNECEDOR!A2166,PEDIDOS!$A:$A,0),4)</f>
        <v>#N/A</v>
      </c>
    </row>
    <row r="2167" spans="1:5" hidden="1" x14ac:dyDescent="0.25">
      <c r="A2167" s="1" t="s">
        <v>2166</v>
      </c>
      <c r="B2167" s="3">
        <f>COUNTIF(PEDIDOS!$A:$A,FORNECEDOR!A2167)</f>
        <v>0</v>
      </c>
      <c r="C2167" s="3" t="e">
        <f>INDEX(PEDIDOS!$A:$D,MATCH(FORNECEDOR!A2167,PEDIDOS!$A:$A,0),2)</f>
        <v>#N/A</v>
      </c>
      <c r="D2167" s="3" t="e">
        <f>INDEX(PEDIDOS!$A:$D,MATCH(FORNECEDOR!A2167,PEDIDOS!$A:$A,0),3)</f>
        <v>#N/A</v>
      </c>
      <c r="E2167" s="3" t="e">
        <f>INDEX(PEDIDOS!$A:$D,MATCH(FORNECEDOR!A2167,PEDIDOS!$A:$A,0),4)</f>
        <v>#N/A</v>
      </c>
    </row>
    <row r="2168" spans="1:5" hidden="1" x14ac:dyDescent="0.25">
      <c r="A2168" s="1" t="s">
        <v>2167</v>
      </c>
      <c r="B2168" s="3">
        <f>COUNTIF(PEDIDOS!$A:$A,FORNECEDOR!A2168)</f>
        <v>0</v>
      </c>
      <c r="C2168" s="3" t="e">
        <f>INDEX(PEDIDOS!$A:$D,MATCH(FORNECEDOR!A2168,PEDIDOS!$A:$A,0),2)</f>
        <v>#N/A</v>
      </c>
      <c r="D2168" s="3" t="e">
        <f>INDEX(PEDIDOS!$A:$D,MATCH(FORNECEDOR!A2168,PEDIDOS!$A:$A,0),3)</f>
        <v>#N/A</v>
      </c>
      <c r="E2168" s="3" t="e">
        <f>INDEX(PEDIDOS!$A:$D,MATCH(FORNECEDOR!A2168,PEDIDOS!$A:$A,0),4)</f>
        <v>#N/A</v>
      </c>
    </row>
    <row r="2169" spans="1:5" x14ac:dyDescent="0.25">
      <c r="A2169" s="1" t="s">
        <v>2168</v>
      </c>
      <c r="B2169" s="3">
        <f>COUNTIF(PEDIDOS!$A:$A,FORNECEDOR!A2169)</f>
        <v>3</v>
      </c>
      <c r="C2169" s="3" t="str">
        <f>INDEX(PEDIDOS!$A:$D,MATCH(FORNECEDOR!A2169,PEDIDOS!$A:$A,0),2)</f>
        <v>CD NAVEGANTES</v>
      </c>
      <c r="D2169" s="3" t="str">
        <f>INDEX(PEDIDOS!$A:$D,MATCH(FORNECEDOR!A2169,PEDIDOS!$A:$A,0),3)</f>
        <v>MATRIZ</v>
      </c>
      <c r="E2169" s="3" t="str">
        <f>INDEX(PEDIDOS!$A:$D,MATCH(FORNECEDOR!A2169,PEDIDOS!$A:$A,0),4)</f>
        <v>CD NAVEGANTES</v>
      </c>
    </row>
    <row r="2170" spans="1:5" x14ac:dyDescent="0.25">
      <c r="A2170" s="1" t="s">
        <v>2169</v>
      </c>
      <c r="B2170" s="3">
        <f>COUNTIF(PEDIDOS!$A:$A,FORNECEDOR!A2170)</f>
        <v>4</v>
      </c>
      <c r="C2170" s="3" t="str">
        <f>INDEX(PEDIDOS!$A:$D,MATCH(FORNECEDOR!A2170,PEDIDOS!$A:$A,0),2)</f>
        <v>CD ARAQUARI</v>
      </c>
      <c r="D2170" s="3" t="str">
        <f>INDEX(PEDIDOS!$A:$D,MATCH(FORNECEDOR!A2170,PEDIDOS!$A:$A,0),3)</f>
        <v>MATRIZ</v>
      </c>
      <c r="E2170" s="3" t="str">
        <f>INDEX(PEDIDOS!$A:$D,MATCH(FORNECEDOR!A2170,PEDIDOS!$A:$A,0),4)</f>
        <v>CD ARAQUARI</v>
      </c>
    </row>
    <row r="2171" spans="1:5" hidden="1" x14ac:dyDescent="0.25">
      <c r="A2171" s="1" t="s">
        <v>2170</v>
      </c>
      <c r="B2171" s="3">
        <f>COUNTIF(PEDIDOS!$A:$A,FORNECEDOR!A2171)</f>
        <v>0</v>
      </c>
      <c r="C2171" s="3" t="e">
        <f>INDEX(PEDIDOS!$A:$D,MATCH(FORNECEDOR!A2171,PEDIDOS!$A:$A,0),2)</f>
        <v>#N/A</v>
      </c>
      <c r="D2171" s="3" t="e">
        <f>INDEX(PEDIDOS!$A:$D,MATCH(FORNECEDOR!A2171,PEDIDOS!$A:$A,0),3)</f>
        <v>#N/A</v>
      </c>
      <c r="E2171" s="3" t="e">
        <f>INDEX(PEDIDOS!$A:$D,MATCH(FORNECEDOR!A2171,PEDIDOS!$A:$A,0),4)</f>
        <v>#N/A</v>
      </c>
    </row>
    <row r="2172" spans="1:5" x14ac:dyDescent="0.25">
      <c r="A2172" s="1" t="s">
        <v>2171</v>
      </c>
      <c r="B2172" s="3">
        <f>COUNTIF(PEDIDOS!$A:$A,FORNECEDOR!A2172)</f>
        <v>1</v>
      </c>
      <c r="C2172" s="3" t="str">
        <f>INDEX(PEDIDOS!$A:$D,MATCH(FORNECEDOR!A2172,PEDIDOS!$A:$A,0),2)</f>
        <v>CD REGIS</v>
      </c>
      <c r="D2172" s="3" t="str">
        <f>INDEX(PEDIDOS!$A:$D,MATCH(FORNECEDOR!A2172,PEDIDOS!$A:$A,0),3)</f>
        <v>TATUAPE</v>
      </c>
      <c r="E2172" s="3" t="str">
        <f>INDEX(PEDIDOS!$A:$D,MATCH(FORNECEDOR!A2172,PEDIDOS!$A:$A,0),4)</f>
        <v>CD REGIS</v>
      </c>
    </row>
    <row r="2173" spans="1:5" hidden="1" x14ac:dyDescent="0.25">
      <c r="A2173" s="1" t="s">
        <v>2172</v>
      </c>
      <c r="B2173" s="3">
        <f>COUNTIF(PEDIDOS!$A:$A,FORNECEDOR!A2173)</f>
        <v>0</v>
      </c>
      <c r="C2173" s="3" t="e">
        <f>INDEX(PEDIDOS!$A:$D,MATCH(FORNECEDOR!A2173,PEDIDOS!$A:$A,0),2)</f>
        <v>#N/A</v>
      </c>
      <c r="D2173" s="3" t="e">
        <f>INDEX(PEDIDOS!$A:$D,MATCH(FORNECEDOR!A2173,PEDIDOS!$A:$A,0),3)</f>
        <v>#N/A</v>
      </c>
      <c r="E2173" s="3" t="e">
        <f>INDEX(PEDIDOS!$A:$D,MATCH(FORNECEDOR!A2173,PEDIDOS!$A:$A,0),4)</f>
        <v>#N/A</v>
      </c>
    </row>
    <row r="2174" spans="1:5" x14ac:dyDescent="0.25">
      <c r="A2174" s="1" t="s">
        <v>2173</v>
      </c>
      <c r="B2174" s="3">
        <f>COUNTIF(PEDIDOS!$A:$A,FORNECEDOR!A2174)</f>
        <v>2</v>
      </c>
      <c r="C2174" s="3" t="str">
        <f>INDEX(PEDIDOS!$A:$D,MATCH(FORNECEDOR!A2174,PEDIDOS!$A:$A,0),2)</f>
        <v>CD REGIS</v>
      </c>
      <c r="D2174" s="3" t="str">
        <f>INDEX(PEDIDOS!$A:$D,MATCH(FORNECEDOR!A2174,PEDIDOS!$A:$A,0),3)</f>
        <v>MATRIZ</v>
      </c>
      <c r="E2174" s="3" t="str">
        <f>INDEX(PEDIDOS!$A:$D,MATCH(FORNECEDOR!A2174,PEDIDOS!$A:$A,0),4)</f>
        <v>CD REGIS</v>
      </c>
    </row>
    <row r="2175" spans="1:5" hidden="1" x14ac:dyDescent="0.25">
      <c r="A2175" s="1" t="s">
        <v>2174</v>
      </c>
      <c r="B2175" s="3">
        <f>COUNTIF(PEDIDOS!$A:$A,FORNECEDOR!A2175)</f>
        <v>0</v>
      </c>
      <c r="C2175" s="3" t="e">
        <f>INDEX(PEDIDOS!$A:$D,MATCH(FORNECEDOR!A2175,PEDIDOS!$A:$A,0),2)</f>
        <v>#N/A</v>
      </c>
      <c r="D2175" s="3" t="e">
        <f>INDEX(PEDIDOS!$A:$D,MATCH(FORNECEDOR!A2175,PEDIDOS!$A:$A,0),3)</f>
        <v>#N/A</v>
      </c>
      <c r="E2175" s="3" t="e">
        <f>INDEX(PEDIDOS!$A:$D,MATCH(FORNECEDOR!A2175,PEDIDOS!$A:$A,0),4)</f>
        <v>#N/A</v>
      </c>
    </row>
    <row r="2176" spans="1:5" hidden="1" x14ac:dyDescent="0.25">
      <c r="A2176" s="1" t="s">
        <v>2175</v>
      </c>
      <c r="B2176" s="3">
        <f>COUNTIF(PEDIDOS!$A:$A,FORNECEDOR!A2176)</f>
        <v>0</v>
      </c>
      <c r="C2176" s="3" t="e">
        <f>INDEX(PEDIDOS!$A:$D,MATCH(FORNECEDOR!A2176,PEDIDOS!$A:$A,0),2)</f>
        <v>#N/A</v>
      </c>
      <c r="D2176" s="3" t="e">
        <f>INDEX(PEDIDOS!$A:$D,MATCH(FORNECEDOR!A2176,PEDIDOS!$A:$A,0),3)</f>
        <v>#N/A</v>
      </c>
      <c r="E2176" s="3" t="e">
        <f>INDEX(PEDIDOS!$A:$D,MATCH(FORNECEDOR!A2176,PEDIDOS!$A:$A,0),4)</f>
        <v>#N/A</v>
      </c>
    </row>
    <row r="2177" spans="1:5" hidden="1" x14ac:dyDescent="0.25">
      <c r="A2177" s="1" t="s">
        <v>2176</v>
      </c>
      <c r="B2177" s="3">
        <f>COUNTIF(PEDIDOS!$A:$A,FORNECEDOR!A2177)</f>
        <v>0</v>
      </c>
      <c r="C2177" s="3" t="e">
        <f>INDEX(PEDIDOS!$A:$D,MATCH(FORNECEDOR!A2177,PEDIDOS!$A:$A,0),2)</f>
        <v>#N/A</v>
      </c>
      <c r="D2177" s="3" t="e">
        <f>INDEX(PEDIDOS!$A:$D,MATCH(FORNECEDOR!A2177,PEDIDOS!$A:$A,0),3)</f>
        <v>#N/A</v>
      </c>
      <c r="E2177" s="3" t="e">
        <f>INDEX(PEDIDOS!$A:$D,MATCH(FORNECEDOR!A2177,PEDIDOS!$A:$A,0),4)</f>
        <v>#N/A</v>
      </c>
    </row>
    <row r="2178" spans="1:5" hidden="1" x14ac:dyDescent="0.25">
      <c r="A2178" s="1" t="s">
        <v>2177</v>
      </c>
      <c r="B2178" s="3">
        <f>COUNTIF(PEDIDOS!$A:$A,FORNECEDOR!A2178)</f>
        <v>0</v>
      </c>
      <c r="C2178" s="3" t="e">
        <f>INDEX(PEDIDOS!$A:$D,MATCH(FORNECEDOR!A2178,PEDIDOS!$A:$A,0),2)</f>
        <v>#N/A</v>
      </c>
      <c r="D2178" s="3" t="e">
        <f>INDEX(PEDIDOS!$A:$D,MATCH(FORNECEDOR!A2178,PEDIDOS!$A:$A,0),3)</f>
        <v>#N/A</v>
      </c>
      <c r="E2178" s="3" t="e">
        <f>INDEX(PEDIDOS!$A:$D,MATCH(FORNECEDOR!A2178,PEDIDOS!$A:$A,0),4)</f>
        <v>#N/A</v>
      </c>
    </row>
    <row r="2179" spans="1:5" x14ac:dyDescent="0.25">
      <c r="A2179" s="1" t="s">
        <v>2178</v>
      </c>
      <c r="B2179" s="3">
        <f>COUNTIF(PEDIDOS!$A:$A,FORNECEDOR!A2179)</f>
        <v>2</v>
      </c>
      <c r="C2179" s="3" t="str">
        <f>INDEX(PEDIDOS!$A:$D,MATCH(FORNECEDOR!A2179,PEDIDOS!$A:$A,0),2)</f>
        <v>CD ARAQUARI</v>
      </c>
      <c r="D2179" s="3" t="str">
        <f>INDEX(PEDIDOS!$A:$D,MATCH(FORNECEDOR!A2179,PEDIDOS!$A:$A,0),3)</f>
        <v>MATRIZ</v>
      </c>
      <c r="E2179" s="3" t="str">
        <f>INDEX(PEDIDOS!$A:$D,MATCH(FORNECEDOR!A2179,PEDIDOS!$A:$A,0),4)</f>
        <v>CD ARAQUARI</v>
      </c>
    </row>
    <row r="2180" spans="1:5" x14ac:dyDescent="0.25">
      <c r="A2180" s="1" t="s">
        <v>2179</v>
      </c>
      <c r="B2180" s="3">
        <f>COUNTIF(PEDIDOS!$A:$A,FORNECEDOR!A2180)</f>
        <v>6</v>
      </c>
      <c r="C2180" s="3" t="str">
        <f>INDEX(PEDIDOS!$A:$D,MATCH(FORNECEDOR!A2180,PEDIDOS!$A:$A,0),2)</f>
        <v>CD ARAQUARI</v>
      </c>
      <c r="D2180" s="3" t="str">
        <f>INDEX(PEDIDOS!$A:$D,MATCH(FORNECEDOR!A2180,PEDIDOS!$A:$A,0),3)</f>
        <v>CD REGIS</v>
      </c>
      <c r="E2180" s="3" t="str">
        <f>INDEX(PEDIDOS!$A:$D,MATCH(FORNECEDOR!A2180,PEDIDOS!$A:$A,0),4)</f>
        <v>CD ARAQUARI</v>
      </c>
    </row>
    <row r="2181" spans="1:5" hidden="1" x14ac:dyDescent="0.25">
      <c r="A2181" s="1" t="s">
        <v>2180</v>
      </c>
      <c r="B2181" s="3">
        <f>COUNTIF(PEDIDOS!$A:$A,FORNECEDOR!A2181)</f>
        <v>0</v>
      </c>
      <c r="C2181" s="3" t="e">
        <f>INDEX(PEDIDOS!$A:$D,MATCH(FORNECEDOR!A2181,PEDIDOS!$A:$A,0),2)</f>
        <v>#N/A</v>
      </c>
      <c r="D2181" s="3" t="e">
        <f>INDEX(PEDIDOS!$A:$D,MATCH(FORNECEDOR!A2181,PEDIDOS!$A:$A,0),3)</f>
        <v>#N/A</v>
      </c>
      <c r="E2181" s="3" t="e">
        <f>INDEX(PEDIDOS!$A:$D,MATCH(FORNECEDOR!A2181,PEDIDOS!$A:$A,0),4)</f>
        <v>#N/A</v>
      </c>
    </row>
    <row r="2182" spans="1:5" x14ac:dyDescent="0.25">
      <c r="A2182" s="1" t="s">
        <v>2181</v>
      </c>
      <c r="B2182" s="3">
        <f>COUNTIF(PEDIDOS!$A:$A,FORNECEDOR!A2182)</f>
        <v>1</v>
      </c>
      <c r="C2182" s="3" t="str">
        <f>INDEX(PEDIDOS!$A:$D,MATCH(FORNECEDOR!A2182,PEDIDOS!$A:$A,0),2)</f>
        <v>MATRIZ</v>
      </c>
      <c r="D2182" s="3" t="str">
        <f>INDEX(PEDIDOS!$A:$D,MATCH(FORNECEDOR!A2182,PEDIDOS!$A:$A,0),3)</f>
        <v>MATRIZ</v>
      </c>
      <c r="E2182" s="3" t="str">
        <f>INDEX(PEDIDOS!$A:$D,MATCH(FORNECEDOR!A2182,PEDIDOS!$A:$A,0),4)</f>
        <v>MATRIZ</v>
      </c>
    </row>
    <row r="2183" spans="1:5" hidden="1" x14ac:dyDescent="0.25">
      <c r="A2183" s="1" t="s">
        <v>2182</v>
      </c>
      <c r="B2183" s="3">
        <f>COUNTIF(PEDIDOS!$A:$A,FORNECEDOR!A2183)</f>
        <v>0</v>
      </c>
      <c r="C2183" s="3" t="e">
        <f>INDEX(PEDIDOS!$A:$D,MATCH(FORNECEDOR!A2183,PEDIDOS!$A:$A,0),2)</f>
        <v>#N/A</v>
      </c>
      <c r="D2183" s="3" t="e">
        <f>INDEX(PEDIDOS!$A:$D,MATCH(FORNECEDOR!A2183,PEDIDOS!$A:$A,0),3)</f>
        <v>#N/A</v>
      </c>
      <c r="E2183" s="3" t="e">
        <f>INDEX(PEDIDOS!$A:$D,MATCH(FORNECEDOR!A2183,PEDIDOS!$A:$A,0),4)</f>
        <v>#N/A</v>
      </c>
    </row>
    <row r="2184" spans="1:5" hidden="1" x14ac:dyDescent="0.25">
      <c r="A2184" s="1" t="s">
        <v>2183</v>
      </c>
      <c r="B2184" s="3">
        <f>COUNTIF(PEDIDOS!$A:$A,FORNECEDOR!A2184)</f>
        <v>0</v>
      </c>
      <c r="C2184" s="3" t="e">
        <f>INDEX(PEDIDOS!$A:$D,MATCH(FORNECEDOR!A2184,PEDIDOS!$A:$A,0),2)</f>
        <v>#N/A</v>
      </c>
      <c r="D2184" s="3" t="e">
        <f>INDEX(PEDIDOS!$A:$D,MATCH(FORNECEDOR!A2184,PEDIDOS!$A:$A,0),3)</f>
        <v>#N/A</v>
      </c>
      <c r="E2184" s="3" t="e">
        <f>INDEX(PEDIDOS!$A:$D,MATCH(FORNECEDOR!A2184,PEDIDOS!$A:$A,0),4)</f>
        <v>#N/A</v>
      </c>
    </row>
    <row r="2185" spans="1:5" hidden="1" x14ac:dyDescent="0.25">
      <c r="A2185" s="1" t="s">
        <v>2184</v>
      </c>
      <c r="B2185" s="3">
        <f>COUNTIF(PEDIDOS!$A:$A,FORNECEDOR!A2185)</f>
        <v>0</v>
      </c>
      <c r="C2185" s="3" t="e">
        <f>INDEX(PEDIDOS!$A:$D,MATCH(FORNECEDOR!A2185,PEDIDOS!$A:$A,0),2)</f>
        <v>#N/A</v>
      </c>
      <c r="D2185" s="3" t="e">
        <f>INDEX(PEDIDOS!$A:$D,MATCH(FORNECEDOR!A2185,PEDIDOS!$A:$A,0),3)</f>
        <v>#N/A</v>
      </c>
      <c r="E2185" s="3" t="e">
        <f>INDEX(PEDIDOS!$A:$D,MATCH(FORNECEDOR!A2185,PEDIDOS!$A:$A,0),4)</f>
        <v>#N/A</v>
      </c>
    </row>
    <row r="2186" spans="1:5" hidden="1" x14ac:dyDescent="0.25">
      <c r="A2186" s="1" t="s">
        <v>2185</v>
      </c>
      <c r="B2186" s="3">
        <f>COUNTIF(PEDIDOS!$A:$A,FORNECEDOR!A2186)</f>
        <v>0</v>
      </c>
      <c r="C2186" s="3" t="e">
        <f>INDEX(PEDIDOS!$A:$D,MATCH(FORNECEDOR!A2186,PEDIDOS!$A:$A,0),2)</f>
        <v>#N/A</v>
      </c>
      <c r="D2186" s="3" t="e">
        <f>INDEX(PEDIDOS!$A:$D,MATCH(FORNECEDOR!A2186,PEDIDOS!$A:$A,0),3)</f>
        <v>#N/A</v>
      </c>
      <c r="E2186" s="3" t="e">
        <f>INDEX(PEDIDOS!$A:$D,MATCH(FORNECEDOR!A2186,PEDIDOS!$A:$A,0),4)</f>
        <v>#N/A</v>
      </c>
    </row>
    <row r="2187" spans="1:5" x14ac:dyDescent="0.25">
      <c r="A2187" s="1" t="s">
        <v>2186</v>
      </c>
      <c r="B2187" s="3">
        <f>COUNTIF(PEDIDOS!$A:$A,FORNECEDOR!A2187)</f>
        <v>1</v>
      </c>
      <c r="C2187" s="3" t="str">
        <f>INDEX(PEDIDOS!$A:$D,MATCH(FORNECEDOR!A2187,PEDIDOS!$A:$A,0),2)</f>
        <v>CD REGIS</v>
      </c>
      <c r="D2187" s="3" t="str">
        <f>INDEX(PEDIDOS!$A:$D,MATCH(FORNECEDOR!A2187,PEDIDOS!$A:$A,0),3)</f>
        <v>CD REGIS</v>
      </c>
      <c r="E2187" s="3" t="str">
        <f>INDEX(PEDIDOS!$A:$D,MATCH(FORNECEDOR!A2187,PEDIDOS!$A:$A,0),4)</f>
        <v>CD REGIS</v>
      </c>
    </row>
    <row r="2188" spans="1:5" x14ac:dyDescent="0.25">
      <c r="A2188" s="1" t="s">
        <v>2187</v>
      </c>
      <c r="B2188" s="3">
        <f>COUNTIF(PEDIDOS!$A:$A,FORNECEDOR!A2188)</f>
        <v>1</v>
      </c>
      <c r="C2188" s="3" t="str">
        <f>INDEX(PEDIDOS!$A:$D,MATCH(FORNECEDOR!A2188,PEDIDOS!$A:$A,0),2)</f>
        <v>MATRIZ</v>
      </c>
      <c r="D2188" s="3" t="str">
        <f>INDEX(PEDIDOS!$A:$D,MATCH(FORNECEDOR!A2188,PEDIDOS!$A:$A,0),3)</f>
        <v>MATRIZ</v>
      </c>
      <c r="E2188" s="3" t="str">
        <f>INDEX(PEDIDOS!$A:$D,MATCH(FORNECEDOR!A2188,PEDIDOS!$A:$A,0),4)</f>
        <v>MATRIZ</v>
      </c>
    </row>
    <row r="2189" spans="1:5" hidden="1" x14ac:dyDescent="0.25">
      <c r="A2189" s="1" t="s">
        <v>2188</v>
      </c>
      <c r="B2189" s="3">
        <f>COUNTIF(PEDIDOS!$A:$A,FORNECEDOR!A2189)</f>
        <v>0</v>
      </c>
      <c r="C2189" s="3" t="e">
        <f>INDEX(PEDIDOS!$A:$D,MATCH(FORNECEDOR!A2189,PEDIDOS!$A:$A,0),2)</f>
        <v>#N/A</v>
      </c>
      <c r="D2189" s="3" t="e">
        <f>INDEX(PEDIDOS!$A:$D,MATCH(FORNECEDOR!A2189,PEDIDOS!$A:$A,0),3)</f>
        <v>#N/A</v>
      </c>
      <c r="E2189" s="3" t="e">
        <f>INDEX(PEDIDOS!$A:$D,MATCH(FORNECEDOR!A2189,PEDIDOS!$A:$A,0),4)</f>
        <v>#N/A</v>
      </c>
    </row>
    <row r="2190" spans="1:5" x14ac:dyDescent="0.25">
      <c r="A2190" s="1" t="s">
        <v>2189</v>
      </c>
      <c r="B2190" s="3">
        <f>COUNTIF(PEDIDOS!$A:$A,FORNECEDOR!A2190)</f>
        <v>1</v>
      </c>
      <c r="C2190" s="3" t="str">
        <f>INDEX(PEDIDOS!$A:$D,MATCH(FORNECEDOR!A2190,PEDIDOS!$A:$A,0),2)</f>
        <v>CD REGIS</v>
      </c>
      <c r="D2190" s="3" t="str">
        <f>INDEX(PEDIDOS!$A:$D,MATCH(FORNECEDOR!A2190,PEDIDOS!$A:$A,0),3)</f>
        <v>CD REGIS</v>
      </c>
      <c r="E2190" s="3" t="str">
        <f>INDEX(PEDIDOS!$A:$D,MATCH(FORNECEDOR!A2190,PEDIDOS!$A:$A,0),4)</f>
        <v>CD REGIS</v>
      </c>
    </row>
    <row r="2191" spans="1:5" hidden="1" x14ac:dyDescent="0.25">
      <c r="A2191" s="1" t="s">
        <v>2190</v>
      </c>
      <c r="B2191" s="3">
        <f>COUNTIF(PEDIDOS!$A:$A,FORNECEDOR!A2191)</f>
        <v>0</v>
      </c>
      <c r="C2191" s="3" t="e">
        <f>INDEX(PEDIDOS!$A:$D,MATCH(FORNECEDOR!A2191,PEDIDOS!$A:$A,0),2)</f>
        <v>#N/A</v>
      </c>
      <c r="D2191" s="3" t="e">
        <f>INDEX(PEDIDOS!$A:$D,MATCH(FORNECEDOR!A2191,PEDIDOS!$A:$A,0),3)</f>
        <v>#N/A</v>
      </c>
      <c r="E2191" s="3" t="e">
        <f>INDEX(PEDIDOS!$A:$D,MATCH(FORNECEDOR!A2191,PEDIDOS!$A:$A,0),4)</f>
        <v>#N/A</v>
      </c>
    </row>
    <row r="2192" spans="1:5" hidden="1" x14ac:dyDescent="0.25">
      <c r="A2192" s="1" t="s">
        <v>2191</v>
      </c>
      <c r="B2192" s="3">
        <f>COUNTIF(PEDIDOS!$A:$A,FORNECEDOR!A2192)</f>
        <v>0</v>
      </c>
      <c r="C2192" s="3" t="e">
        <f>INDEX(PEDIDOS!$A:$D,MATCH(FORNECEDOR!A2192,PEDIDOS!$A:$A,0),2)</f>
        <v>#N/A</v>
      </c>
      <c r="D2192" s="3" t="e">
        <f>INDEX(PEDIDOS!$A:$D,MATCH(FORNECEDOR!A2192,PEDIDOS!$A:$A,0),3)</f>
        <v>#N/A</v>
      </c>
      <c r="E2192" s="3" t="e">
        <f>INDEX(PEDIDOS!$A:$D,MATCH(FORNECEDOR!A2192,PEDIDOS!$A:$A,0),4)</f>
        <v>#N/A</v>
      </c>
    </row>
    <row r="2193" spans="1:5" hidden="1" x14ac:dyDescent="0.25">
      <c r="A2193" s="1" t="s">
        <v>2192</v>
      </c>
      <c r="B2193" s="3">
        <f>COUNTIF(PEDIDOS!$A:$A,FORNECEDOR!A2193)</f>
        <v>0</v>
      </c>
      <c r="C2193" s="3" t="e">
        <f>INDEX(PEDIDOS!$A:$D,MATCH(FORNECEDOR!A2193,PEDIDOS!$A:$A,0),2)</f>
        <v>#N/A</v>
      </c>
      <c r="D2193" s="3" t="e">
        <f>INDEX(PEDIDOS!$A:$D,MATCH(FORNECEDOR!A2193,PEDIDOS!$A:$A,0),3)</f>
        <v>#N/A</v>
      </c>
      <c r="E2193" s="3" t="e">
        <f>INDEX(PEDIDOS!$A:$D,MATCH(FORNECEDOR!A2193,PEDIDOS!$A:$A,0),4)</f>
        <v>#N/A</v>
      </c>
    </row>
    <row r="2194" spans="1:5" hidden="1" x14ac:dyDescent="0.25">
      <c r="A2194" s="1" t="s">
        <v>2193</v>
      </c>
      <c r="B2194" s="3">
        <f>COUNTIF(PEDIDOS!$A:$A,FORNECEDOR!A2194)</f>
        <v>0</v>
      </c>
      <c r="C2194" s="3" t="e">
        <f>INDEX(PEDIDOS!$A:$D,MATCH(FORNECEDOR!A2194,PEDIDOS!$A:$A,0),2)</f>
        <v>#N/A</v>
      </c>
      <c r="D2194" s="3" t="e">
        <f>INDEX(PEDIDOS!$A:$D,MATCH(FORNECEDOR!A2194,PEDIDOS!$A:$A,0),3)</f>
        <v>#N/A</v>
      </c>
      <c r="E2194" s="3" t="e">
        <f>INDEX(PEDIDOS!$A:$D,MATCH(FORNECEDOR!A2194,PEDIDOS!$A:$A,0),4)</f>
        <v>#N/A</v>
      </c>
    </row>
    <row r="2195" spans="1:5" x14ac:dyDescent="0.25">
      <c r="A2195" s="1" t="s">
        <v>2194</v>
      </c>
      <c r="B2195" s="3">
        <f>COUNTIF(PEDIDOS!$A:$A,FORNECEDOR!A2195)</f>
        <v>1</v>
      </c>
      <c r="C2195" s="3" t="str">
        <f>INDEX(PEDIDOS!$A:$D,MATCH(FORNECEDOR!A2195,PEDIDOS!$A:$A,0),2)</f>
        <v>CD NAVEGANTES</v>
      </c>
      <c r="D2195" s="3" t="str">
        <f>INDEX(PEDIDOS!$A:$D,MATCH(FORNECEDOR!A2195,PEDIDOS!$A:$A,0),3)</f>
        <v>MATRIZ</v>
      </c>
      <c r="E2195" s="3" t="str">
        <f>INDEX(PEDIDOS!$A:$D,MATCH(FORNECEDOR!A2195,PEDIDOS!$A:$A,0),4)</f>
        <v>CD NAVEGANTES</v>
      </c>
    </row>
    <row r="2196" spans="1:5" x14ac:dyDescent="0.25">
      <c r="A2196" s="1" t="s">
        <v>2195</v>
      </c>
      <c r="B2196" s="3">
        <f>COUNTIF(PEDIDOS!$A:$A,FORNECEDOR!A2196)</f>
        <v>1</v>
      </c>
      <c r="C2196" s="3" t="str">
        <f>INDEX(PEDIDOS!$A:$D,MATCH(FORNECEDOR!A2196,PEDIDOS!$A:$A,0),2)</f>
        <v>CD REGIS</v>
      </c>
      <c r="D2196" s="3" t="str">
        <f>INDEX(PEDIDOS!$A:$D,MATCH(FORNECEDOR!A2196,PEDIDOS!$A:$A,0),3)</f>
        <v>TATUAPE</v>
      </c>
      <c r="E2196" s="3" t="str">
        <f>INDEX(PEDIDOS!$A:$D,MATCH(FORNECEDOR!A2196,PEDIDOS!$A:$A,0),4)</f>
        <v>CD REGIS</v>
      </c>
    </row>
    <row r="2197" spans="1:5" x14ac:dyDescent="0.25">
      <c r="A2197" s="1" t="s">
        <v>2196</v>
      </c>
      <c r="B2197" s="3">
        <f>COUNTIF(PEDIDOS!$A:$A,FORNECEDOR!A2197)</f>
        <v>8</v>
      </c>
      <c r="C2197" s="3" t="str">
        <f>INDEX(PEDIDOS!$A:$D,MATCH(FORNECEDOR!A2197,PEDIDOS!$A:$A,0),2)</f>
        <v>CD ARAQUARI</v>
      </c>
      <c r="D2197" s="3" t="str">
        <f>INDEX(PEDIDOS!$A:$D,MATCH(FORNECEDOR!A2197,PEDIDOS!$A:$A,0),3)</f>
        <v>CD REGIS</v>
      </c>
      <c r="E2197" s="3" t="str">
        <f>INDEX(PEDIDOS!$A:$D,MATCH(FORNECEDOR!A2197,PEDIDOS!$A:$A,0),4)</f>
        <v>CD ARAQUARI</v>
      </c>
    </row>
    <row r="2198" spans="1:5" hidden="1" x14ac:dyDescent="0.25">
      <c r="A2198" s="1" t="s">
        <v>2197</v>
      </c>
      <c r="B2198" s="3">
        <f>COUNTIF(PEDIDOS!$A:$A,FORNECEDOR!A2198)</f>
        <v>0</v>
      </c>
      <c r="C2198" s="3" t="e">
        <f>INDEX(PEDIDOS!$A:$D,MATCH(FORNECEDOR!A2198,PEDIDOS!$A:$A,0),2)</f>
        <v>#N/A</v>
      </c>
      <c r="D2198" s="3" t="e">
        <f>INDEX(PEDIDOS!$A:$D,MATCH(FORNECEDOR!A2198,PEDIDOS!$A:$A,0),3)</f>
        <v>#N/A</v>
      </c>
      <c r="E2198" s="3" t="e">
        <f>INDEX(PEDIDOS!$A:$D,MATCH(FORNECEDOR!A2198,PEDIDOS!$A:$A,0),4)</f>
        <v>#N/A</v>
      </c>
    </row>
    <row r="2199" spans="1:5" x14ac:dyDescent="0.25">
      <c r="A2199" s="1" t="s">
        <v>2198</v>
      </c>
      <c r="B2199" s="3">
        <f>COUNTIF(PEDIDOS!$A:$A,FORNECEDOR!A2199)</f>
        <v>1</v>
      </c>
      <c r="C2199" s="3" t="str">
        <f>INDEX(PEDIDOS!$A:$D,MATCH(FORNECEDOR!A2199,PEDIDOS!$A:$A,0),2)</f>
        <v>CD NAVEGANTES</v>
      </c>
      <c r="D2199" s="3" t="str">
        <f>INDEX(PEDIDOS!$A:$D,MATCH(FORNECEDOR!A2199,PEDIDOS!$A:$A,0),3)</f>
        <v>MATRIZ</v>
      </c>
      <c r="E2199" s="3" t="str">
        <f>INDEX(PEDIDOS!$A:$D,MATCH(FORNECEDOR!A2199,PEDIDOS!$A:$A,0),4)</f>
        <v>CD NAVEGANTES</v>
      </c>
    </row>
    <row r="2200" spans="1:5" hidden="1" x14ac:dyDescent="0.25">
      <c r="A2200" s="1" t="s">
        <v>2199</v>
      </c>
      <c r="B2200" s="3">
        <f>COUNTIF(PEDIDOS!$A:$A,FORNECEDOR!A2200)</f>
        <v>0</v>
      </c>
      <c r="C2200" s="3" t="e">
        <f>INDEX(PEDIDOS!$A:$D,MATCH(FORNECEDOR!A2200,PEDIDOS!$A:$A,0),2)</f>
        <v>#N/A</v>
      </c>
      <c r="D2200" s="3" t="e">
        <f>INDEX(PEDIDOS!$A:$D,MATCH(FORNECEDOR!A2200,PEDIDOS!$A:$A,0),3)</f>
        <v>#N/A</v>
      </c>
      <c r="E2200" s="3" t="e">
        <f>INDEX(PEDIDOS!$A:$D,MATCH(FORNECEDOR!A2200,PEDIDOS!$A:$A,0),4)</f>
        <v>#N/A</v>
      </c>
    </row>
    <row r="2201" spans="1:5" hidden="1" x14ac:dyDescent="0.25">
      <c r="A2201" s="1" t="s">
        <v>2200</v>
      </c>
      <c r="B2201" s="3">
        <f>COUNTIF(PEDIDOS!$A:$A,FORNECEDOR!A2201)</f>
        <v>0</v>
      </c>
      <c r="C2201" s="3" t="e">
        <f>INDEX(PEDIDOS!$A:$D,MATCH(FORNECEDOR!A2201,PEDIDOS!$A:$A,0),2)</f>
        <v>#N/A</v>
      </c>
      <c r="D2201" s="3" t="e">
        <f>INDEX(PEDIDOS!$A:$D,MATCH(FORNECEDOR!A2201,PEDIDOS!$A:$A,0),3)</f>
        <v>#N/A</v>
      </c>
      <c r="E2201" s="3" t="e">
        <f>INDEX(PEDIDOS!$A:$D,MATCH(FORNECEDOR!A2201,PEDIDOS!$A:$A,0),4)</f>
        <v>#N/A</v>
      </c>
    </row>
    <row r="2202" spans="1:5" x14ac:dyDescent="0.25">
      <c r="A2202" s="1" t="s">
        <v>2201</v>
      </c>
      <c r="B2202" s="3">
        <f>COUNTIF(PEDIDOS!$A:$A,FORNECEDOR!A2202)</f>
        <v>1</v>
      </c>
      <c r="C2202" s="3" t="str">
        <f>INDEX(PEDIDOS!$A:$D,MATCH(FORNECEDOR!A2202,PEDIDOS!$A:$A,0),2)</f>
        <v>CD REGIS</v>
      </c>
      <c r="D2202" s="3" t="str">
        <f>INDEX(PEDIDOS!$A:$D,MATCH(FORNECEDOR!A2202,PEDIDOS!$A:$A,0),3)</f>
        <v>MATRIZ</v>
      </c>
      <c r="E2202" s="3" t="str">
        <f>INDEX(PEDIDOS!$A:$D,MATCH(FORNECEDOR!A2202,PEDIDOS!$A:$A,0),4)</f>
        <v>CD REGIS</v>
      </c>
    </row>
    <row r="2203" spans="1:5" hidden="1" x14ac:dyDescent="0.25">
      <c r="A2203" s="1" t="s">
        <v>2202</v>
      </c>
      <c r="B2203" s="3">
        <f>COUNTIF(PEDIDOS!$A:$A,FORNECEDOR!A2203)</f>
        <v>0</v>
      </c>
      <c r="C2203" s="3" t="e">
        <f>INDEX(PEDIDOS!$A:$D,MATCH(FORNECEDOR!A2203,PEDIDOS!$A:$A,0),2)</f>
        <v>#N/A</v>
      </c>
      <c r="D2203" s="3" t="e">
        <f>INDEX(PEDIDOS!$A:$D,MATCH(FORNECEDOR!A2203,PEDIDOS!$A:$A,0),3)</f>
        <v>#N/A</v>
      </c>
      <c r="E2203" s="3" t="e">
        <f>INDEX(PEDIDOS!$A:$D,MATCH(FORNECEDOR!A2203,PEDIDOS!$A:$A,0),4)</f>
        <v>#N/A</v>
      </c>
    </row>
    <row r="2204" spans="1:5" x14ac:dyDescent="0.25">
      <c r="A2204" s="1" t="s">
        <v>2203</v>
      </c>
      <c r="B2204" s="3">
        <f>COUNTIF(PEDIDOS!$A:$A,FORNECEDOR!A2204)</f>
        <v>1</v>
      </c>
      <c r="C2204" s="3" t="str">
        <f>INDEX(PEDIDOS!$A:$D,MATCH(FORNECEDOR!A2204,PEDIDOS!$A:$A,0),2)</f>
        <v>CD REGIS</v>
      </c>
      <c r="D2204" s="3" t="str">
        <f>INDEX(PEDIDOS!$A:$D,MATCH(FORNECEDOR!A2204,PEDIDOS!$A:$A,0),3)</f>
        <v>TATUAPE</v>
      </c>
      <c r="E2204" s="3" t="str">
        <f>INDEX(PEDIDOS!$A:$D,MATCH(FORNECEDOR!A2204,PEDIDOS!$A:$A,0),4)</f>
        <v>CD REGIS</v>
      </c>
    </row>
    <row r="2205" spans="1:5" hidden="1" x14ac:dyDescent="0.25">
      <c r="A2205" s="1" t="s">
        <v>2204</v>
      </c>
      <c r="B2205" s="3">
        <f>COUNTIF(PEDIDOS!$A:$A,FORNECEDOR!A2205)</f>
        <v>0</v>
      </c>
      <c r="C2205" s="3" t="e">
        <f>INDEX(PEDIDOS!$A:$D,MATCH(FORNECEDOR!A2205,PEDIDOS!$A:$A,0),2)</f>
        <v>#N/A</v>
      </c>
      <c r="D2205" s="3" t="e">
        <f>INDEX(PEDIDOS!$A:$D,MATCH(FORNECEDOR!A2205,PEDIDOS!$A:$A,0),3)</f>
        <v>#N/A</v>
      </c>
      <c r="E2205" s="3" t="e">
        <f>INDEX(PEDIDOS!$A:$D,MATCH(FORNECEDOR!A2205,PEDIDOS!$A:$A,0),4)</f>
        <v>#N/A</v>
      </c>
    </row>
    <row r="2206" spans="1:5" hidden="1" x14ac:dyDescent="0.25">
      <c r="A2206" s="1" t="s">
        <v>2205</v>
      </c>
      <c r="B2206" s="3">
        <f>COUNTIF(PEDIDOS!$A:$A,FORNECEDOR!A2206)</f>
        <v>0</v>
      </c>
      <c r="C2206" s="3" t="e">
        <f>INDEX(PEDIDOS!$A:$D,MATCH(FORNECEDOR!A2206,PEDIDOS!$A:$A,0),2)</f>
        <v>#N/A</v>
      </c>
      <c r="D2206" s="3" t="e">
        <f>INDEX(PEDIDOS!$A:$D,MATCH(FORNECEDOR!A2206,PEDIDOS!$A:$A,0),3)</f>
        <v>#N/A</v>
      </c>
      <c r="E2206" s="3" t="e">
        <f>INDEX(PEDIDOS!$A:$D,MATCH(FORNECEDOR!A2206,PEDIDOS!$A:$A,0),4)</f>
        <v>#N/A</v>
      </c>
    </row>
    <row r="2207" spans="1:5" hidden="1" x14ac:dyDescent="0.25">
      <c r="A2207" s="1" t="s">
        <v>2206</v>
      </c>
      <c r="B2207" s="3">
        <f>COUNTIF(PEDIDOS!$A:$A,FORNECEDOR!A2207)</f>
        <v>0</v>
      </c>
      <c r="C2207" s="3" t="e">
        <f>INDEX(PEDIDOS!$A:$D,MATCH(FORNECEDOR!A2207,PEDIDOS!$A:$A,0),2)</f>
        <v>#N/A</v>
      </c>
      <c r="D2207" s="3" t="e">
        <f>INDEX(PEDIDOS!$A:$D,MATCH(FORNECEDOR!A2207,PEDIDOS!$A:$A,0),3)</f>
        <v>#N/A</v>
      </c>
      <c r="E2207" s="3" t="e">
        <f>INDEX(PEDIDOS!$A:$D,MATCH(FORNECEDOR!A2207,PEDIDOS!$A:$A,0),4)</f>
        <v>#N/A</v>
      </c>
    </row>
    <row r="2208" spans="1:5" x14ac:dyDescent="0.25">
      <c r="A2208" s="1" t="s">
        <v>2207</v>
      </c>
      <c r="B2208" s="3">
        <f>COUNTIF(PEDIDOS!$A:$A,FORNECEDOR!A2208)</f>
        <v>1</v>
      </c>
      <c r="C2208" s="3" t="str">
        <f>INDEX(PEDIDOS!$A:$D,MATCH(FORNECEDOR!A2208,PEDIDOS!$A:$A,0),2)</f>
        <v>CD REGIS</v>
      </c>
      <c r="D2208" s="3" t="str">
        <f>INDEX(PEDIDOS!$A:$D,MATCH(FORNECEDOR!A2208,PEDIDOS!$A:$A,0),3)</f>
        <v>TATUAPE</v>
      </c>
      <c r="E2208" s="3" t="str">
        <f>INDEX(PEDIDOS!$A:$D,MATCH(FORNECEDOR!A2208,PEDIDOS!$A:$A,0),4)</f>
        <v>CD REGIS</v>
      </c>
    </row>
    <row r="2209" spans="1:5" hidden="1" x14ac:dyDescent="0.25">
      <c r="A2209" s="1" t="s">
        <v>2208</v>
      </c>
      <c r="B2209" s="3">
        <f>COUNTIF(PEDIDOS!$A:$A,FORNECEDOR!A2209)</f>
        <v>0</v>
      </c>
      <c r="C2209" s="3" t="e">
        <f>INDEX(PEDIDOS!$A:$D,MATCH(FORNECEDOR!A2209,PEDIDOS!$A:$A,0),2)</f>
        <v>#N/A</v>
      </c>
      <c r="D2209" s="3" t="e">
        <f>INDEX(PEDIDOS!$A:$D,MATCH(FORNECEDOR!A2209,PEDIDOS!$A:$A,0),3)</f>
        <v>#N/A</v>
      </c>
      <c r="E2209" s="3" t="e">
        <f>INDEX(PEDIDOS!$A:$D,MATCH(FORNECEDOR!A2209,PEDIDOS!$A:$A,0),4)</f>
        <v>#N/A</v>
      </c>
    </row>
    <row r="2210" spans="1:5" hidden="1" x14ac:dyDescent="0.25">
      <c r="A2210" s="1" t="s">
        <v>2209</v>
      </c>
      <c r="B2210" s="3">
        <f>COUNTIF(PEDIDOS!$A:$A,FORNECEDOR!A2210)</f>
        <v>0</v>
      </c>
      <c r="C2210" s="3" t="e">
        <f>INDEX(PEDIDOS!$A:$D,MATCH(FORNECEDOR!A2210,PEDIDOS!$A:$A,0),2)</f>
        <v>#N/A</v>
      </c>
      <c r="D2210" s="3" t="e">
        <f>INDEX(PEDIDOS!$A:$D,MATCH(FORNECEDOR!A2210,PEDIDOS!$A:$A,0),3)</f>
        <v>#N/A</v>
      </c>
      <c r="E2210" s="3" t="e">
        <f>INDEX(PEDIDOS!$A:$D,MATCH(FORNECEDOR!A2210,PEDIDOS!$A:$A,0),4)</f>
        <v>#N/A</v>
      </c>
    </row>
    <row r="2211" spans="1:5" hidden="1" x14ac:dyDescent="0.25">
      <c r="A2211" s="1" t="s">
        <v>2210</v>
      </c>
      <c r="B2211" s="3">
        <f>COUNTIF(PEDIDOS!$A:$A,FORNECEDOR!A2211)</f>
        <v>0</v>
      </c>
      <c r="C2211" s="3" t="e">
        <f>INDEX(PEDIDOS!$A:$D,MATCH(FORNECEDOR!A2211,PEDIDOS!$A:$A,0),2)</f>
        <v>#N/A</v>
      </c>
      <c r="D2211" s="3" t="e">
        <f>INDEX(PEDIDOS!$A:$D,MATCH(FORNECEDOR!A2211,PEDIDOS!$A:$A,0),3)</f>
        <v>#N/A</v>
      </c>
      <c r="E2211" s="3" t="e">
        <f>INDEX(PEDIDOS!$A:$D,MATCH(FORNECEDOR!A2211,PEDIDOS!$A:$A,0),4)</f>
        <v>#N/A</v>
      </c>
    </row>
    <row r="2212" spans="1:5" hidden="1" x14ac:dyDescent="0.25">
      <c r="A2212" s="1" t="s">
        <v>2211</v>
      </c>
      <c r="B2212" s="3">
        <f>COUNTIF(PEDIDOS!$A:$A,FORNECEDOR!A2212)</f>
        <v>0</v>
      </c>
      <c r="C2212" s="3" t="e">
        <f>INDEX(PEDIDOS!$A:$D,MATCH(FORNECEDOR!A2212,PEDIDOS!$A:$A,0),2)</f>
        <v>#N/A</v>
      </c>
      <c r="D2212" s="3" t="e">
        <f>INDEX(PEDIDOS!$A:$D,MATCH(FORNECEDOR!A2212,PEDIDOS!$A:$A,0),3)</f>
        <v>#N/A</v>
      </c>
      <c r="E2212" s="3" t="e">
        <f>INDEX(PEDIDOS!$A:$D,MATCH(FORNECEDOR!A2212,PEDIDOS!$A:$A,0),4)</f>
        <v>#N/A</v>
      </c>
    </row>
    <row r="2213" spans="1:5" hidden="1" x14ac:dyDescent="0.25">
      <c r="A2213" s="1" t="s">
        <v>2212</v>
      </c>
      <c r="B2213" s="3">
        <f>COUNTIF(PEDIDOS!$A:$A,FORNECEDOR!A2213)</f>
        <v>0</v>
      </c>
      <c r="C2213" s="3" t="e">
        <f>INDEX(PEDIDOS!$A:$D,MATCH(FORNECEDOR!A2213,PEDIDOS!$A:$A,0),2)</f>
        <v>#N/A</v>
      </c>
      <c r="D2213" s="3" t="e">
        <f>INDEX(PEDIDOS!$A:$D,MATCH(FORNECEDOR!A2213,PEDIDOS!$A:$A,0),3)</f>
        <v>#N/A</v>
      </c>
      <c r="E2213" s="3" t="e">
        <f>INDEX(PEDIDOS!$A:$D,MATCH(FORNECEDOR!A2213,PEDIDOS!$A:$A,0),4)</f>
        <v>#N/A</v>
      </c>
    </row>
    <row r="2214" spans="1:5" hidden="1" x14ac:dyDescent="0.25">
      <c r="A2214" s="1" t="s">
        <v>2213</v>
      </c>
      <c r="B2214" s="3">
        <f>COUNTIF(PEDIDOS!$A:$A,FORNECEDOR!A2214)</f>
        <v>0</v>
      </c>
      <c r="C2214" s="3" t="e">
        <f>INDEX(PEDIDOS!$A:$D,MATCH(FORNECEDOR!A2214,PEDIDOS!$A:$A,0),2)</f>
        <v>#N/A</v>
      </c>
      <c r="D2214" s="3" t="e">
        <f>INDEX(PEDIDOS!$A:$D,MATCH(FORNECEDOR!A2214,PEDIDOS!$A:$A,0),3)</f>
        <v>#N/A</v>
      </c>
      <c r="E2214" s="3" t="e">
        <f>INDEX(PEDIDOS!$A:$D,MATCH(FORNECEDOR!A2214,PEDIDOS!$A:$A,0),4)</f>
        <v>#N/A</v>
      </c>
    </row>
    <row r="2215" spans="1:5" hidden="1" x14ac:dyDescent="0.25">
      <c r="A2215" s="1" t="s">
        <v>2214</v>
      </c>
      <c r="B2215" s="3">
        <f>COUNTIF(PEDIDOS!$A:$A,FORNECEDOR!A2215)</f>
        <v>0</v>
      </c>
      <c r="C2215" s="3" t="e">
        <f>INDEX(PEDIDOS!$A:$D,MATCH(FORNECEDOR!A2215,PEDIDOS!$A:$A,0),2)</f>
        <v>#N/A</v>
      </c>
      <c r="D2215" s="3" t="e">
        <f>INDEX(PEDIDOS!$A:$D,MATCH(FORNECEDOR!A2215,PEDIDOS!$A:$A,0),3)</f>
        <v>#N/A</v>
      </c>
      <c r="E2215" s="3" t="e">
        <f>INDEX(PEDIDOS!$A:$D,MATCH(FORNECEDOR!A2215,PEDIDOS!$A:$A,0),4)</f>
        <v>#N/A</v>
      </c>
    </row>
    <row r="2216" spans="1:5" x14ac:dyDescent="0.25">
      <c r="A2216" s="1" t="s">
        <v>2215</v>
      </c>
      <c r="B2216" s="3">
        <f>COUNTIF(PEDIDOS!$A:$A,FORNECEDOR!A2216)</f>
        <v>1</v>
      </c>
      <c r="C2216" s="3" t="str">
        <f>INDEX(PEDIDOS!$A:$D,MATCH(FORNECEDOR!A2216,PEDIDOS!$A:$A,0),2)</f>
        <v>AVANTI- ADM C.CREDITO</v>
      </c>
      <c r="D2216" s="3" t="str">
        <f>INDEX(PEDIDOS!$A:$D,MATCH(FORNECEDOR!A2216,PEDIDOS!$A:$A,0),3)</f>
        <v>AVANTI- ADM C.CREDITO</v>
      </c>
      <c r="E2216" s="3" t="str">
        <f>INDEX(PEDIDOS!$A:$D,MATCH(FORNECEDOR!A2216,PEDIDOS!$A:$A,0),4)</f>
        <v>AVANTI- ADM C.CREDITO</v>
      </c>
    </row>
    <row r="2217" spans="1:5" x14ac:dyDescent="0.25">
      <c r="A2217" s="1" t="s">
        <v>2216</v>
      </c>
      <c r="B2217" s="3">
        <f>COUNTIF(PEDIDOS!$A:$A,FORNECEDOR!A2217)</f>
        <v>1</v>
      </c>
      <c r="C2217" s="3" t="str">
        <f>INDEX(PEDIDOS!$A:$D,MATCH(FORNECEDOR!A2217,PEDIDOS!$A:$A,0),2)</f>
        <v>MATRIZ</v>
      </c>
      <c r="D2217" s="3" t="str">
        <f>INDEX(PEDIDOS!$A:$D,MATCH(FORNECEDOR!A2217,PEDIDOS!$A:$A,0),3)</f>
        <v>MATRIZ</v>
      </c>
      <c r="E2217" s="3" t="str">
        <f>INDEX(PEDIDOS!$A:$D,MATCH(FORNECEDOR!A2217,PEDIDOS!$A:$A,0),4)</f>
        <v>MATRIZ</v>
      </c>
    </row>
    <row r="2218" spans="1:5" hidden="1" x14ac:dyDescent="0.25">
      <c r="A2218" s="1" t="s">
        <v>2217</v>
      </c>
      <c r="B2218" s="3">
        <f>COUNTIF(PEDIDOS!$A:$A,FORNECEDOR!A2218)</f>
        <v>0</v>
      </c>
      <c r="C2218" s="3" t="e">
        <f>INDEX(PEDIDOS!$A:$D,MATCH(FORNECEDOR!A2218,PEDIDOS!$A:$A,0),2)</f>
        <v>#N/A</v>
      </c>
      <c r="D2218" s="3" t="e">
        <f>INDEX(PEDIDOS!$A:$D,MATCH(FORNECEDOR!A2218,PEDIDOS!$A:$A,0),3)</f>
        <v>#N/A</v>
      </c>
      <c r="E2218" s="3" t="e">
        <f>INDEX(PEDIDOS!$A:$D,MATCH(FORNECEDOR!A2218,PEDIDOS!$A:$A,0),4)</f>
        <v>#N/A</v>
      </c>
    </row>
    <row r="2219" spans="1:5" hidden="1" x14ac:dyDescent="0.25">
      <c r="A2219" s="1" t="s">
        <v>2218</v>
      </c>
      <c r="B2219" s="3">
        <f>COUNTIF(PEDIDOS!$A:$A,FORNECEDOR!A2219)</f>
        <v>0</v>
      </c>
      <c r="C2219" s="3" t="e">
        <f>INDEX(PEDIDOS!$A:$D,MATCH(FORNECEDOR!A2219,PEDIDOS!$A:$A,0),2)</f>
        <v>#N/A</v>
      </c>
      <c r="D2219" s="3" t="e">
        <f>INDEX(PEDIDOS!$A:$D,MATCH(FORNECEDOR!A2219,PEDIDOS!$A:$A,0),3)</f>
        <v>#N/A</v>
      </c>
      <c r="E2219" s="3" t="e">
        <f>INDEX(PEDIDOS!$A:$D,MATCH(FORNECEDOR!A2219,PEDIDOS!$A:$A,0),4)</f>
        <v>#N/A</v>
      </c>
    </row>
    <row r="2220" spans="1:5" hidden="1" x14ac:dyDescent="0.25">
      <c r="A2220" s="1" t="s">
        <v>2219</v>
      </c>
      <c r="B2220" s="3">
        <f>COUNTIF(PEDIDOS!$A:$A,FORNECEDOR!A2220)</f>
        <v>0</v>
      </c>
      <c r="C2220" s="3" t="e">
        <f>INDEX(PEDIDOS!$A:$D,MATCH(FORNECEDOR!A2220,PEDIDOS!$A:$A,0),2)</f>
        <v>#N/A</v>
      </c>
      <c r="D2220" s="3" t="e">
        <f>INDEX(PEDIDOS!$A:$D,MATCH(FORNECEDOR!A2220,PEDIDOS!$A:$A,0),3)</f>
        <v>#N/A</v>
      </c>
      <c r="E2220" s="3" t="e">
        <f>INDEX(PEDIDOS!$A:$D,MATCH(FORNECEDOR!A2220,PEDIDOS!$A:$A,0),4)</f>
        <v>#N/A</v>
      </c>
    </row>
    <row r="2221" spans="1:5" hidden="1" x14ac:dyDescent="0.25">
      <c r="A2221" s="1" t="s">
        <v>2220</v>
      </c>
      <c r="B2221" s="3">
        <f>COUNTIF(PEDIDOS!$A:$A,FORNECEDOR!A2221)</f>
        <v>0</v>
      </c>
      <c r="C2221" s="3" t="e">
        <f>INDEX(PEDIDOS!$A:$D,MATCH(FORNECEDOR!A2221,PEDIDOS!$A:$A,0),2)</f>
        <v>#N/A</v>
      </c>
      <c r="D2221" s="3" t="e">
        <f>INDEX(PEDIDOS!$A:$D,MATCH(FORNECEDOR!A2221,PEDIDOS!$A:$A,0),3)</f>
        <v>#N/A</v>
      </c>
      <c r="E2221" s="3" t="e">
        <f>INDEX(PEDIDOS!$A:$D,MATCH(FORNECEDOR!A2221,PEDIDOS!$A:$A,0),4)</f>
        <v>#N/A</v>
      </c>
    </row>
    <row r="2222" spans="1:5" hidden="1" x14ac:dyDescent="0.25">
      <c r="A2222" s="1" t="s">
        <v>2221</v>
      </c>
      <c r="B2222" s="3">
        <f>COUNTIF(PEDIDOS!$A:$A,FORNECEDOR!A2222)</f>
        <v>0</v>
      </c>
      <c r="C2222" s="3" t="e">
        <f>INDEX(PEDIDOS!$A:$D,MATCH(FORNECEDOR!A2222,PEDIDOS!$A:$A,0),2)</f>
        <v>#N/A</v>
      </c>
      <c r="D2222" s="3" t="e">
        <f>INDEX(PEDIDOS!$A:$D,MATCH(FORNECEDOR!A2222,PEDIDOS!$A:$A,0),3)</f>
        <v>#N/A</v>
      </c>
      <c r="E2222" s="3" t="e">
        <f>INDEX(PEDIDOS!$A:$D,MATCH(FORNECEDOR!A2222,PEDIDOS!$A:$A,0),4)</f>
        <v>#N/A</v>
      </c>
    </row>
    <row r="2223" spans="1:5" hidden="1" x14ac:dyDescent="0.25">
      <c r="A2223" s="1" t="s">
        <v>2222</v>
      </c>
      <c r="B2223" s="3">
        <f>COUNTIF(PEDIDOS!$A:$A,FORNECEDOR!A2223)</f>
        <v>0</v>
      </c>
      <c r="C2223" s="3" t="e">
        <f>INDEX(PEDIDOS!$A:$D,MATCH(FORNECEDOR!A2223,PEDIDOS!$A:$A,0),2)</f>
        <v>#N/A</v>
      </c>
      <c r="D2223" s="3" t="e">
        <f>INDEX(PEDIDOS!$A:$D,MATCH(FORNECEDOR!A2223,PEDIDOS!$A:$A,0),3)</f>
        <v>#N/A</v>
      </c>
      <c r="E2223" s="3" t="e">
        <f>INDEX(PEDIDOS!$A:$D,MATCH(FORNECEDOR!A2223,PEDIDOS!$A:$A,0),4)</f>
        <v>#N/A</v>
      </c>
    </row>
    <row r="2224" spans="1:5" hidden="1" x14ac:dyDescent="0.25">
      <c r="A2224" s="1" t="s">
        <v>2223</v>
      </c>
      <c r="B2224" s="3">
        <f>COUNTIF(PEDIDOS!$A:$A,FORNECEDOR!A2224)</f>
        <v>0</v>
      </c>
      <c r="C2224" s="3" t="e">
        <f>INDEX(PEDIDOS!$A:$D,MATCH(FORNECEDOR!A2224,PEDIDOS!$A:$A,0),2)</f>
        <v>#N/A</v>
      </c>
      <c r="D2224" s="3" t="e">
        <f>INDEX(PEDIDOS!$A:$D,MATCH(FORNECEDOR!A2224,PEDIDOS!$A:$A,0),3)</f>
        <v>#N/A</v>
      </c>
      <c r="E2224" s="3" t="e">
        <f>INDEX(PEDIDOS!$A:$D,MATCH(FORNECEDOR!A2224,PEDIDOS!$A:$A,0),4)</f>
        <v>#N/A</v>
      </c>
    </row>
    <row r="2225" spans="1:5" hidden="1" x14ac:dyDescent="0.25">
      <c r="A2225" s="1" t="s">
        <v>2224</v>
      </c>
      <c r="B2225" s="3">
        <f>COUNTIF(PEDIDOS!$A:$A,FORNECEDOR!A2225)</f>
        <v>0</v>
      </c>
      <c r="C2225" s="3" t="e">
        <f>INDEX(PEDIDOS!$A:$D,MATCH(FORNECEDOR!A2225,PEDIDOS!$A:$A,0),2)</f>
        <v>#N/A</v>
      </c>
      <c r="D2225" s="3" t="e">
        <f>INDEX(PEDIDOS!$A:$D,MATCH(FORNECEDOR!A2225,PEDIDOS!$A:$A,0),3)</f>
        <v>#N/A</v>
      </c>
      <c r="E2225" s="3" t="e">
        <f>INDEX(PEDIDOS!$A:$D,MATCH(FORNECEDOR!A2225,PEDIDOS!$A:$A,0),4)</f>
        <v>#N/A</v>
      </c>
    </row>
    <row r="2226" spans="1:5" x14ac:dyDescent="0.25">
      <c r="A2226" s="1" t="s">
        <v>2225</v>
      </c>
      <c r="B2226" s="3">
        <f>COUNTIF(PEDIDOS!$A:$A,FORNECEDOR!A2226)</f>
        <v>2</v>
      </c>
      <c r="C2226" s="3" t="str">
        <f>INDEX(PEDIDOS!$A:$D,MATCH(FORNECEDOR!A2226,PEDIDOS!$A:$A,0),2)</f>
        <v>CARAPICUIBA</v>
      </c>
      <c r="D2226" s="3" t="str">
        <f>INDEX(PEDIDOS!$A:$D,MATCH(FORNECEDOR!A2226,PEDIDOS!$A:$A,0),3)</f>
        <v>CARAPICUIBA</v>
      </c>
      <c r="E2226" s="3" t="str">
        <f>INDEX(PEDIDOS!$A:$D,MATCH(FORNECEDOR!A2226,PEDIDOS!$A:$A,0),4)</f>
        <v>CARAPICUIBA</v>
      </c>
    </row>
    <row r="2227" spans="1:5" x14ac:dyDescent="0.25">
      <c r="A2227" s="1" t="s">
        <v>2226</v>
      </c>
      <c r="B2227" s="3">
        <f>COUNTIF(PEDIDOS!$A:$A,FORNECEDOR!A2227)</f>
        <v>1</v>
      </c>
      <c r="C2227" s="3" t="str">
        <f>INDEX(PEDIDOS!$A:$D,MATCH(FORNECEDOR!A2227,PEDIDOS!$A:$A,0),2)</f>
        <v>MATRIZ</v>
      </c>
      <c r="D2227" s="3" t="str">
        <f>INDEX(PEDIDOS!$A:$D,MATCH(FORNECEDOR!A2227,PEDIDOS!$A:$A,0),3)</f>
        <v>MATRIZ</v>
      </c>
      <c r="E2227" s="3" t="str">
        <f>INDEX(PEDIDOS!$A:$D,MATCH(FORNECEDOR!A2227,PEDIDOS!$A:$A,0),4)</f>
        <v>MATRIZ</v>
      </c>
    </row>
    <row r="2228" spans="1:5" x14ac:dyDescent="0.25">
      <c r="A2228" s="1" t="s">
        <v>2227</v>
      </c>
      <c r="B2228" s="3">
        <f>COUNTIF(PEDIDOS!$A:$A,FORNECEDOR!A2228)</f>
        <v>1</v>
      </c>
      <c r="C2228" s="3" t="str">
        <f>INDEX(PEDIDOS!$A:$D,MATCH(FORNECEDOR!A2228,PEDIDOS!$A:$A,0),2)</f>
        <v>SP - PARI</v>
      </c>
      <c r="D2228" s="3" t="str">
        <f>INDEX(PEDIDOS!$A:$D,MATCH(FORNECEDOR!A2228,PEDIDOS!$A:$A,0),3)</f>
        <v>SP - PARI</v>
      </c>
      <c r="E2228" s="3" t="str">
        <f>INDEX(PEDIDOS!$A:$D,MATCH(FORNECEDOR!A2228,PEDIDOS!$A:$A,0),4)</f>
        <v>SP - PARI</v>
      </c>
    </row>
    <row r="2229" spans="1:5" hidden="1" x14ac:dyDescent="0.25">
      <c r="A2229" s="1" t="s">
        <v>2228</v>
      </c>
      <c r="B2229" s="3">
        <f>COUNTIF(PEDIDOS!$A:$A,FORNECEDOR!A2229)</f>
        <v>0</v>
      </c>
      <c r="C2229" s="3" t="e">
        <f>INDEX(PEDIDOS!$A:$D,MATCH(FORNECEDOR!A2229,PEDIDOS!$A:$A,0),2)</f>
        <v>#N/A</v>
      </c>
      <c r="D2229" s="3" t="e">
        <f>INDEX(PEDIDOS!$A:$D,MATCH(FORNECEDOR!A2229,PEDIDOS!$A:$A,0),3)</f>
        <v>#N/A</v>
      </c>
      <c r="E2229" s="3" t="e">
        <f>INDEX(PEDIDOS!$A:$D,MATCH(FORNECEDOR!A2229,PEDIDOS!$A:$A,0),4)</f>
        <v>#N/A</v>
      </c>
    </row>
    <row r="2230" spans="1:5" hidden="1" x14ac:dyDescent="0.25">
      <c r="A2230" s="1" t="s">
        <v>2229</v>
      </c>
      <c r="B2230" s="3">
        <f>COUNTIF(PEDIDOS!$A:$A,FORNECEDOR!A2230)</f>
        <v>0</v>
      </c>
      <c r="C2230" s="3" t="e">
        <f>INDEX(PEDIDOS!$A:$D,MATCH(FORNECEDOR!A2230,PEDIDOS!$A:$A,0),2)</f>
        <v>#N/A</v>
      </c>
      <c r="D2230" s="3" t="e">
        <f>INDEX(PEDIDOS!$A:$D,MATCH(FORNECEDOR!A2230,PEDIDOS!$A:$A,0),3)</f>
        <v>#N/A</v>
      </c>
      <c r="E2230" s="3" t="e">
        <f>INDEX(PEDIDOS!$A:$D,MATCH(FORNECEDOR!A2230,PEDIDOS!$A:$A,0),4)</f>
        <v>#N/A</v>
      </c>
    </row>
    <row r="2231" spans="1:5" hidden="1" x14ac:dyDescent="0.25">
      <c r="A2231" s="1" t="s">
        <v>2230</v>
      </c>
      <c r="B2231" s="3">
        <f>COUNTIF(PEDIDOS!$A:$A,FORNECEDOR!A2231)</f>
        <v>0</v>
      </c>
      <c r="C2231" s="3" t="e">
        <f>INDEX(PEDIDOS!$A:$D,MATCH(FORNECEDOR!A2231,PEDIDOS!$A:$A,0),2)</f>
        <v>#N/A</v>
      </c>
      <c r="D2231" s="3" t="e">
        <f>INDEX(PEDIDOS!$A:$D,MATCH(FORNECEDOR!A2231,PEDIDOS!$A:$A,0),3)</f>
        <v>#N/A</v>
      </c>
      <c r="E2231" s="3" t="e">
        <f>INDEX(PEDIDOS!$A:$D,MATCH(FORNECEDOR!A2231,PEDIDOS!$A:$A,0),4)</f>
        <v>#N/A</v>
      </c>
    </row>
    <row r="2232" spans="1:5" hidden="1" x14ac:dyDescent="0.25">
      <c r="A2232" s="1" t="s">
        <v>2231</v>
      </c>
      <c r="B2232" s="3">
        <f>COUNTIF(PEDIDOS!$A:$A,FORNECEDOR!A2232)</f>
        <v>0</v>
      </c>
      <c r="C2232" s="3" t="e">
        <f>INDEX(PEDIDOS!$A:$D,MATCH(FORNECEDOR!A2232,PEDIDOS!$A:$A,0),2)</f>
        <v>#N/A</v>
      </c>
      <c r="D2232" s="3" t="e">
        <f>INDEX(PEDIDOS!$A:$D,MATCH(FORNECEDOR!A2232,PEDIDOS!$A:$A,0),3)</f>
        <v>#N/A</v>
      </c>
      <c r="E2232" s="3" t="e">
        <f>INDEX(PEDIDOS!$A:$D,MATCH(FORNECEDOR!A2232,PEDIDOS!$A:$A,0),4)</f>
        <v>#N/A</v>
      </c>
    </row>
    <row r="2233" spans="1:5" x14ac:dyDescent="0.25">
      <c r="A2233" s="1" t="s">
        <v>2232</v>
      </c>
      <c r="B2233" s="3">
        <f>COUNTIF(PEDIDOS!$A:$A,FORNECEDOR!A2233)</f>
        <v>2</v>
      </c>
      <c r="C2233" s="3" t="str">
        <f>INDEX(PEDIDOS!$A:$D,MATCH(FORNECEDOR!A2233,PEDIDOS!$A:$A,0),2)</f>
        <v>CD ARAQUARI</v>
      </c>
      <c r="D2233" s="3" t="str">
        <f>INDEX(PEDIDOS!$A:$D,MATCH(FORNECEDOR!A2233,PEDIDOS!$A:$A,0),3)</f>
        <v>MATRIZ</v>
      </c>
      <c r="E2233" s="3" t="str">
        <f>INDEX(PEDIDOS!$A:$D,MATCH(FORNECEDOR!A2233,PEDIDOS!$A:$A,0),4)</f>
        <v>CD ARAQUARI</v>
      </c>
    </row>
    <row r="2234" spans="1:5" x14ac:dyDescent="0.25">
      <c r="A2234" s="1" t="s">
        <v>2233</v>
      </c>
      <c r="B2234" s="3">
        <f>COUNTIF(PEDIDOS!$A:$A,FORNECEDOR!A2234)</f>
        <v>1</v>
      </c>
      <c r="C2234" s="3" t="str">
        <f>INDEX(PEDIDOS!$A:$D,MATCH(FORNECEDOR!A2234,PEDIDOS!$A:$A,0),2)</f>
        <v>AVANTI- ADM C.CREDITO</v>
      </c>
      <c r="D2234" s="3" t="str">
        <f>INDEX(PEDIDOS!$A:$D,MATCH(FORNECEDOR!A2234,PEDIDOS!$A:$A,0),3)</f>
        <v>AVANTI- ADM C.CREDITO</v>
      </c>
      <c r="E2234" s="3" t="str">
        <f>INDEX(PEDIDOS!$A:$D,MATCH(FORNECEDOR!A2234,PEDIDOS!$A:$A,0),4)</f>
        <v>AVANTI- ADM C.CREDITO</v>
      </c>
    </row>
    <row r="2235" spans="1:5" x14ac:dyDescent="0.25">
      <c r="A2235" s="1" t="s">
        <v>2234</v>
      </c>
      <c r="B2235" s="3">
        <f>COUNTIF(PEDIDOS!$A:$A,FORNECEDOR!A2235)</f>
        <v>1</v>
      </c>
      <c r="C2235" s="3" t="str">
        <f>INDEX(PEDIDOS!$A:$D,MATCH(FORNECEDOR!A2235,PEDIDOS!$A:$A,0),2)</f>
        <v>CD REGIS</v>
      </c>
      <c r="D2235" s="3" t="str">
        <f>INDEX(PEDIDOS!$A:$D,MATCH(FORNECEDOR!A2235,PEDIDOS!$A:$A,0),3)</f>
        <v>MATRIZ</v>
      </c>
      <c r="E2235" s="3" t="str">
        <f>INDEX(PEDIDOS!$A:$D,MATCH(FORNECEDOR!A2235,PEDIDOS!$A:$A,0),4)</f>
        <v>CD REGIS</v>
      </c>
    </row>
    <row r="2236" spans="1:5" x14ac:dyDescent="0.25">
      <c r="A2236" s="1" t="s">
        <v>2235</v>
      </c>
      <c r="B2236" s="3">
        <f>COUNTIF(PEDIDOS!$A:$A,FORNECEDOR!A2236)</f>
        <v>1</v>
      </c>
      <c r="C2236" s="3" t="str">
        <f>INDEX(PEDIDOS!$A:$D,MATCH(FORNECEDOR!A2236,PEDIDOS!$A:$A,0),2)</f>
        <v>CIDADE TIRADENTES</v>
      </c>
      <c r="D2236" s="3" t="str">
        <f>INDEX(PEDIDOS!$A:$D,MATCH(FORNECEDOR!A2236,PEDIDOS!$A:$A,0),3)</f>
        <v>CIDADE TIRADENTES</v>
      </c>
      <c r="E2236" s="3" t="str">
        <f>INDEX(PEDIDOS!$A:$D,MATCH(FORNECEDOR!A2236,PEDIDOS!$A:$A,0),4)</f>
        <v>CIDADE TIRADENTES</v>
      </c>
    </row>
    <row r="2237" spans="1:5" hidden="1" x14ac:dyDescent="0.25">
      <c r="A2237" s="1" t="s">
        <v>2236</v>
      </c>
      <c r="B2237" s="3">
        <f>COUNTIF(PEDIDOS!$A:$A,FORNECEDOR!A2237)</f>
        <v>0</v>
      </c>
      <c r="C2237" s="3" t="e">
        <f>INDEX(PEDIDOS!$A:$D,MATCH(FORNECEDOR!A2237,PEDIDOS!$A:$A,0),2)</f>
        <v>#N/A</v>
      </c>
      <c r="D2237" s="3" t="e">
        <f>INDEX(PEDIDOS!$A:$D,MATCH(FORNECEDOR!A2237,PEDIDOS!$A:$A,0),3)</f>
        <v>#N/A</v>
      </c>
      <c r="E2237" s="3" t="e">
        <f>INDEX(PEDIDOS!$A:$D,MATCH(FORNECEDOR!A2237,PEDIDOS!$A:$A,0),4)</f>
        <v>#N/A</v>
      </c>
    </row>
    <row r="2238" spans="1:5" hidden="1" x14ac:dyDescent="0.25">
      <c r="A2238" s="1" t="s">
        <v>2237</v>
      </c>
      <c r="B2238" s="3">
        <f>COUNTIF(PEDIDOS!$A:$A,FORNECEDOR!A2238)</f>
        <v>0</v>
      </c>
      <c r="C2238" s="3" t="e">
        <f>INDEX(PEDIDOS!$A:$D,MATCH(FORNECEDOR!A2238,PEDIDOS!$A:$A,0),2)</f>
        <v>#N/A</v>
      </c>
      <c r="D2238" s="3" t="e">
        <f>INDEX(PEDIDOS!$A:$D,MATCH(FORNECEDOR!A2238,PEDIDOS!$A:$A,0),3)</f>
        <v>#N/A</v>
      </c>
      <c r="E2238" s="3" t="e">
        <f>INDEX(PEDIDOS!$A:$D,MATCH(FORNECEDOR!A2238,PEDIDOS!$A:$A,0),4)</f>
        <v>#N/A</v>
      </c>
    </row>
    <row r="2239" spans="1:5" x14ac:dyDescent="0.25">
      <c r="A2239" s="1" t="s">
        <v>2238</v>
      </c>
      <c r="B2239" s="3">
        <f>COUNTIF(PEDIDOS!$A:$A,FORNECEDOR!A2239)</f>
        <v>1</v>
      </c>
      <c r="C2239" s="3" t="str">
        <f>INDEX(PEDIDOS!$A:$D,MATCH(FORNECEDOR!A2239,PEDIDOS!$A:$A,0),2)</f>
        <v>AVANTI- ADM C.CREDITO</v>
      </c>
      <c r="D2239" s="3" t="str">
        <f>INDEX(PEDIDOS!$A:$D,MATCH(FORNECEDOR!A2239,PEDIDOS!$A:$A,0),3)</f>
        <v>AVANTI- ADM C.CREDITO</v>
      </c>
      <c r="E2239" s="3" t="str">
        <f>INDEX(PEDIDOS!$A:$D,MATCH(FORNECEDOR!A2239,PEDIDOS!$A:$A,0),4)</f>
        <v>AVANTI- ADM C.CREDITO</v>
      </c>
    </row>
    <row r="2240" spans="1:5" x14ac:dyDescent="0.25">
      <c r="A2240" s="1" t="s">
        <v>2239</v>
      </c>
      <c r="B2240" s="3">
        <f>COUNTIF(PEDIDOS!$A:$A,FORNECEDOR!A2240)</f>
        <v>2</v>
      </c>
      <c r="C2240" s="3" t="str">
        <f>INDEX(PEDIDOS!$A:$D,MATCH(FORNECEDOR!A2240,PEDIDOS!$A:$A,0),2)</f>
        <v>INDAIATUBA</v>
      </c>
      <c r="D2240" s="3" t="str">
        <f>INDEX(PEDIDOS!$A:$D,MATCH(FORNECEDOR!A2240,PEDIDOS!$A:$A,0),3)</f>
        <v>INDAIATUBA</v>
      </c>
      <c r="E2240" s="3" t="str">
        <f>INDEX(PEDIDOS!$A:$D,MATCH(FORNECEDOR!A2240,PEDIDOS!$A:$A,0),4)</f>
        <v>INDAIATUBA</v>
      </c>
    </row>
    <row r="2241" spans="1:5" hidden="1" x14ac:dyDescent="0.25">
      <c r="A2241" s="1" t="s">
        <v>2240</v>
      </c>
      <c r="B2241" s="3">
        <f>COUNTIF(PEDIDOS!$A:$A,FORNECEDOR!A2241)</f>
        <v>0</v>
      </c>
      <c r="C2241" s="3" t="e">
        <f>INDEX(PEDIDOS!$A:$D,MATCH(FORNECEDOR!A2241,PEDIDOS!$A:$A,0),2)</f>
        <v>#N/A</v>
      </c>
      <c r="D2241" s="3" t="e">
        <f>INDEX(PEDIDOS!$A:$D,MATCH(FORNECEDOR!A2241,PEDIDOS!$A:$A,0),3)</f>
        <v>#N/A</v>
      </c>
      <c r="E2241" s="3" t="e">
        <f>INDEX(PEDIDOS!$A:$D,MATCH(FORNECEDOR!A2241,PEDIDOS!$A:$A,0),4)</f>
        <v>#N/A</v>
      </c>
    </row>
    <row r="2242" spans="1:5" x14ac:dyDescent="0.25">
      <c r="A2242" s="1" t="s">
        <v>2241</v>
      </c>
      <c r="B2242" s="3">
        <f>COUNTIF(PEDIDOS!$A:$A,FORNECEDOR!A2242)</f>
        <v>1</v>
      </c>
      <c r="C2242" s="3" t="str">
        <f>INDEX(PEDIDOS!$A:$D,MATCH(FORNECEDOR!A2242,PEDIDOS!$A:$A,0),2)</f>
        <v>PIRASSUNUNGA</v>
      </c>
      <c r="D2242" s="3" t="str">
        <f>INDEX(PEDIDOS!$A:$D,MATCH(FORNECEDOR!A2242,PEDIDOS!$A:$A,0),3)</f>
        <v>PIRASSUNUNGA</v>
      </c>
      <c r="E2242" s="3" t="str">
        <f>INDEX(PEDIDOS!$A:$D,MATCH(FORNECEDOR!A2242,PEDIDOS!$A:$A,0),4)</f>
        <v>PIRASSUNUNGA</v>
      </c>
    </row>
    <row r="2243" spans="1:5" hidden="1" x14ac:dyDescent="0.25">
      <c r="A2243" s="1" t="s">
        <v>2242</v>
      </c>
      <c r="B2243" s="3">
        <f>COUNTIF(PEDIDOS!$A:$A,FORNECEDOR!A2243)</f>
        <v>0</v>
      </c>
      <c r="C2243" s="3" t="e">
        <f>INDEX(PEDIDOS!$A:$D,MATCH(FORNECEDOR!A2243,PEDIDOS!$A:$A,0),2)</f>
        <v>#N/A</v>
      </c>
      <c r="D2243" s="3" t="e">
        <f>INDEX(PEDIDOS!$A:$D,MATCH(FORNECEDOR!A2243,PEDIDOS!$A:$A,0),3)</f>
        <v>#N/A</v>
      </c>
      <c r="E2243" s="3" t="e">
        <f>INDEX(PEDIDOS!$A:$D,MATCH(FORNECEDOR!A2243,PEDIDOS!$A:$A,0),4)</f>
        <v>#N/A</v>
      </c>
    </row>
    <row r="2244" spans="1:5" hidden="1" x14ac:dyDescent="0.25">
      <c r="A2244" s="1" t="s">
        <v>2243</v>
      </c>
      <c r="B2244" s="3">
        <f>COUNTIF(PEDIDOS!$A:$A,FORNECEDOR!A2244)</f>
        <v>0</v>
      </c>
      <c r="C2244" s="3" t="e">
        <f>INDEX(PEDIDOS!$A:$D,MATCH(FORNECEDOR!A2244,PEDIDOS!$A:$A,0),2)</f>
        <v>#N/A</v>
      </c>
      <c r="D2244" s="3" t="e">
        <f>INDEX(PEDIDOS!$A:$D,MATCH(FORNECEDOR!A2244,PEDIDOS!$A:$A,0),3)</f>
        <v>#N/A</v>
      </c>
      <c r="E2244" s="3" t="e">
        <f>INDEX(PEDIDOS!$A:$D,MATCH(FORNECEDOR!A2244,PEDIDOS!$A:$A,0),4)</f>
        <v>#N/A</v>
      </c>
    </row>
    <row r="2245" spans="1:5" hidden="1" x14ac:dyDescent="0.25">
      <c r="A2245" s="1" t="s">
        <v>2244</v>
      </c>
      <c r="B2245" s="3">
        <f>COUNTIF(PEDIDOS!$A:$A,FORNECEDOR!A2245)</f>
        <v>0</v>
      </c>
      <c r="C2245" s="3" t="e">
        <f>INDEX(PEDIDOS!$A:$D,MATCH(FORNECEDOR!A2245,PEDIDOS!$A:$A,0),2)</f>
        <v>#N/A</v>
      </c>
      <c r="D2245" s="3" t="e">
        <f>INDEX(PEDIDOS!$A:$D,MATCH(FORNECEDOR!A2245,PEDIDOS!$A:$A,0),3)</f>
        <v>#N/A</v>
      </c>
      <c r="E2245" s="3" t="e">
        <f>INDEX(PEDIDOS!$A:$D,MATCH(FORNECEDOR!A2245,PEDIDOS!$A:$A,0),4)</f>
        <v>#N/A</v>
      </c>
    </row>
    <row r="2246" spans="1:5" x14ac:dyDescent="0.25">
      <c r="A2246" s="1" t="s">
        <v>2245</v>
      </c>
      <c r="B2246" s="3">
        <f>COUNTIF(PEDIDOS!$A:$A,FORNECEDOR!A2246)</f>
        <v>11</v>
      </c>
      <c r="C2246" s="3" t="str">
        <f>INDEX(PEDIDOS!$A:$D,MATCH(FORNECEDOR!A2246,PEDIDOS!$A:$A,0),2)</f>
        <v>ANPPLA</v>
      </c>
      <c r="D2246" s="3" t="str">
        <f>INDEX(PEDIDOS!$A:$D,MATCH(FORNECEDOR!A2246,PEDIDOS!$A:$A,0),3)</f>
        <v>ANPPLA</v>
      </c>
      <c r="E2246" s="3" t="str">
        <f>INDEX(PEDIDOS!$A:$D,MATCH(FORNECEDOR!A2246,PEDIDOS!$A:$A,0),4)</f>
        <v>ANPPLA</v>
      </c>
    </row>
    <row r="2247" spans="1:5" hidden="1" x14ac:dyDescent="0.25">
      <c r="A2247" s="1" t="s">
        <v>2246</v>
      </c>
      <c r="B2247" s="3">
        <f>COUNTIF(PEDIDOS!$A:$A,FORNECEDOR!A2247)</f>
        <v>0</v>
      </c>
      <c r="C2247" s="3" t="e">
        <f>INDEX(PEDIDOS!$A:$D,MATCH(FORNECEDOR!A2247,PEDIDOS!$A:$A,0),2)</f>
        <v>#N/A</v>
      </c>
      <c r="D2247" s="3" t="e">
        <f>INDEX(PEDIDOS!$A:$D,MATCH(FORNECEDOR!A2247,PEDIDOS!$A:$A,0),3)</f>
        <v>#N/A</v>
      </c>
      <c r="E2247" s="3" t="e">
        <f>INDEX(PEDIDOS!$A:$D,MATCH(FORNECEDOR!A2247,PEDIDOS!$A:$A,0),4)</f>
        <v>#N/A</v>
      </c>
    </row>
    <row r="2248" spans="1:5" x14ac:dyDescent="0.25">
      <c r="A2248" s="1" t="s">
        <v>2247</v>
      </c>
      <c r="B2248" s="3">
        <f>COUNTIF(PEDIDOS!$A:$A,FORNECEDOR!A2248)</f>
        <v>1</v>
      </c>
      <c r="C2248" s="3" t="str">
        <f>INDEX(PEDIDOS!$A:$D,MATCH(FORNECEDOR!A2248,PEDIDOS!$A:$A,0),2)</f>
        <v>MATRIZ</v>
      </c>
      <c r="D2248" s="3" t="str">
        <f>INDEX(PEDIDOS!$A:$D,MATCH(FORNECEDOR!A2248,PEDIDOS!$A:$A,0),3)</f>
        <v>MATRIZ</v>
      </c>
      <c r="E2248" s="3" t="str">
        <f>INDEX(PEDIDOS!$A:$D,MATCH(FORNECEDOR!A2248,PEDIDOS!$A:$A,0),4)</f>
        <v>MATRIZ</v>
      </c>
    </row>
    <row r="2249" spans="1:5" hidden="1" x14ac:dyDescent="0.25">
      <c r="A2249" s="1" t="s">
        <v>2248</v>
      </c>
      <c r="B2249" s="3">
        <f>COUNTIF(PEDIDOS!$A:$A,FORNECEDOR!A2249)</f>
        <v>0</v>
      </c>
      <c r="C2249" s="3" t="e">
        <f>INDEX(PEDIDOS!$A:$D,MATCH(FORNECEDOR!A2249,PEDIDOS!$A:$A,0),2)</f>
        <v>#N/A</v>
      </c>
      <c r="D2249" s="3" t="e">
        <f>INDEX(PEDIDOS!$A:$D,MATCH(FORNECEDOR!A2249,PEDIDOS!$A:$A,0),3)</f>
        <v>#N/A</v>
      </c>
      <c r="E2249" s="3" t="e">
        <f>INDEX(PEDIDOS!$A:$D,MATCH(FORNECEDOR!A2249,PEDIDOS!$A:$A,0),4)</f>
        <v>#N/A</v>
      </c>
    </row>
    <row r="2250" spans="1:5" x14ac:dyDescent="0.25">
      <c r="A2250" s="1" t="s">
        <v>2249</v>
      </c>
      <c r="B2250" s="3">
        <f>COUNTIF(PEDIDOS!$A:$A,FORNECEDOR!A2250)</f>
        <v>1</v>
      </c>
      <c r="C2250" s="3" t="str">
        <f>INDEX(PEDIDOS!$A:$D,MATCH(FORNECEDOR!A2250,PEDIDOS!$A:$A,0),2)</f>
        <v>MATRIZ</v>
      </c>
      <c r="D2250" s="3" t="str">
        <f>INDEX(PEDIDOS!$A:$D,MATCH(FORNECEDOR!A2250,PEDIDOS!$A:$A,0),3)</f>
        <v>MATRIZ</v>
      </c>
      <c r="E2250" s="3" t="str">
        <f>INDEX(PEDIDOS!$A:$D,MATCH(FORNECEDOR!A2250,PEDIDOS!$A:$A,0),4)</f>
        <v>MATRIZ</v>
      </c>
    </row>
    <row r="2251" spans="1:5" hidden="1" x14ac:dyDescent="0.25">
      <c r="A2251" s="1" t="s">
        <v>2250</v>
      </c>
      <c r="B2251" s="3">
        <f>COUNTIF(PEDIDOS!$A:$A,FORNECEDOR!A2251)</f>
        <v>0</v>
      </c>
      <c r="C2251" s="3" t="e">
        <f>INDEX(PEDIDOS!$A:$D,MATCH(FORNECEDOR!A2251,PEDIDOS!$A:$A,0),2)</f>
        <v>#N/A</v>
      </c>
      <c r="D2251" s="3" t="e">
        <f>INDEX(PEDIDOS!$A:$D,MATCH(FORNECEDOR!A2251,PEDIDOS!$A:$A,0),3)</f>
        <v>#N/A</v>
      </c>
      <c r="E2251" s="3" t="e">
        <f>INDEX(PEDIDOS!$A:$D,MATCH(FORNECEDOR!A2251,PEDIDOS!$A:$A,0),4)</f>
        <v>#N/A</v>
      </c>
    </row>
    <row r="2252" spans="1:5" x14ac:dyDescent="0.25">
      <c r="A2252" s="1" t="s">
        <v>2251</v>
      </c>
      <c r="B2252" s="3">
        <f>COUNTIF(PEDIDOS!$A:$A,FORNECEDOR!A2252)</f>
        <v>2</v>
      </c>
      <c r="C2252" s="3" t="str">
        <f>INDEX(PEDIDOS!$A:$D,MATCH(FORNECEDOR!A2252,PEDIDOS!$A:$A,0),2)</f>
        <v>CD REGIS</v>
      </c>
      <c r="D2252" s="3" t="str">
        <f>INDEX(PEDIDOS!$A:$D,MATCH(FORNECEDOR!A2252,PEDIDOS!$A:$A,0),3)</f>
        <v>MATRIZ</v>
      </c>
      <c r="E2252" s="3" t="str">
        <f>INDEX(PEDIDOS!$A:$D,MATCH(FORNECEDOR!A2252,PEDIDOS!$A:$A,0),4)</f>
        <v>CD REGIS</v>
      </c>
    </row>
    <row r="2253" spans="1:5" hidden="1" x14ac:dyDescent="0.25">
      <c r="A2253" s="1" t="s">
        <v>2252</v>
      </c>
      <c r="B2253" s="3">
        <f>COUNTIF(PEDIDOS!$A:$A,FORNECEDOR!A2253)</f>
        <v>0</v>
      </c>
      <c r="C2253" s="3" t="e">
        <f>INDEX(PEDIDOS!$A:$D,MATCH(FORNECEDOR!A2253,PEDIDOS!$A:$A,0),2)</f>
        <v>#N/A</v>
      </c>
      <c r="D2253" s="3" t="e">
        <f>INDEX(PEDIDOS!$A:$D,MATCH(FORNECEDOR!A2253,PEDIDOS!$A:$A,0),3)</f>
        <v>#N/A</v>
      </c>
      <c r="E2253" s="3" t="e">
        <f>INDEX(PEDIDOS!$A:$D,MATCH(FORNECEDOR!A2253,PEDIDOS!$A:$A,0),4)</f>
        <v>#N/A</v>
      </c>
    </row>
    <row r="2254" spans="1:5" hidden="1" x14ac:dyDescent="0.25">
      <c r="A2254" s="1" t="s">
        <v>2253</v>
      </c>
      <c r="B2254" s="3">
        <f>COUNTIF(PEDIDOS!$A:$A,FORNECEDOR!A2254)</f>
        <v>0</v>
      </c>
      <c r="C2254" s="3" t="e">
        <f>INDEX(PEDIDOS!$A:$D,MATCH(FORNECEDOR!A2254,PEDIDOS!$A:$A,0),2)</f>
        <v>#N/A</v>
      </c>
      <c r="D2254" s="3" t="e">
        <f>INDEX(PEDIDOS!$A:$D,MATCH(FORNECEDOR!A2254,PEDIDOS!$A:$A,0),3)</f>
        <v>#N/A</v>
      </c>
      <c r="E2254" s="3" t="e">
        <f>INDEX(PEDIDOS!$A:$D,MATCH(FORNECEDOR!A2254,PEDIDOS!$A:$A,0),4)</f>
        <v>#N/A</v>
      </c>
    </row>
    <row r="2255" spans="1:5" x14ac:dyDescent="0.25">
      <c r="A2255" s="1" t="s">
        <v>2254</v>
      </c>
      <c r="B2255" s="3">
        <f>COUNTIF(PEDIDOS!$A:$A,FORNECEDOR!A2255)</f>
        <v>2</v>
      </c>
      <c r="C2255" s="3" t="str">
        <f>INDEX(PEDIDOS!$A:$D,MATCH(FORNECEDOR!A2255,PEDIDOS!$A:$A,0),2)</f>
        <v>CD REGIS</v>
      </c>
      <c r="D2255" s="3" t="str">
        <f>INDEX(PEDIDOS!$A:$D,MATCH(FORNECEDOR!A2255,PEDIDOS!$A:$A,0),3)</f>
        <v>MATRIZ</v>
      </c>
      <c r="E2255" s="3" t="str">
        <f>INDEX(PEDIDOS!$A:$D,MATCH(FORNECEDOR!A2255,PEDIDOS!$A:$A,0),4)</f>
        <v>CD REGIS</v>
      </c>
    </row>
    <row r="2256" spans="1:5" x14ac:dyDescent="0.25">
      <c r="A2256" s="1" t="s">
        <v>2255</v>
      </c>
      <c r="B2256" s="3">
        <f>COUNTIF(PEDIDOS!$A:$A,FORNECEDOR!A2256)</f>
        <v>1</v>
      </c>
      <c r="C2256" s="3" t="str">
        <f>INDEX(PEDIDOS!$A:$D,MATCH(FORNECEDOR!A2256,PEDIDOS!$A:$A,0),2)</f>
        <v>CD NAVEGANTES</v>
      </c>
      <c r="D2256" s="3" t="str">
        <f>INDEX(PEDIDOS!$A:$D,MATCH(FORNECEDOR!A2256,PEDIDOS!$A:$A,0),3)</f>
        <v>MATRIZ</v>
      </c>
      <c r="E2256" s="3" t="str">
        <f>INDEX(PEDIDOS!$A:$D,MATCH(FORNECEDOR!A2256,PEDIDOS!$A:$A,0),4)</f>
        <v>CD NAVEGANTES</v>
      </c>
    </row>
    <row r="2257" spans="1:5" hidden="1" x14ac:dyDescent="0.25">
      <c r="A2257" s="1" t="s">
        <v>2256</v>
      </c>
      <c r="B2257" s="3">
        <f>COUNTIF(PEDIDOS!$A:$A,FORNECEDOR!A2257)</f>
        <v>0</v>
      </c>
      <c r="C2257" s="3" t="e">
        <f>INDEX(PEDIDOS!$A:$D,MATCH(FORNECEDOR!A2257,PEDIDOS!$A:$A,0),2)</f>
        <v>#N/A</v>
      </c>
      <c r="D2257" s="3" t="e">
        <f>INDEX(PEDIDOS!$A:$D,MATCH(FORNECEDOR!A2257,PEDIDOS!$A:$A,0),3)</f>
        <v>#N/A</v>
      </c>
      <c r="E2257" s="3" t="e">
        <f>INDEX(PEDIDOS!$A:$D,MATCH(FORNECEDOR!A2257,PEDIDOS!$A:$A,0),4)</f>
        <v>#N/A</v>
      </c>
    </row>
    <row r="2258" spans="1:5" hidden="1" x14ac:dyDescent="0.25">
      <c r="A2258" s="1" t="s">
        <v>2257</v>
      </c>
      <c r="B2258" s="3">
        <f>COUNTIF(PEDIDOS!$A:$A,FORNECEDOR!A2258)</f>
        <v>0</v>
      </c>
      <c r="C2258" s="3" t="e">
        <f>INDEX(PEDIDOS!$A:$D,MATCH(FORNECEDOR!A2258,PEDIDOS!$A:$A,0),2)</f>
        <v>#N/A</v>
      </c>
      <c r="D2258" s="3" t="e">
        <f>INDEX(PEDIDOS!$A:$D,MATCH(FORNECEDOR!A2258,PEDIDOS!$A:$A,0),3)</f>
        <v>#N/A</v>
      </c>
      <c r="E2258" s="3" t="e">
        <f>INDEX(PEDIDOS!$A:$D,MATCH(FORNECEDOR!A2258,PEDIDOS!$A:$A,0),4)</f>
        <v>#N/A</v>
      </c>
    </row>
    <row r="2259" spans="1:5" x14ac:dyDescent="0.25">
      <c r="A2259" s="1" t="s">
        <v>2258</v>
      </c>
      <c r="B2259" s="3">
        <f>COUNTIF(PEDIDOS!$A:$A,FORNECEDOR!A2259)</f>
        <v>2</v>
      </c>
      <c r="C2259" s="3" t="str">
        <f>INDEX(PEDIDOS!$A:$D,MATCH(FORNECEDOR!A2259,PEDIDOS!$A:$A,0),2)</f>
        <v>CD REGIS</v>
      </c>
      <c r="D2259" s="3" t="str">
        <f>INDEX(PEDIDOS!$A:$D,MATCH(FORNECEDOR!A2259,PEDIDOS!$A:$A,0),3)</f>
        <v>MATRIZ</v>
      </c>
      <c r="E2259" s="3" t="str">
        <f>INDEX(PEDIDOS!$A:$D,MATCH(FORNECEDOR!A2259,PEDIDOS!$A:$A,0),4)</f>
        <v>CD REGIS</v>
      </c>
    </row>
    <row r="2260" spans="1:5" x14ac:dyDescent="0.25">
      <c r="A2260" s="1" t="s">
        <v>2259</v>
      </c>
      <c r="B2260" s="3">
        <f>COUNTIF(PEDIDOS!$A:$A,FORNECEDOR!A2260)</f>
        <v>2</v>
      </c>
      <c r="C2260" s="3" t="str">
        <f>INDEX(PEDIDOS!$A:$D,MATCH(FORNECEDOR!A2260,PEDIDOS!$A:$A,0),2)</f>
        <v>CD REGIS</v>
      </c>
      <c r="D2260" s="3" t="str">
        <f>INDEX(PEDIDOS!$A:$D,MATCH(FORNECEDOR!A2260,PEDIDOS!$A:$A,0),3)</f>
        <v>MATRIZ</v>
      </c>
      <c r="E2260" s="3" t="str">
        <f>INDEX(PEDIDOS!$A:$D,MATCH(FORNECEDOR!A2260,PEDIDOS!$A:$A,0),4)</f>
        <v>CD REGIS</v>
      </c>
    </row>
    <row r="2261" spans="1:5" x14ac:dyDescent="0.25">
      <c r="A2261" s="1" t="s">
        <v>2260</v>
      </c>
      <c r="B2261" s="3">
        <f>COUNTIF(PEDIDOS!$A:$A,FORNECEDOR!A2261)</f>
        <v>1</v>
      </c>
      <c r="C2261" s="3" t="str">
        <f>INDEX(PEDIDOS!$A:$D,MATCH(FORNECEDOR!A2261,PEDIDOS!$A:$A,0),2)</f>
        <v>CD REGIS</v>
      </c>
      <c r="D2261" s="3" t="str">
        <f>INDEX(PEDIDOS!$A:$D,MATCH(FORNECEDOR!A2261,PEDIDOS!$A:$A,0),3)</f>
        <v>MATRIZ</v>
      </c>
      <c r="E2261" s="3" t="str">
        <f>INDEX(PEDIDOS!$A:$D,MATCH(FORNECEDOR!A2261,PEDIDOS!$A:$A,0),4)</f>
        <v>CD REGIS</v>
      </c>
    </row>
    <row r="2262" spans="1:5" hidden="1" x14ac:dyDescent="0.25">
      <c r="A2262" s="1" t="s">
        <v>2261</v>
      </c>
      <c r="B2262" s="3">
        <f>COUNTIF(PEDIDOS!$A:$A,FORNECEDOR!A2262)</f>
        <v>0</v>
      </c>
      <c r="C2262" s="3" t="e">
        <f>INDEX(PEDIDOS!$A:$D,MATCH(FORNECEDOR!A2262,PEDIDOS!$A:$A,0),2)</f>
        <v>#N/A</v>
      </c>
      <c r="D2262" s="3" t="e">
        <f>INDEX(PEDIDOS!$A:$D,MATCH(FORNECEDOR!A2262,PEDIDOS!$A:$A,0),3)</f>
        <v>#N/A</v>
      </c>
      <c r="E2262" s="3" t="e">
        <f>INDEX(PEDIDOS!$A:$D,MATCH(FORNECEDOR!A2262,PEDIDOS!$A:$A,0),4)</f>
        <v>#N/A</v>
      </c>
    </row>
    <row r="2263" spans="1:5" hidden="1" x14ac:dyDescent="0.25">
      <c r="A2263" s="1" t="s">
        <v>2262</v>
      </c>
      <c r="B2263" s="3">
        <f>COUNTIF(PEDIDOS!$A:$A,FORNECEDOR!A2263)</f>
        <v>0</v>
      </c>
      <c r="C2263" s="3" t="e">
        <f>INDEX(PEDIDOS!$A:$D,MATCH(FORNECEDOR!A2263,PEDIDOS!$A:$A,0),2)</f>
        <v>#N/A</v>
      </c>
      <c r="D2263" s="3" t="e">
        <f>INDEX(PEDIDOS!$A:$D,MATCH(FORNECEDOR!A2263,PEDIDOS!$A:$A,0),3)</f>
        <v>#N/A</v>
      </c>
      <c r="E2263" s="3" t="e">
        <f>INDEX(PEDIDOS!$A:$D,MATCH(FORNECEDOR!A2263,PEDIDOS!$A:$A,0),4)</f>
        <v>#N/A</v>
      </c>
    </row>
    <row r="2264" spans="1:5" hidden="1" x14ac:dyDescent="0.25">
      <c r="A2264" s="1" t="s">
        <v>2263</v>
      </c>
      <c r="B2264" s="3">
        <f>COUNTIF(PEDIDOS!$A:$A,FORNECEDOR!A2264)</f>
        <v>0</v>
      </c>
      <c r="C2264" s="3" t="e">
        <f>INDEX(PEDIDOS!$A:$D,MATCH(FORNECEDOR!A2264,PEDIDOS!$A:$A,0),2)</f>
        <v>#N/A</v>
      </c>
      <c r="D2264" s="3" t="e">
        <f>INDEX(PEDIDOS!$A:$D,MATCH(FORNECEDOR!A2264,PEDIDOS!$A:$A,0),3)</f>
        <v>#N/A</v>
      </c>
      <c r="E2264" s="3" t="e">
        <f>INDEX(PEDIDOS!$A:$D,MATCH(FORNECEDOR!A2264,PEDIDOS!$A:$A,0),4)</f>
        <v>#N/A</v>
      </c>
    </row>
    <row r="2265" spans="1:5" hidden="1" x14ac:dyDescent="0.25">
      <c r="A2265" s="1" t="s">
        <v>2264</v>
      </c>
      <c r="B2265" s="3">
        <f>COUNTIF(PEDIDOS!$A:$A,FORNECEDOR!A2265)</f>
        <v>0</v>
      </c>
      <c r="C2265" s="3" t="e">
        <f>INDEX(PEDIDOS!$A:$D,MATCH(FORNECEDOR!A2265,PEDIDOS!$A:$A,0),2)</f>
        <v>#N/A</v>
      </c>
      <c r="D2265" s="3" t="e">
        <f>INDEX(PEDIDOS!$A:$D,MATCH(FORNECEDOR!A2265,PEDIDOS!$A:$A,0),3)</f>
        <v>#N/A</v>
      </c>
      <c r="E2265" s="3" t="e">
        <f>INDEX(PEDIDOS!$A:$D,MATCH(FORNECEDOR!A2265,PEDIDOS!$A:$A,0),4)</f>
        <v>#N/A</v>
      </c>
    </row>
    <row r="2266" spans="1:5" hidden="1" x14ac:dyDescent="0.25">
      <c r="A2266" s="1" t="s">
        <v>2265</v>
      </c>
      <c r="B2266" s="3">
        <f>COUNTIF(PEDIDOS!$A:$A,FORNECEDOR!A2266)</f>
        <v>0</v>
      </c>
      <c r="C2266" s="3" t="e">
        <f>INDEX(PEDIDOS!$A:$D,MATCH(FORNECEDOR!A2266,PEDIDOS!$A:$A,0),2)</f>
        <v>#N/A</v>
      </c>
      <c r="D2266" s="3" t="e">
        <f>INDEX(PEDIDOS!$A:$D,MATCH(FORNECEDOR!A2266,PEDIDOS!$A:$A,0),3)</f>
        <v>#N/A</v>
      </c>
      <c r="E2266" s="3" t="e">
        <f>INDEX(PEDIDOS!$A:$D,MATCH(FORNECEDOR!A2266,PEDIDOS!$A:$A,0),4)</f>
        <v>#N/A</v>
      </c>
    </row>
    <row r="2267" spans="1:5" x14ac:dyDescent="0.25">
      <c r="A2267" s="1" t="s">
        <v>2266</v>
      </c>
      <c r="B2267" s="3">
        <f>COUNTIF(PEDIDOS!$A:$A,FORNECEDOR!A2267)</f>
        <v>1</v>
      </c>
      <c r="C2267" s="3" t="str">
        <f>INDEX(PEDIDOS!$A:$D,MATCH(FORNECEDOR!A2267,PEDIDOS!$A:$A,0),2)</f>
        <v>AVANTI- ADM C.CREDITO</v>
      </c>
      <c r="D2267" s="3" t="str">
        <f>INDEX(PEDIDOS!$A:$D,MATCH(FORNECEDOR!A2267,PEDIDOS!$A:$A,0),3)</f>
        <v>AVANTI- ADM C.CREDITO</v>
      </c>
      <c r="E2267" s="3" t="str">
        <f>INDEX(PEDIDOS!$A:$D,MATCH(FORNECEDOR!A2267,PEDIDOS!$A:$A,0),4)</f>
        <v>AVANTI- ADM C.CREDITO</v>
      </c>
    </row>
    <row r="2268" spans="1:5" x14ac:dyDescent="0.25">
      <c r="A2268" s="1" t="s">
        <v>2267</v>
      </c>
      <c r="B2268" s="3">
        <f>COUNTIF(PEDIDOS!$A:$A,FORNECEDOR!A2268)</f>
        <v>1</v>
      </c>
      <c r="C2268" s="3" t="str">
        <f>INDEX(PEDIDOS!$A:$D,MATCH(FORNECEDOR!A2268,PEDIDOS!$A:$A,0),2)</f>
        <v>MATRIZ</v>
      </c>
      <c r="D2268" s="3" t="str">
        <f>INDEX(PEDIDOS!$A:$D,MATCH(FORNECEDOR!A2268,PEDIDOS!$A:$A,0),3)</f>
        <v>MATRIZ</v>
      </c>
      <c r="E2268" s="3" t="str">
        <f>INDEX(PEDIDOS!$A:$D,MATCH(FORNECEDOR!A2268,PEDIDOS!$A:$A,0),4)</f>
        <v>MATRIZ</v>
      </c>
    </row>
    <row r="2269" spans="1:5" hidden="1" x14ac:dyDescent="0.25">
      <c r="A2269" s="1" t="s">
        <v>2268</v>
      </c>
      <c r="B2269" s="3">
        <f>COUNTIF(PEDIDOS!$A:$A,FORNECEDOR!A2269)</f>
        <v>0</v>
      </c>
      <c r="C2269" s="3" t="e">
        <f>INDEX(PEDIDOS!$A:$D,MATCH(FORNECEDOR!A2269,PEDIDOS!$A:$A,0),2)</f>
        <v>#N/A</v>
      </c>
      <c r="D2269" s="3" t="e">
        <f>INDEX(PEDIDOS!$A:$D,MATCH(FORNECEDOR!A2269,PEDIDOS!$A:$A,0),3)</f>
        <v>#N/A</v>
      </c>
      <c r="E2269" s="3" t="e">
        <f>INDEX(PEDIDOS!$A:$D,MATCH(FORNECEDOR!A2269,PEDIDOS!$A:$A,0),4)</f>
        <v>#N/A</v>
      </c>
    </row>
    <row r="2270" spans="1:5" x14ac:dyDescent="0.25">
      <c r="A2270" s="1" t="s">
        <v>2269</v>
      </c>
      <c r="B2270" s="3">
        <f>COUNTIF(PEDIDOS!$A:$A,FORNECEDOR!A2270)</f>
        <v>1</v>
      </c>
      <c r="C2270" s="3" t="str">
        <f>INDEX(PEDIDOS!$A:$D,MATCH(FORNECEDOR!A2270,PEDIDOS!$A:$A,0),2)</f>
        <v>ANPPLA</v>
      </c>
      <c r="D2270" s="3" t="str">
        <f>INDEX(PEDIDOS!$A:$D,MATCH(FORNECEDOR!A2270,PEDIDOS!$A:$A,0),3)</f>
        <v>ANPPLA</v>
      </c>
      <c r="E2270" s="3" t="str">
        <f>INDEX(PEDIDOS!$A:$D,MATCH(FORNECEDOR!A2270,PEDIDOS!$A:$A,0),4)</f>
        <v>ANPPLA</v>
      </c>
    </row>
    <row r="2271" spans="1:5" x14ac:dyDescent="0.25">
      <c r="A2271" s="1" t="s">
        <v>2270</v>
      </c>
      <c r="B2271" s="3">
        <f>COUNTIF(PEDIDOS!$A:$A,FORNECEDOR!A2271)</f>
        <v>1</v>
      </c>
      <c r="C2271" s="3" t="str">
        <f>INDEX(PEDIDOS!$A:$D,MATCH(FORNECEDOR!A2271,PEDIDOS!$A:$A,0),2)</f>
        <v>MATRIZ</v>
      </c>
      <c r="D2271" s="3" t="str">
        <f>INDEX(PEDIDOS!$A:$D,MATCH(FORNECEDOR!A2271,PEDIDOS!$A:$A,0),3)</f>
        <v>MATRIZ</v>
      </c>
      <c r="E2271" s="3" t="str">
        <f>INDEX(PEDIDOS!$A:$D,MATCH(FORNECEDOR!A2271,PEDIDOS!$A:$A,0),4)</f>
        <v>MATRIZ</v>
      </c>
    </row>
    <row r="2272" spans="1:5" hidden="1" x14ac:dyDescent="0.25">
      <c r="A2272" s="1" t="s">
        <v>2271</v>
      </c>
      <c r="B2272" s="3">
        <f>COUNTIF(PEDIDOS!$A:$A,FORNECEDOR!A2272)</f>
        <v>0</v>
      </c>
      <c r="C2272" s="3" t="e">
        <f>INDEX(PEDIDOS!$A:$D,MATCH(FORNECEDOR!A2272,PEDIDOS!$A:$A,0),2)</f>
        <v>#N/A</v>
      </c>
      <c r="D2272" s="3" t="e">
        <f>INDEX(PEDIDOS!$A:$D,MATCH(FORNECEDOR!A2272,PEDIDOS!$A:$A,0),3)</f>
        <v>#N/A</v>
      </c>
      <c r="E2272" s="3" t="e">
        <f>INDEX(PEDIDOS!$A:$D,MATCH(FORNECEDOR!A2272,PEDIDOS!$A:$A,0),4)</f>
        <v>#N/A</v>
      </c>
    </row>
    <row r="2273" spans="1:5" x14ac:dyDescent="0.25">
      <c r="A2273" s="1" t="s">
        <v>2272</v>
      </c>
      <c r="B2273" s="3">
        <f>COUNTIF(PEDIDOS!$A:$A,FORNECEDOR!A2273)</f>
        <v>2</v>
      </c>
      <c r="C2273" s="3" t="str">
        <f>INDEX(PEDIDOS!$A:$D,MATCH(FORNECEDOR!A2273,PEDIDOS!$A:$A,0),2)</f>
        <v>CD REGIS</v>
      </c>
      <c r="D2273" s="3" t="str">
        <f>INDEX(PEDIDOS!$A:$D,MATCH(FORNECEDOR!A2273,PEDIDOS!$A:$A,0),3)</f>
        <v>CD REGIS</v>
      </c>
      <c r="E2273" s="3" t="str">
        <f>INDEX(PEDIDOS!$A:$D,MATCH(FORNECEDOR!A2273,PEDIDOS!$A:$A,0),4)</f>
        <v>CD REGIS</v>
      </c>
    </row>
    <row r="2274" spans="1:5" hidden="1" x14ac:dyDescent="0.25">
      <c r="A2274" s="1" t="s">
        <v>2273</v>
      </c>
      <c r="B2274" s="3">
        <f>COUNTIF(PEDIDOS!$A:$A,FORNECEDOR!A2274)</f>
        <v>0</v>
      </c>
      <c r="C2274" s="3" t="e">
        <f>INDEX(PEDIDOS!$A:$D,MATCH(FORNECEDOR!A2274,PEDIDOS!$A:$A,0),2)</f>
        <v>#N/A</v>
      </c>
      <c r="D2274" s="3" t="e">
        <f>INDEX(PEDIDOS!$A:$D,MATCH(FORNECEDOR!A2274,PEDIDOS!$A:$A,0),3)</f>
        <v>#N/A</v>
      </c>
      <c r="E2274" s="3" t="e">
        <f>INDEX(PEDIDOS!$A:$D,MATCH(FORNECEDOR!A2274,PEDIDOS!$A:$A,0),4)</f>
        <v>#N/A</v>
      </c>
    </row>
    <row r="2275" spans="1:5" hidden="1" x14ac:dyDescent="0.25">
      <c r="A2275" s="1" t="s">
        <v>2274</v>
      </c>
      <c r="B2275" s="3">
        <f>COUNTIF(PEDIDOS!$A:$A,FORNECEDOR!A2275)</f>
        <v>0</v>
      </c>
      <c r="C2275" s="3" t="e">
        <f>INDEX(PEDIDOS!$A:$D,MATCH(FORNECEDOR!A2275,PEDIDOS!$A:$A,0),2)</f>
        <v>#N/A</v>
      </c>
      <c r="D2275" s="3" t="e">
        <f>INDEX(PEDIDOS!$A:$D,MATCH(FORNECEDOR!A2275,PEDIDOS!$A:$A,0),3)</f>
        <v>#N/A</v>
      </c>
      <c r="E2275" s="3" t="e">
        <f>INDEX(PEDIDOS!$A:$D,MATCH(FORNECEDOR!A2275,PEDIDOS!$A:$A,0),4)</f>
        <v>#N/A</v>
      </c>
    </row>
    <row r="2276" spans="1:5" hidden="1" x14ac:dyDescent="0.25">
      <c r="A2276" s="1" t="s">
        <v>2275</v>
      </c>
      <c r="B2276" s="3">
        <f>COUNTIF(PEDIDOS!$A:$A,FORNECEDOR!A2276)</f>
        <v>0</v>
      </c>
      <c r="C2276" s="3" t="e">
        <f>INDEX(PEDIDOS!$A:$D,MATCH(FORNECEDOR!A2276,PEDIDOS!$A:$A,0),2)</f>
        <v>#N/A</v>
      </c>
      <c r="D2276" s="3" t="e">
        <f>INDEX(PEDIDOS!$A:$D,MATCH(FORNECEDOR!A2276,PEDIDOS!$A:$A,0),3)</f>
        <v>#N/A</v>
      </c>
      <c r="E2276" s="3" t="e">
        <f>INDEX(PEDIDOS!$A:$D,MATCH(FORNECEDOR!A2276,PEDIDOS!$A:$A,0),4)</f>
        <v>#N/A</v>
      </c>
    </row>
    <row r="2277" spans="1:5" hidden="1" x14ac:dyDescent="0.25">
      <c r="A2277" s="1" t="s">
        <v>2276</v>
      </c>
      <c r="B2277" s="3">
        <f>COUNTIF(PEDIDOS!$A:$A,FORNECEDOR!A2277)</f>
        <v>0</v>
      </c>
      <c r="C2277" s="3" t="e">
        <f>INDEX(PEDIDOS!$A:$D,MATCH(FORNECEDOR!A2277,PEDIDOS!$A:$A,0),2)</f>
        <v>#N/A</v>
      </c>
      <c r="D2277" s="3" t="e">
        <f>INDEX(PEDIDOS!$A:$D,MATCH(FORNECEDOR!A2277,PEDIDOS!$A:$A,0),3)</f>
        <v>#N/A</v>
      </c>
      <c r="E2277" s="3" t="e">
        <f>INDEX(PEDIDOS!$A:$D,MATCH(FORNECEDOR!A2277,PEDIDOS!$A:$A,0),4)</f>
        <v>#N/A</v>
      </c>
    </row>
    <row r="2278" spans="1:5" hidden="1" x14ac:dyDescent="0.25">
      <c r="A2278" s="1" t="s">
        <v>2277</v>
      </c>
      <c r="B2278" s="3">
        <f>COUNTIF(PEDIDOS!$A:$A,FORNECEDOR!A2278)</f>
        <v>0</v>
      </c>
      <c r="C2278" s="3" t="e">
        <f>INDEX(PEDIDOS!$A:$D,MATCH(FORNECEDOR!A2278,PEDIDOS!$A:$A,0),2)</f>
        <v>#N/A</v>
      </c>
      <c r="D2278" s="3" t="e">
        <f>INDEX(PEDIDOS!$A:$D,MATCH(FORNECEDOR!A2278,PEDIDOS!$A:$A,0),3)</f>
        <v>#N/A</v>
      </c>
      <c r="E2278" s="3" t="e">
        <f>INDEX(PEDIDOS!$A:$D,MATCH(FORNECEDOR!A2278,PEDIDOS!$A:$A,0),4)</f>
        <v>#N/A</v>
      </c>
    </row>
    <row r="2279" spans="1:5" x14ac:dyDescent="0.25">
      <c r="A2279" s="1" t="s">
        <v>2278</v>
      </c>
      <c r="B2279" s="3">
        <f>COUNTIF(PEDIDOS!$A:$A,FORNECEDOR!A2279)</f>
        <v>1</v>
      </c>
      <c r="C2279" s="3" t="str">
        <f>INDEX(PEDIDOS!$A:$D,MATCH(FORNECEDOR!A2279,PEDIDOS!$A:$A,0),2)</f>
        <v>MATRIZ</v>
      </c>
      <c r="D2279" s="3" t="str">
        <f>INDEX(PEDIDOS!$A:$D,MATCH(FORNECEDOR!A2279,PEDIDOS!$A:$A,0),3)</f>
        <v>MATRIZ</v>
      </c>
      <c r="E2279" s="3" t="str">
        <f>INDEX(PEDIDOS!$A:$D,MATCH(FORNECEDOR!A2279,PEDIDOS!$A:$A,0),4)</f>
        <v>MATRIZ</v>
      </c>
    </row>
    <row r="2280" spans="1:5" x14ac:dyDescent="0.25">
      <c r="A2280" s="1" t="s">
        <v>2279</v>
      </c>
      <c r="B2280" s="3">
        <f>COUNTIF(PEDIDOS!$A:$A,FORNECEDOR!A2280)</f>
        <v>1</v>
      </c>
      <c r="C2280" s="3" t="str">
        <f>INDEX(PEDIDOS!$A:$D,MATCH(FORNECEDOR!A2280,PEDIDOS!$A:$A,0),2)</f>
        <v>MATRIZ</v>
      </c>
      <c r="D2280" s="3" t="str">
        <f>INDEX(PEDIDOS!$A:$D,MATCH(FORNECEDOR!A2280,PEDIDOS!$A:$A,0),3)</f>
        <v>MATRIZ</v>
      </c>
      <c r="E2280" s="3" t="str">
        <f>INDEX(PEDIDOS!$A:$D,MATCH(FORNECEDOR!A2280,PEDIDOS!$A:$A,0),4)</f>
        <v>MATRIZ</v>
      </c>
    </row>
    <row r="2281" spans="1:5" hidden="1" x14ac:dyDescent="0.25">
      <c r="A2281" s="1" t="s">
        <v>2280</v>
      </c>
      <c r="B2281" s="3">
        <f>COUNTIF(PEDIDOS!$A:$A,FORNECEDOR!A2281)</f>
        <v>0</v>
      </c>
      <c r="C2281" s="3" t="e">
        <f>INDEX(PEDIDOS!$A:$D,MATCH(FORNECEDOR!A2281,PEDIDOS!$A:$A,0),2)</f>
        <v>#N/A</v>
      </c>
      <c r="D2281" s="3" t="e">
        <f>INDEX(PEDIDOS!$A:$D,MATCH(FORNECEDOR!A2281,PEDIDOS!$A:$A,0),3)</f>
        <v>#N/A</v>
      </c>
      <c r="E2281" s="3" t="e">
        <f>INDEX(PEDIDOS!$A:$D,MATCH(FORNECEDOR!A2281,PEDIDOS!$A:$A,0),4)</f>
        <v>#N/A</v>
      </c>
    </row>
    <row r="2282" spans="1:5" hidden="1" x14ac:dyDescent="0.25">
      <c r="A2282" s="1" t="s">
        <v>2281</v>
      </c>
      <c r="B2282" s="3">
        <f>COUNTIF(PEDIDOS!$A:$A,FORNECEDOR!A2282)</f>
        <v>0</v>
      </c>
      <c r="C2282" s="3" t="e">
        <f>INDEX(PEDIDOS!$A:$D,MATCH(FORNECEDOR!A2282,PEDIDOS!$A:$A,0),2)</f>
        <v>#N/A</v>
      </c>
      <c r="D2282" s="3" t="e">
        <f>INDEX(PEDIDOS!$A:$D,MATCH(FORNECEDOR!A2282,PEDIDOS!$A:$A,0),3)</f>
        <v>#N/A</v>
      </c>
      <c r="E2282" s="3" t="e">
        <f>INDEX(PEDIDOS!$A:$D,MATCH(FORNECEDOR!A2282,PEDIDOS!$A:$A,0),4)</f>
        <v>#N/A</v>
      </c>
    </row>
    <row r="2283" spans="1:5" x14ac:dyDescent="0.25">
      <c r="A2283" s="1" t="s">
        <v>2282</v>
      </c>
      <c r="B2283" s="3">
        <f>COUNTIF(PEDIDOS!$A:$A,FORNECEDOR!A2283)</f>
        <v>1</v>
      </c>
      <c r="C2283" s="3" t="str">
        <f>INDEX(PEDIDOS!$A:$D,MATCH(FORNECEDOR!A2283,PEDIDOS!$A:$A,0),2)</f>
        <v>CD REGIS</v>
      </c>
      <c r="D2283" s="3" t="str">
        <f>INDEX(PEDIDOS!$A:$D,MATCH(FORNECEDOR!A2283,PEDIDOS!$A:$A,0),3)</f>
        <v>MATRIZ</v>
      </c>
      <c r="E2283" s="3" t="str">
        <f>INDEX(PEDIDOS!$A:$D,MATCH(FORNECEDOR!A2283,PEDIDOS!$A:$A,0),4)</f>
        <v>CD REGIS</v>
      </c>
    </row>
    <row r="2284" spans="1:5" hidden="1" x14ac:dyDescent="0.25">
      <c r="A2284" s="1" t="s">
        <v>2283</v>
      </c>
      <c r="B2284" s="3">
        <f>COUNTIF(PEDIDOS!$A:$A,FORNECEDOR!A2284)</f>
        <v>0</v>
      </c>
      <c r="C2284" s="3" t="e">
        <f>INDEX(PEDIDOS!$A:$D,MATCH(FORNECEDOR!A2284,PEDIDOS!$A:$A,0),2)</f>
        <v>#N/A</v>
      </c>
      <c r="D2284" s="3" t="e">
        <f>INDEX(PEDIDOS!$A:$D,MATCH(FORNECEDOR!A2284,PEDIDOS!$A:$A,0),3)</f>
        <v>#N/A</v>
      </c>
      <c r="E2284" s="3" t="e">
        <f>INDEX(PEDIDOS!$A:$D,MATCH(FORNECEDOR!A2284,PEDIDOS!$A:$A,0),4)</f>
        <v>#N/A</v>
      </c>
    </row>
    <row r="2285" spans="1:5" x14ac:dyDescent="0.25">
      <c r="A2285" s="1" t="s">
        <v>2284</v>
      </c>
      <c r="B2285" s="3">
        <f>COUNTIF(PEDIDOS!$A:$A,FORNECEDOR!A2285)</f>
        <v>1</v>
      </c>
      <c r="C2285" s="3" t="str">
        <f>INDEX(PEDIDOS!$A:$D,MATCH(FORNECEDOR!A2285,PEDIDOS!$A:$A,0),2)</f>
        <v>CD REGIS</v>
      </c>
      <c r="D2285" s="3" t="str">
        <f>INDEX(PEDIDOS!$A:$D,MATCH(FORNECEDOR!A2285,PEDIDOS!$A:$A,0),3)</f>
        <v>CD REGIS</v>
      </c>
      <c r="E2285" s="3" t="str">
        <f>INDEX(PEDIDOS!$A:$D,MATCH(FORNECEDOR!A2285,PEDIDOS!$A:$A,0),4)</f>
        <v>CD REGIS</v>
      </c>
    </row>
    <row r="2286" spans="1:5" hidden="1" x14ac:dyDescent="0.25">
      <c r="A2286" s="1" t="s">
        <v>2285</v>
      </c>
      <c r="B2286" s="3">
        <f>COUNTIF(PEDIDOS!$A:$A,FORNECEDOR!A2286)</f>
        <v>0</v>
      </c>
      <c r="C2286" s="3" t="e">
        <f>INDEX(PEDIDOS!$A:$D,MATCH(FORNECEDOR!A2286,PEDIDOS!$A:$A,0),2)</f>
        <v>#N/A</v>
      </c>
      <c r="D2286" s="3" t="e">
        <f>INDEX(PEDIDOS!$A:$D,MATCH(FORNECEDOR!A2286,PEDIDOS!$A:$A,0),3)</f>
        <v>#N/A</v>
      </c>
      <c r="E2286" s="3" t="e">
        <f>INDEX(PEDIDOS!$A:$D,MATCH(FORNECEDOR!A2286,PEDIDOS!$A:$A,0),4)</f>
        <v>#N/A</v>
      </c>
    </row>
    <row r="2287" spans="1:5" hidden="1" x14ac:dyDescent="0.25">
      <c r="A2287" s="1" t="s">
        <v>2286</v>
      </c>
      <c r="B2287" s="3">
        <f>COUNTIF(PEDIDOS!$A:$A,FORNECEDOR!A2287)</f>
        <v>0</v>
      </c>
      <c r="C2287" s="3" t="e">
        <f>INDEX(PEDIDOS!$A:$D,MATCH(FORNECEDOR!A2287,PEDIDOS!$A:$A,0),2)</f>
        <v>#N/A</v>
      </c>
      <c r="D2287" s="3" t="e">
        <f>INDEX(PEDIDOS!$A:$D,MATCH(FORNECEDOR!A2287,PEDIDOS!$A:$A,0),3)</f>
        <v>#N/A</v>
      </c>
      <c r="E2287" s="3" t="e">
        <f>INDEX(PEDIDOS!$A:$D,MATCH(FORNECEDOR!A2287,PEDIDOS!$A:$A,0),4)</f>
        <v>#N/A</v>
      </c>
    </row>
    <row r="2288" spans="1:5" x14ac:dyDescent="0.25">
      <c r="A2288" s="1" t="s">
        <v>2287</v>
      </c>
      <c r="B2288" s="3">
        <f>COUNTIF(PEDIDOS!$A:$A,FORNECEDOR!A2288)</f>
        <v>1</v>
      </c>
      <c r="C2288" s="3" t="str">
        <f>INDEX(PEDIDOS!$A:$D,MATCH(FORNECEDOR!A2288,PEDIDOS!$A:$A,0),2)</f>
        <v>CD REGIS</v>
      </c>
      <c r="D2288" s="3" t="str">
        <f>INDEX(PEDIDOS!$A:$D,MATCH(FORNECEDOR!A2288,PEDIDOS!$A:$A,0),3)</f>
        <v>TATUAPE</v>
      </c>
      <c r="E2288" s="3" t="str">
        <f>INDEX(PEDIDOS!$A:$D,MATCH(FORNECEDOR!A2288,PEDIDOS!$A:$A,0),4)</f>
        <v>CD REGIS</v>
      </c>
    </row>
    <row r="2289" spans="1:5" hidden="1" x14ac:dyDescent="0.25">
      <c r="A2289" s="1" t="s">
        <v>2288</v>
      </c>
      <c r="B2289" s="3">
        <f>COUNTIF(PEDIDOS!$A:$A,FORNECEDOR!A2289)</f>
        <v>0</v>
      </c>
      <c r="C2289" s="3" t="e">
        <f>INDEX(PEDIDOS!$A:$D,MATCH(FORNECEDOR!A2289,PEDIDOS!$A:$A,0),2)</f>
        <v>#N/A</v>
      </c>
      <c r="D2289" s="3" t="e">
        <f>INDEX(PEDIDOS!$A:$D,MATCH(FORNECEDOR!A2289,PEDIDOS!$A:$A,0),3)</f>
        <v>#N/A</v>
      </c>
      <c r="E2289" s="3" t="e">
        <f>INDEX(PEDIDOS!$A:$D,MATCH(FORNECEDOR!A2289,PEDIDOS!$A:$A,0),4)</f>
        <v>#N/A</v>
      </c>
    </row>
    <row r="2290" spans="1:5" hidden="1" x14ac:dyDescent="0.25">
      <c r="A2290" s="1" t="s">
        <v>2289</v>
      </c>
      <c r="B2290" s="3">
        <f>COUNTIF(PEDIDOS!$A:$A,FORNECEDOR!A2290)</f>
        <v>0</v>
      </c>
      <c r="C2290" s="3" t="e">
        <f>INDEX(PEDIDOS!$A:$D,MATCH(FORNECEDOR!A2290,PEDIDOS!$A:$A,0),2)</f>
        <v>#N/A</v>
      </c>
      <c r="D2290" s="3" t="e">
        <f>INDEX(PEDIDOS!$A:$D,MATCH(FORNECEDOR!A2290,PEDIDOS!$A:$A,0),3)</f>
        <v>#N/A</v>
      </c>
      <c r="E2290" s="3" t="e">
        <f>INDEX(PEDIDOS!$A:$D,MATCH(FORNECEDOR!A2290,PEDIDOS!$A:$A,0),4)</f>
        <v>#N/A</v>
      </c>
    </row>
    <row r="2291" spans="1:5" hidden="1" x14ac:dyDescent="0.25">
      <c r="A2291" s="1" t="s">
        <v>2290</v>
      </c>
      <c r="B2291" s="3">
        <f>COUNTIF(PEDIDOS!$A:$A,FORNECEDOR!A2291)</f>
        <v>0</v>
      </c>
      <c r="C2291" s="3" t="e">
        <f>INDEX(PEDIDOS!$A:$D,MATCH(FORNECEDOR!A2291,PEDIDOS!$A:$A,0),2)</f>
        <v>#N/A</v>
      </c>
      <c r="D2291" s="3" t="e">
        <f>INDEX(PEDIDOS!$A:$D,MATCH(FORNECEDOR!A2291,PEDIDOS!$A:$A,0),3)</f>
        <v>#N/A</v>
      </c>
      <c r="E2291" s="3" t="e">
        <f>INDEX(PEDIDOS!$A:$D,MATCH(FORNECEDOR!A2291,PEDIDOS!$A:$A,0),4)</f>
        <v>#N/A</v>
      </c>
    </row>
    <row r="2292" spans="1:5" hidden="1" x14ac:dyDescent="0.25">
      <c r="A2292" s="1" t="s">
        <v>2291</v>
      </c>
      <c r="B2292" s="3">
        <f>COUNTIF(PEDIDOS!$A:$A,FORNECEDOR!A2292)</f>
        <v>0</v>
      </c>
      <c r="C2292" s="3" t="e">
        <f>INDEX(PEDIDOS!$A:$D,MATCH(FORNECEDOR!A2292,PEDIDOS!$A:$A,0),2)</f>
        <v>#N/A</v>
      </c>
      <c r="D2292" s="3" t="e">
        <f>INDEX(PEDIDOS!$A:$D,MATCH(FORNECEDOR!A2292,PEDIDOS!$A:$A,0),3)</f>
        <v>#N/A</v>
      </c>
      <c r="E2292" s="3" t="e">
        <f>INDEX(PEDIDOS!$A:$D,MATCH(FORNECEDOR!A2292,PEDIDOS!$A:$A,0),4)</f>
        <v>#N/A</v>
      </c>
    </row>
    <row r="2293" spans="1:5" hidden="1" x14ac:dyDescent="0.25">
      <c r="A2293" s="1" t="s">
        <v>2292</v>
      </c>
      <c r="B2293" s="3">
        <f>COUNTIF(PEDIDOS!$A:$A,FORNECEDOR!A2293)</f>
        <v>0</v>
      </c>
      <c r="C2293" s="3" t="e">
        <f>INDEX(PEDIDOS!$A:$D,MATCH(FORNECEDOR!A2293,PEDIDOS!$A:$A,0),2)</f>
        <v>#N/A</v>
      </c>
      <c r="D2293" s="3" t="e">
        <f>INDEX(PEDIDOS!$A:$D,MATCH(FORNECEDOR!A2293,PEDIDOS!$A:$A,0),3)</f>
        <v>#N/A</v>
      </c>
      <c r="E2293" s="3" t="e">
        <f>INDEX(PEDIDOS!$A:$D,MATCH(FORNECEDOR!A2293,PEDIDOS!$A:$A,0),4)</f>
        <v>#N/A</v>
      </c>
    </row>
    <row r="2294" spans="1:5" hidden="1" x14ac:dyDescent="0.25">
      <c r="A2294" s="1" t="s">
        <v>2293</v>
      </c>
      <c r="B2294" s="3">
        <f>COUNTIF(PEDIDOS!$A:$A,FORNECEDOR!A2294)</f>
        <v>0</v>
      </c>
      <c r="C2294" s="3" t="e">
        <f>INDEX(PEDIDOS!$A:$D,MATCH(FORNECEDOR!A2294,PEDIDOS!$A:$A,0),2)</f>
        <v>#N/A</v>
      </c>
      <c r="D2294" s="3" t="e">
        <f>INDEX(PEDIDOS!$A:$D,MATCH(FORNECEDOR!A2294,PEDIDOS!$A:$A,0),3)</f>
        <v>#N/A</v>
      </c>
      <c r="E2294" s="3" t="e">
        <f>INDEX(PEDIDOS!$A:$D,MATCH(FORNECEDOR!A2294,PEDIDOS!$A:$A,0),4)</f>
        <v>#N/A</v>
      </c>
    </row>
    <row r="2295" spans="1:5" hidden="1" x14ac:dyDescent="0.25">
      <c r="A2295" s="1" t="s">
        <v>2294</v>
      </c>
      <c r="B2295" s="3">
        <f>COUNTIF(PEDIDOS!$A:$A,FORNECEDOR!A2295)</f>
        <v>0</v>
      </c>
      <c r="C2295" s="3" t="e">
        <f>INDEX(PEDIDOS!$A:$D,MATCH(FORNECEDOR!A2295,PEDIDOS!$A:$A,0),2)</f>
        <v>#N/A</v>
      </c>
      <c r="D2295" s="3" t="e">
        <f>INDEX(PEDIDOS!$A:$D,MATCH(FORNECEDOR!A2295,PEDIDOS!$A:$A,0),3)</f>
        <v>#N/A</v>
      </c>
      <c r="E2295" s="3" t="e">
        <f>INDEX(PEDIDOS!$A:$D,MATCH(FORNECEDOR!A2295,PEDIDOS!$A:$A,0),4)</f>
        <v>#N/A</v>
      </c>
    </row>
    <row r="2296" spans="1:5" x14ac:dyDescent="0.25">
      <c r="A2296" s="1" t="s">
        <v>2295</v>
      </c>
      <c r="B2296" s="3">
        <f>COUNTIF(PEDIDOS!$A:$A,FORNECEDOR!A2296)</f>
        <v>1</v>
      </c>
      <c r="C2296" s="3" t="str">
        <f>INDEX(PEDIDOS!$A:$D,MATCH(FORNECEDOR!A2296,PEDIDOS!$A:$A,0),2)</f>
        <v>CD REGIS</v>
      </c>
      <c r="D2296" s="3" t="str">
        <f>INDEX(PEDIDOS!$A:$D,MATCH(FORNECEDOR!A2296,PEDIDOS!$A:$A,0),3)</f>
        <v>MATRIZ</v>
      </c>
      <c r="E2296" s="3" t="str">
        <f>INDEX(PEDIDOS!$A:$D,MATCH(FORNECEDOR!A2296,PEDIDOS!$A:$A,0),4)</f>
        <v>CD REGIS</v>
      </c>
    </row>
    <row r="2297" spans="1:5" x14ac:dyDescent="0.25">
      <c r="A2297" s="1" t="s">
        <v>2296</v>
      </c>
      <c r="B2297" s="3">
        <f>COUNTIF(PEDIDOS!$A:$A,FORNECEDOR!A2297)</f>
        <v>2</v>
      </c>
      <c r="C2297" s="3" t="str">
        <f>INDEX(PEDIDOS!$A:$D,MATCH(FORNECEDOR!A2297,PEDIDOS!$A:$A,0),2)</f>
        <v>MATRIZ</v>
      </c>
      <c r="D2297" s="3" t="str">
        <f>INDEX(PEDIDOS!$A:$D,MATCH(FORNECEDOR!A2297,PEDIDOS!$A:$A,0),3)</f>
        <v>MATRIZ</v>
      </c>
      <c r="E2297" s="3" t="str">
        <f>INDEX(PEDIDOS!$A:$D,MATCH(FORNECEDOR!A2297,PEDIDOS!$A:$A,0),4)</f>
        <v>MATRIZ</v>
      </c>
    </row>
    <row r="2298" spans="1:5" hidden="1" x14ac:dyDescent="0.25">
      <c r="A2298" s="1" t="s">
        <v>2297</v>
      </c>
      <c r="B2298" s="3">
        <f>COUNTIF(PEDIDOS!$A:$A,FORNECEDOR!A2298)</f>
        <v>0</v>
      </c>
      <c r="C2298" s="3" t="e">
        <f>INDEX(PEDIDOS!$A:$D,MATCH(FORNECEDOR!A2298,PEDIDOS!$A:$A,0),2)</f>
        <v>#N/A</v>
      </c>
      <c r="D2298" s="3" t="e">
        <f>INDEX(PEDIDOS!$A:$D,MATCH(FORNECEDOR!A2298,PEDIDOS!$A:$A,0),3)</f>
        <v>#N/A</v>
      </c>
      <c r="E2298" s="3" t="e">
        <f>INDEX(PEDIDOS!$A:$D,MATCH(FORNECEDOR!A2298,PEDIDOS!$A:$A,0),4)</f>
        <v>#N/A</v>
      </c>
    </row>
    <row r="2299" spans="1:5" hidden="1" x14ac:dyDescent="0.25">
      <c r="A2299" s="1" t="s">
        <v>2298</v>
      </c>
      <c r="B2299" s="3">
        <f>COUNTIF(PEDIDOS!$A:$A,FORNECEDOR!A2299)</f>
        <v>0</v>
      </c>
      <c r="C2299" s="3" t="e">
        <f>INDEX(PEDIDOS!$A:$D,MATCH(FORNECEDOR!A2299,PEDIDOS!$A:$A,0),2)</f>
        <v>#N/A</v>
      </c>
      <c r="D2299" s="3" t="e">
        <f>INDEX(PEDIDOS!$A:$D,MATCH(FORNECEDOR!A2299,PEDIDOS!$A:$A,0),3)</f>
        <v>#N/A</v>
      </c>
      <c r="E2299" s="3" t="e">
        <f>INDEX(PEDIDOS!$A:$D,MATCH(FORNECEDOR!A2299,PEDIDOS!$A:$A,0),4)</f>
        <v>#N/A</v>
      </c>
    </row>
    <row r="2300" spans="1:5" hidden="1" x14ac:dyDescent="0.25">
      <c r="A2300" s="1" t="s">
        <v>2299</v>
      </c>
      <c r="B2300" s="3">
        <f>COUNTIF(PEDIDOS!$A:$A,FORNECEDOR!A2300)</f>
        <v>0</v>
      </c>
      <c r="C2300" s="3" t="e">
        <f>INDEX(PEDIDOS!$A:$D,MATCH(FORNECEDOR!A2300,PEDIDOS!$A:$A,0),2)</f>
        <v>#N/A</v>
      </c>
      <c r="D2300" s="3" t="e">
        <f>INDEX(PEDIDOS!$A:$D,MATCH(FORNECEDOR!A2300,PEDIDOS!$A:$A,0),3)</f>
        <v>#N/A</v>
      </c>
      <c r="E2300" s="3" t="e">
        <f>INDEX(PEDIDOS!$A:$D,MATCH(FORNECEDOR!A2300,PEDIDOS!$A:$A,0),4)</f>
        <v>#N/A</v>
      </c>
    </row>
    <row r="2301" spans="1:5" hidden="1" x14ac:dyDescent="0.25">
      <c r="A2301" s="1" t="s">
        <v>2300</v>
      </c>
      <c r="B2301" s="3">
        <f>COUNTIF(PEDIDOS!$A:$A,FORNECEDOR!A2301)</f>
        <v>0</v>
      </c>
      <c r="C2301" s="3" t="e">
        <f>INDEX(PEDIDOS!$A:$D,MATCH(FORNECEDOR!A2301,PEDIDOS!$A:$A,0),2)</f>
        <v>#N/A</v>
      </c>
      <c r="D2301" s="3" t="e">
        <f>INDEX(PEDIDOS!$A:$D,MATCH(FORNECEDOR!A2301,PEDIDOS!$A:$A,0),3)</f>
        <v>#N/A</v>
      </c>
      <c r="E2301" s="3" t="e">
        <f>INDEX(PEDIDOS!$A:$D,MATCH(FORNECEDOR!A2301,PEDIDOS!$A:$A,0),4)</f>
        <v>#N/A</v>
      </c>
    </row>
    <row r="2302" spans="1:5" x14ac:dyDescent="0.25">
      <c r="A2302" s="1" t="s">
        <v>2301</v>
      </c>
      <c r="B2302" s="3">
        <f>COUNTIF(PEDIDOS!$A:$A,FORNECEDOR!A2302)</f>
        <v>1</v>
      </c>
      <c r="C2302" s="3" t="str">
        <f>INDEX(PEDIDOS!$A:$D,MATCH(FORNECEDOR!A2302,PEDIDOS!$A:$A,0),2)</f>
        <v>CD REGIS</v>
      </c>
      <c r="D2302" s="3" t="str">
        <f>INDEX(PEDIDOS!$A:$D,MATCH(FORNECEDOR!A2302,PEDIDOS!$A:$A,0),3)</f>
        <v>MATRIZ</v>
      </c>
      <c r="E2302" s="3" t="str">
        <f>INDEX(PEDIDOS!$A:$D,MATCH(FORNECEDOR!A2302,PEDIDOS!$A:$A,0),4)</f>
        <v>CD REGIS</v>
      </c>
    </row>
    <row r="2303" spans="1:5" hidden="1" x14ac:dyDescent="0.25">
      <c r="A2303" s="1" t="s">
        <v>2302</v>
      </c>
      <c r="B2303" s="3">
        <f>COUNTIF(PEDIDOS!$A:$A,FORNECEDOR!A2303)</f>
        <v>0</v>
      </c>
      <c r="C2303" s="3" t="e">
        <f>INDEX(PEDIDOS!$A:$D,MATCH(FORNECEDOR!A2303,PEDIDOS!$A:$A,0),2)</f>
        <v>#N/A</v>
      </c>
      <c r="D2303" s="3" t="e">
        <f>INDEX(PEDIDOS!$A:$D,MATCH(FORNECEDOR!A2303,PEDIDOS!$A:$A,0),3)</f>
        <v>#N/A</v>
      </c>
      <c r="E2303" s="3" t="e">
        <f>INDEX(PEDIDOS!$A:$D,MATCH(FORNECEDOR!A2303,PEDIDOS!$A:$A,0),4)</f>
        <v>#N/A</v>
      </c>
    </row>
    <row r="2304" spans="1:5" x14ac:dyDescent="0.25">
      <c r="A2304" s="1" t="s">
        <v>2303</v>
      </c>
      <c r="B2304" s="3">
        <f>COUNTIF(PEDIDOS!$A:$A,FORNECEDOR!A2304)</f>
        <v>1</v>
      </c>
      <c r="C2304" s="3" t="str">
        <f>INDEX(PEDIDOS!$A:$D,MATCH(FORNECEDOR!A2304,PEDIDOS!$A:$A,0),2)</f>
        <v>SP - PARI</v>
      </c>
      <c r="D2304" s="3" t="str">
        <f>INDEX(PEDIDOS!$A:$D,MATCH(FORNECEDOR!A2304,PEDIDOS!$A:$A,0),3)</f>
        <v>SP - PARI</v>
      </c>
      <c r="E2304" s="3" t="str">
        <f>INDEX(PEDIDOS!$A:$D,MATCH(FORNECEDOR!A2304,PEDIDOS!$A:$A,0),4)</f>
        <v>SP - PARI</v>
      </c>
    </row>
    <row r="2305" spans="1:5" x14ac:dyDescent="0.25">
      <c r="A2305" s="1" t="s">
        <v>2304</v>
      </c>
      <c r="B2305" s="3">
        <f>COUNTIF(PEDIDOS!$A:$A,FORNECEDOR!A2305)</f>
        <v>1</v>
      </c>
      <c r="C2305" s="3" t="str">
        <f>INDEX(PEDIDOS!$A:$D,MATCH(FORNECEDOR!A2305,PEDIDOS!$A:$A,0),2)</f>
        <v>CD REGIS</v>
      </c>
      <c r="D2305" s="3" t="str">
        <f>INDEX(PEDIDOS!$A:$D,MATCH(FORNECEDOR!A2305,PEDIDOS!$A:$A,0),3)</f>
        <v>TATUAPE</v>
      </c>
      <c r="E2305" s="3" t="str">
        <f>INDEX(PEDIDOS!$A:$D,MATCH(FORNECEDOR!A2305,PEDIDOS!$A:$A,0),4)</f>
        <v>CD REGIS</v>
      </c>
    </row>
    <row r="2306" spans="1:5" hidden="1" x14ac:dyDescent="0.25">
      <c r="A2306" s="1" t="s">
        <v>2305</v>
      </c>
      <c r="B2306" s="3">
        <f>COUNTIF(PEDIDOS!$A:$A,FORNECEDOR!A2306)</f>
        <v>0</v>
      </c>
      <c r="C2306" s="3" t="e">
        <f>INDEX(PEDIDOS!$A:$D,MATCH(FORNECEDOR!A2306,PEDIDOS!$A:$A,0),2)</f>
        <v>#N/A</v>
      </c>
      <c r="D2306" s="3" t="e">
        <f>INDEX(PEDIDOS!$A:$D,MATCH(FORNECEDOR!A2306,PEDIDOS!$A:$A,0),3)</f>
        <v>#N/A</v>
      </c>
      <c r="E2306" s="3" t="e">
        <f>INDEX(PEDIDOS!$A:$D,MATCH(FORNECEDOR!A2306,PEDIDOS!$A:$A,0),4)</f>
        <v>#N/A</v>
      </c>
    </row>
    <row r="2307" spans="1:5" x14ac:dyDescent="0.25">
      <c r="A2307" s="1" t="s">
        <v>2306</v>
      </c>
      <c r="B2307" s="3">
        <f>COUNTIF(PEDIDOS!$A:$A,FORNECEDOR!A2307)</f>
        <v>1</v>
      </c>
      <c r="C2307" s="3" t="str">
        <f>INDEX(PEDIDOS!$A:$D,MATCH(FORNECEDOR!A2307,PEDIDOS!$A:$A,0),2)</f>
        <v>MATRIZ</v>
      </c>
      <c r="D2307" s="3" t="str">
        <f>INDEX(PEDIDOS!$A:$D,MATCH(FORNECEDOR!A2307,PEDIDOS!$A:$A,0),3)</f>
        <v>MATRIZ</v>
      </c>
      <c r="E2307" s="3" t="str">
        <f>INDEX(PEDIDOS!$A:$D,MATCH(FORNECEDOR!A2307,PEDIDOS!$A:$A,0),4)</f>
        <v>MATRIZ</v>
      </c>
    </row>
    <row r="2308" spans="1:5" x14ac:dyDescent="0.25">
      <c r="A2308" s="1" t="s">
        <v>2307</v>
      </c>
      <c r="B2308" s="3">
        <f>COUNTIF(PEDIDOS!$A:$A,FORNECEDOR!A2308)</f>
        <v>3</v>
      </c>
      <c r="C2308" s="3" t="str">
        <f>INDEX(PEDIDOS!$A:$D,MATCH(FORNECEDOR!A2308,PEDIDOS!$A:$A,0),2)</f>
        <v>AVANTI- ADM C.CREDITO</v>
      </c>
      <c r="D2308" s="3" t="str">
        <f>INDEX(PEDIDOS!$A:$D,MATCH(FORNECEDOR!A2308,PEDIDOS!$A:$A,0),3)</f>
        <v>AVANTI- ADM C.CREDITO</v>
      </c>
      <c r="E2308" s="3" t="str">
        <f>INDEX(PEDIDOS!$A:$D,MATCH(FORNECEDOR!A2308,PEDIDOS!$A:$A,0),4)</f>
        <v>AVANTI- ADM C.CREDITO</v>
      </c>
    </row>
    <row r="2309" spans="1:5" hidden="1" x14ac:dyDescent="0.25">
      <c r="A2309" s="1" t="s">
        <v>2308</v>
      </c>
      <c r="B2309" s="3">
        <f>COUNTIF(PEDIDOS!$A:$A,FORNECEDOR!A2309)</f>
        <v>0</v>
      </c>
      <c r="C2309" s="3" t="e">
        <f>INDEX(PEDIDOS!$A:$D,MATCH(FORNECEDOR!A2309,PEDIDOS!$A:$A,0),2)</f>
        <v>#N/A</v>
      </c>
      <c r="D2309" s="3" t="e">
        <f>INDEX(PEDIDOS!$A:$D,MATCH(FORNECEDOR!A2309,PEDIDOS!$A:$A,0),3)</f>
        <v>#N/A</v>
      </c>
      <c r="E2309" s="3" t="e">
        <f>INDEX(PEDIDOS!$A:$D,MATCH(FORNECEDOR!A2309,PEDIDOS!$A:$A,0),4)</f>
        <v>#N/A</v>
      </c>
    </row>
    <row r="2310" spans="1:5" hidden="1" x14ac:dyDescent="0.25">
      <c r="A2310" s="1" t="s">
        <v>2309</v>
      </c>
      <c r="B2310" s="3">
        <f>COUNTIF(PEDIDOS!$A:$A,FORNECEDOR!A2310)</f>
        <v>0</v>
      </c>
      <c r="C2310" s="3" t="e">
        <f>INDEX(PEDIDOS!$A:$D,MATCH(FORNECEDOR!A2310,PEDIDOS!$A:$A,0),2)</f>
        <v>#N/A</v>
      </c>
      <c r="D2310" s="3" t="e">
        <f>INDEX(PEDIDOS!$A:$D,MATCH(FORNECEDOR!A2310,PEDIDOS!$A:$A,0),3)</f>
        <v>#N/A</v>
      </c>
      <c r="E2310" s="3" t="e">
        <f>INDEX(PEDIDOS!$A:$D,MATCH(FORNECEDOR!A2310,PEDIDOS!$A:$A,0),4)</f>
        <v>#N/A</v>
      </c>
    </row>
    <row r="2311" spans="1:5" hidden="1" x14ac:dyDescent="0.25">
      <c r="A2311" s="1" t="s">
        <v>2310</v>
      </c>
      <c r="B2311" s="3">
        <f>COUNTIF(PEDIDOS!$A:$A,FORNECEDOR!A2311)</f>
        <v>0</v>
      </c>
      <c r="C2311" s="3" t="e">
        <f>INDEX(PEDIDOS!$A:$D,MATCH(FORNECEDOR!A2311,PEDIDOS!$A:$A,0),2)</f>
        <v>#N/A</v>
      </c>
      <c r="D2311" s="3" t="e">
        <f>INDEX(PEDIDOS!$A:$D,MATCH(FORNECEDOR!A2311,PEDIDOS!$A:$A,0),3)</f>
        <v>#N/A</v>
      </c>
      <c r="E2311" s="3" t="e">
        <f>INDEX(PEDIDOS!$A:$D,MATCH(FORNECEDOR!A2311,PEDIDOS!$A:$A,0),4)</f>
        <v>#N/A</v>
      </c>
    </row>
    <row r="2312" spans="1:5" hidden="1" x14ac:dyDescent="0.25">
      <c r="A2312" s="1" t="s">
        <v>2311</v>
      </c>
      <c r="B2312" s="3">
        <f>COUNTIF(PEDIDOS!$A:$A,FORNECEDOR!A2312)</f>
        <v>0</v>
      </c>
      <c r="C2312" s="3" t="e">
        <f>INDEX(PEDIDOS!$A:$D,MATCH(FORNECEDOR!A2312,PEDIDOS!$A:$A,0),2)</f>
        <v>#N/A</v>
      </c>
      <c r="D2312" s="3" t="e">
        <f>INDEX(PEDIDOS!$A:$D,MATCH(FORNECEDOR!A2312,PEDIDOS!$A:$A,0),3)</f>
        <v>#N/A</v>
      </c>
      <c r="E2312" s="3" t="e">
        <f>INDEX(PEDIDOS!$A:$D,MATCH(FORNECEDOR!A2312,PEDIDOS!$A:$A,0),4)</f>
        <v>#N/A</v>
      </c>
    </row>
    <row r="2313" spans="1:5" hidden="1" x14ac:dyDescent="0.25">
      <c r="A2313" s="1" t="s">
        <v>2312</v>
      </c>
      <c r="B2313" s="3">
        <f>COUNTIF(PEDIDOS!$A:$A,FORNECEDOR!A2313)</f>
        <v>0</v>
      </c>
      <c r="C2313" s="3" t="e">
        <f>INDEX(PEDIDOS!$A:$D,MATCH(FORNECEDOR!A2313,PEDIDOS!$A:$A,0),2)</f>
        <v>#N/A</v>
      </c>
      <c r="D2313" s="3" t="e">
        <f>INDEX(PEDIDOS!$A:$D,MATCH(FORNECEDOR!A2313,PEDIDOS!$A:$A,0),3)</f>
        <v>#N/A</v>
      </c>
      <c r="E2313" s="3" t="e">
        <f>INDEX(PEDIDOS!$A:$D,MATCH(FORNECEDOR!A2313,PEDIDOS!$A:$A,0),4)</f>
        <v>#N/A</v>
      </c>
    </row>
    <row r="2314" spans="1:5" hidden="1" x14ac:dyDescent="0.25">
      <c r="A2314" s="1" t="s">
        <v>2313</v>
      </c>
      <c r="B2314" s="3">
        <f>COUNTIF(PEDIDOS!$A:$A,FORNECEDOR!A2314)</f>
        <v>0</v>
      </c>
      <c r="C2314" s="3" t="e">
        <f>INDEX(PEDIDOS!$A:$D,MATCH(FORNECEDOR!A2314,PEDIDOS!$A:$A,0),2)</f>
        <v>#N/A</v>
      </c>
      <c r="D2314" s="3" t="e">
        <f>INDEX(PEDIDOS!$A:$D,MATCH(FORNECEDOR!A2314,PEDIDOS!$A:$A,0),3)</f>
        <v>#N/A</v>
      </c>
      <c r="E2314" s="3" t="e">
        <f>INDEX(PEDIDOS!$A:$D,MATCH(FORNECEDOR!A2314,PEDIDOS!$A:$A,0),4)</f>
        <v>#N/A</v>
      </c>
    </row>
    <row r="2315" spans="1:5" hidden="1" x14ac:dyDescent="0.25">
      <c r="A2315" s="1" t="s">
        <v>2314</v>
      </c>
      <c r="B2315" s="3">
        <f>COUNTIF(PEDIDOS!$A:$A,FORNECEDOR!A2315)</f>
        <v>0</v>
      </c>
      <c r="C2315" s="3" t="e">
        <f>INDEX(PEDIDOS!$A:$D,MATCH(FORNECEDOR!A2315,PEDIDOS!$A:$A,0),2)</f>
        <v>#N/A</v>
      </c>
      <c r="D2315" s="3" t="e">
        <f>INDEX(PEDIDOS!$A:$D,MATCH(FORNECEDOR!A2315,PEDIDOS!$A:$A,0),3)</f>
        <v>#N/A</v>
      </c>
      <c r="E2315" s="3" t="e">
        <f>INDEX(PEDIDOS!$A:$D,MATCH(FORNECEDOR!A2315,PEDIDOS!$A:$A,0),4)</f>
        <v>#N/A</v>
      </c>
    </row>
    <row r="2316" spans="1:5" hidden="1" x14ac:dyDescent="0.25">
      <c r="A2316" s="1" t="s">
        <v>2315</v>
      </c>
      <c r="B2316" s="3">
        <f>COUNTIF(PEDIDOS!$A:$A,FORNECEDOR!A2316)</f>
        <v>0</v>
      </c>
      <c r="C2316" s="3" t="e">
        <f>INDEX(PEDIDOS!$A:$D,MATCH(FORNECEDOR!A2316,PEDIDOS!$A:$A,0),2)</f>
        <v>#N/A</v>
      </c>
      <c r="D2316" s="3" t="e">
        <f>INDEX(PEDIDOS!$A:$D,MATCH(FORNECEDOR!A2316,PEDIDOS!$A:$A,0),3)</f>
        <v>#N/A</v>
      </c>
      <c r="E2316" s="3" t="e">
        <f>INDEX(PEDIDOS!$A:$D,MATCH(FORNECEDOR!A2316,PEDIDOS!$A:$A,0),4)</f>
        <v>#N/A</v>
      </c>
    </row>
    <row r="2317" spans="1:5" hidden="1" x14ac:dyDescent="0.25">
      <c r="A2317" s="1" t="s">
        <v>2316</v>
      </c>
      <c r="B2317" s="3">
        <f>COUNTIF(PEDIDOS!$A:$A,FORNECEDOR!A2317)</f>
        <v>0</v>
      </c>
      <c r="C2317" s="3" t="e">
        <f>INDEX(PEDIDOS!$A:$D,MATCH(FORNECEDOR!A2317,PEDIDOS!$A:$A,0),2)</f>
        <v>#N/A</v>
      </c>
      <c r="D2317" s="3" t="e">
        <f>INDEX(PEDIDOS!$A:$D,MATCH(FORNECEDOR!A2317,PEDIDOS!$A:$A,0),3)</f>
        <v>#N/A</v>
      </c>
      <c r="E2317" s="3" t="e">
        <f>INDEX(PEDIDOS!$A:$D,MATCH(FORNECEDOR!A2317,PEDIDOS!$A:$A,0),4)</f>
        <v>#N/A</v>
      </c>
    </row>
    <row r="2318" spans="1:5" x14ac:dyDescent="0.25">
      <c r="A2318" s="1" t="s">
        <v>2317</v>
      </c>
      <c r="B2318" s="3">
        <f>COUNTIF(PEDIDOS!$A:$A,FORNECEDOR!A2318)</f>
        <v>1</v>
      </c>
      <c r="C2318" s="3" t="str">
        <f>INDEX(PEDIDOS!$A:$D,MATCH(FORNECEDOR!A2318,PEDIDOS!$A:$A,0),2)</f>
        <v>CD REGIS</v>
      </c>
      <c r="D2318" s="3" t="str">
        <f>INDEX(PEDIDOS!$A:$D,MATCH(FORNECEDOR!A2318,PEDIDOS!$A:$A,0),3)</f>
        <v>MATRIZ</v>
      </c>
      <c r="E2318" s="3" t="str">
        <f>INDEX(PEDIDOS!$A:$D,MATCH(FORNECEDOR!A2318,PEDIDOS!$A:$A,0),4)</f>
        <v>CD REGIS</v>
      </c>
    </row>
    <row r="2319" spans="1:5" x14ac:dyDescent="0.25">
      <c r="A2319" s="1" t="s">
        <v>2318</v>
      </c>
      <c r="B2319" s="3">
        <f>COUNTIF(PEDIDOS!$A:$A,FORNECEDOR!A2319)</f>
        <v>4</v>
      </c>
      <c r="C2319" s="3" t="str">
        <f>INDEX(PEDIDOS!$A:$D,MATCH(FORNECEDOR!A2319,PEDIDOS!$A:$A,0),2)</f>
        <v>CD ARAQUARI</v>
      </c>
      <c r="D2319" s="3" t="str">
        <f>INDEX(PEDIDOS!$A:$D,MATCH(FORNECEDOR!A2319,PEDIDOS!$A:$A,0),3)</f>
        <v>MATRIZ</v>
      </c>
      <c r="E2319" s="3" t="str">
        <f>INDEX(PEDIDOS!$A:$D,MATCH(FORNECEDOR!A2319,PEDIDOS!$A:$A,0),4)</f>
        <v>CD ARAQUARI</v>
      </c>
    </row>
    <row r="2320" spans="1:5" hidden="1" x14ac:dyDescent="0.25">
      <c r="A2320" s="1" t="s">
        <v>2319</v>
      </c>
      <c r="B2320" s="3">
        <f>COUNTIF(PEDIDOS!$A:$A,FORNECEDOR!A2320)</f>
        <v>0</v>
      </c>
      <c r="C2320" s="3" t="e">
        <f>INDEX(PEDIDOS!$A:$D,MATCH(FORNECEDOR!A2320,PEDIDOS!$A:$A,0),2)</f>
        <v>#N/A</v>
      </c>
      <c r="D2320" s="3" t="e">
        <f>INDEX(PEDIDOS!$A:$D,MATCH(FORNECEDOR!A2320,PEDIDOS!$A:$A,0),3)</f>
        <v>#N/A</v>
      </c>
      <c r="E2320" s="3" t="e">
        <f>INDEX(PEDIDOS!$A:$D,MATCH(FORNECEDOR!A2320,PEDIDOS!$A:$A,0),4)</f>
        <v>#N/A</v>
      </c>
    </row>
    <row r="2321" spans="1:5" hidden="1" x14ac:dyDescent="0.25">
      <c r="A2321" s="1" t="s">
        <v>2320</v>
      </c>
      <c r="B2321" s="3">
        <f>COUNTIF(PEDIDOS!$A:$A,FORNECEDOR!A2321)</f>
        <v>0</v>
      </c>
      <c r="C2321" s="3" t="e">
        <f>INDEX(PEDIDOS!$A:$D,MATCH(FORNECEDOR!A2321,PEDIDOS!$A:$A,0),2)</f>
        <v>#N/A</v>
      </c>
      <c r="D2321" s="3" t="e">
        <f>INDEX(PEDIDOS!$A:$D,MATCH(FORNECEDOR!A2321,PEDIDOS!$A:$A,0),3)</f>
        <v>#N/A</v>
      </c>
      <c r="E2321" s="3" t="e">
        <f>INDEX(PEDIDOS!$A:$D,MATCH(FORNECEDOR!A2321,PEDIDOS!$A:$A,0),4)</f>
        <v>#N/A</v>
      </c>
    </row>
    <row r="2322" spans="1:5" x14ac:dyDescent="0.25">
      <c r="A2322" s="1" t="s">
        <v>2321</v>
      </c>
      <c r="B2322" s="3">
        <f>COUNTIF(PEDIDOS!$A:$A,FORNECEDOR!A2322)</f>
        <v>1</v>
      </c>
      <c r="C2322" s="3" t="str">
        <f>INDEX(PEDIDOS!$A:$D,MATCH(FORNECEDOR!A2322,PEDIDOS!$A:$A,0),2)</f>
        <v>CD NAVEGANTES</v>
      </c>
      <c r="D2322" s="3" t="str">
        <f>INDEX(PEDIDOS!$A:$D,MATCH(FORNECEDOR!A2322,PEDIDOS!$A:$A,0),3)</f>
        <v>MATRIZ</v>
      </c>
      <c r="E2322" s="3" t="str">
        <f>INDEX(PEDIDOS!$A:$D,MATCH(FORNECEDOR!A2322,PEDIDOS!$A:$A,0),4)</f>
        <v>CD NAVEGANTES</v>
      </c>
    </row>
    <row r="2323" spans="1:5" x14ac:dyDescent="0.25">
      <c r="A2323" s="1" t="s">
        <v>2322</v>
      </c>
      <c r="B2323" s="3">
        <f>COUNTIF(PEDIDOS!$A:$A,FORNECEDOR!A2323)</f>
        <v>2</v>
      </c>
      <c r="C2323" s="3" t="str">
        <f>INDEX(PEDIDOS!$A:$D,MATCH(FORNECEDOR!A2323,PEDIDOS!$A:$A,0),2)</f>
        <v>CD REGIS</v>
      </c>
      <c r="D2323" s="3" t="str">
        <f>INDEX(PEDIDOS!$A:$D,MATCH(FORNECEDOR!A2323,PEDIDOS!$A:$A,0),3)</f>
        <v>MATRIZ</v>
      </c>
      <c r="E2323" s="3" t="str">
        <f>INDEX(PEDIDOS!$A:$D,MATCH(FORNECEDOR!A2323,PEDIDOS!$A:$A,0),4)</f>
        <v>CD REGIS</v>
      </c>
    </row>
    <row r="2324" spans="1:5" hidden="1" x14ac:dyDescent="0.25">
      <c r="A2324" s="1" t="s">
        <v>2323</v>
      </c>
      <c r="B2324" s="3">
        <f>COUNTIF(PEDIDOS!$A:$A,FORNECEDOR!A2324)</f>
        <v>0</v>
      </c>
      <c r="C2324" s="3" t="e">
        <f>INDEX(PEDIDOS!$A:$D,MATCH(FORNECEDOR!A2324,PEDIDOS!$A:$A,0),2)</f>
        <v>#N/A</v>
      </c>
      <c r="D2324" s="3" t="e">
        <f>INDEX(PEDIDOS!$A:$D,MATCH(FORNECEDOR!A2324,PEDIDOS!$A:$A,0),3)</f>
        <v>#N/A</v>
      </c>
      <c r="E2324" s="3" t="e">
        <f>INDEX(PEDIDOS!$A:$D,MATCH(FORNECEDOR!A2324,PEDIDOS!$A:$A,0),4)</f>
        <v>#N/A</v>
      </c>
    </row>
    <row r="2325" spans="1:5" x14ac:dyDescent="0.25">
      <c r="A2325" s="1" t="s">
        <v>2324</v>
      </c>
      <c r="B2325" s="3">
        <f>COUNTIF(PEDIDOS!$A:$A,FORNECEDOR!A2325)</f>
        <v>3</v>
      </c>
      <c r="C2325" s="3" t="str">
        <f>INDEX(PEDIDOS!$A:$D,MATCH(FORNECEDOR!A2325,PEDIDOS!$A:$A,0),2)</f>
        <v>CD REGIS</v>
      </c>
      <c r="D2325" s="3" t="str">
        <f>INDEX(PEDIDOS!$A:$D,MATCH(FORNECEDOR!A2325,PEDIDOS!$A:$A,0),3)</f>
        <v>CD REGIS</v>
      </c>
      <c r="E2325" s="3" t="str">
        <f>INDEX(PEDIDOS!$A:$D,MATCH(FORNECEDOR!A2325,PEDIDOS!$A:$A,0),4)</f>
        <v>CD REGIS</v>
      </c>
    </row>
    <row r="2326" spans="1:5" x14ac:dyDescent="0.25">
      <c r="A2326" s="1" t="s">
        <v>2325</v>
      </c>
      <c r="B2326" s="3">
        <f>COUNTIF(PEDIDOS!$A:$A,FORNECEDOR!A2326)</f>
        <v>1</v>
      </c>
      <c r="C2326" s="3" t="str">
        <f>INDEX(PEDIDOS!$A:$D,MATCH(FORNECEDOR!A2326,PEDIDOS!$A:$A,0),2)</f>
        <v>CD REGIS</v>
      </c>
      <c r="D2326" s="3" t="str">
        <f>INDEX(PEDIDOS!$A:$D,MATCH(FORNECEDOR!A2326,PEDIDOS!$A:$A,0),3)</f>
        <v>TATUAPE</v>
      </c>
      <c r="E2326" s="3" t="str">
        <f>INDEX(PEDIDOS!$A:$D,MATCH(FORNECEDOR!A2326,PEDIDOS!$A:$A,0),4)</f>
        <v>CD REGIS</v>
      </c>
    </row>
    <row r="2327" spans="1:5" hidden="1" x14ac:dyDescent="0.25">
      <c r="A2327" s="1" t="s">
        <v>2326</v>
      </c>
      <c r="B2327" s="3">
        <f>COUNTIF(PEDIDOS!$A:$A,FORNECEDOR!A2327)</f>
        <v>0</v>
      </c>
      <c r="C2327" s="3" t="e">
        <f>INDEX(PEDIDOS!$A:$D,MATCH(FORNECEDOR!A2327,PEDIDOS!$A:$A,0),2)</f>
        <v>#N/A</v>
      </c>
      <c r="D2327" s="3" t="e">
        <f>INDEX(PEDIDOS!$A:$D,MATCH(FORNECEDOR!A2327,PEDIDOS!$A:$A,0),3)</f>
        <v>#N/A</v>
      </c>
      <c r="E2327" s="3" t="e">
        <f>INDEX(PEDIDOS!$A:$D,MATCH(FORNECEDOR!A2327,PEDIDOS!$A:$A,0),4)</f>
        <v>#N/A</v>
      </c>
    </row>
    <row r="2328" spans="1:5" hidden="1" x14ac:dyDescent="0.25">
      <c r="A2328" s="1" t="s">
        <v>2327</v>
      </c>
      <c r="B2328" s="3">
        <f>COUNTIF(PEDIDOS!$A:$A,FORNECEDOR!A2328)</f>
        <v>0</v>
      </c>
      <c r="C2328" s="3" t="e">
        <f>INDEX(PEDIDOS!$A:$D,MATCH(FORNECEDOR!A2328,PEDIDOS!$A:$A,0),2)</f>
        <v>#N/A</v>
      </c>
      <c r="D2328" s="3" t="e">
        <f>INDEX(PEDIDOS!$A:$D,MATCH(FORNECEDOR!A2328,PEDIDOS!$A:$A,0),3)</f>
        <v>#N/A</v>
      </c>
      <c r="E2328" s="3" t="e">
        <f>INDEX(PEDIDOS!$A:$D,MATCH(FORNECEDOR!A2328,PEDIDOS!$A:$A,0),4)</f>
        <v>#N/A</v>
      </c>
    </row>
    <row r="2329" spans="1:5" x14ac:dyDescent="0.25">
      <c r="A2329" s="1" t="s">
        <v>2328</v>
      </c>
      <c r="B2329" s="3">
        <f>COUNTIF(PEDIDOS!$A:$A,FORNECEDOR!A2329)</f>
        <v>1</v>
      </c>
      <c r="C2329" s="3" t="str">
        <f>INDEX(PEDIDOS!$A:$D,MATCH(FORNECEDOR!A2329,PEDIDOS!$A:$A,0),2)</f>
        <v>MATRIZ</v>
      </c>
      <c r="D2329" s="3" t="str">
        <f>INDEX(PEDIDOS!$A:$D,MATCH(FORNECEDOR!A2329,PEDIDOS!$A:$A,0),3)</f>
        <v>MATRIZ</v>
      </c>
      <c r="E2329" s="3" t="str">
        <f>INDEX(PEDIDOS!$A:$D,MATCH(FORNECEDOR!A2329,PEDIDOS!$A:$A,0),4)</f>
        <v>MATRIZ</v>
      </c>
    </row>
    <row r="2330" spans="1:5" hidden="1" x14ac:dyDescent="0.25">
      <c r="A2330" s="1" t="s">
        <v>2329</v>
      </c>
      <c r="B2330" s="3">
        <f>COUNTIF(PEDIDOS!$A:$A,FORNECEDOR!A2330)</f>
        <v>0</v>
      </c>
      <c r="C2330" s="3" t="e">
        <f>INDEX(PEDIDOS!$A:$D,MATCH(FORNECEDOR!A2330,PEDIDOS!$A:$A,0),2)</f>
        <v>#N/A</v>
      </c>
      <c r="D2330" s="3" t="e">
        <f>INDEX(PEDIDOS!$A:$D,MATCH(FORNECEDOR!A2330,PEDIDOS!$A:$A,0),3)</f>
        <v>#N/A</v>
      </c>
      <c r="E2330" s="3" t="e">
        <f>INDEX(PEDIDOS!$A:$D,MATCH(FORNECEDOR!A2330,PEDIDOS!$A:$A,0),4)</f>
        <v>#N/A</v>
      </c>
    </row>
    <row r="2331" spans="1:5" hidden="1" x14ac:dyDescent="0.25">
      <c r="A2331" s="1" t="s">
        <v>2330</v>
      </c>
      <c r="B2331" s="3">
        <f>COUNTIF(PEDIDOS!$A:$A,FORNECEDOR!A2331)</f>
        <v>0</v>
      </c>
      <c r="C2331" s="3" t="e">
        <f>INDEX(PEDIDOS!$A:$D,MATCH(FORNECEDOR!A2331,PEDIDOS!$A:$A,0),2)</f>
        <v>#N/A</v>
      </c>
      <c r="D2331" s="3" t="e">
        <f>INDEX(PEDIDOS!$A:$D,MATCH(FORNECEDOR!A2331,PEDIDOS!$A:$A,0),3)</f>
        <v>#N/A</v>
      </c>
      <c r="E2331" s="3" t="e">
        <f>INDEX(PEDIDOS!$A:$D,MATCH(FORNECEDOR!A2331,PEDIDOS!$A:$A,0),4)</f>
        <v>#N/A</v>
      </c>
    </row>
    <row r="2332" spans="1:5" hidden="1" x14ac:dyDescent="0.25">
      <c r="A2332" s="1" t="s">
        <v>2331</v>
      </c>
      <c r="B2332" s="3">
        <f>COUNTIF(PEDIDOS!$A:$A,FORNECEDOR!A2332)</f>
        <v>0</v>
      </c>
      <c r="C2332" s="3" t="e">
        <f>INDEX(PEDIDOS!$A:$D,MATCH(FORNECEDOR!A2332,PEDIDOS!$A:$A,0),2)</f>
        <v>#N/A</v>
      </c>
      <c r="D2332" s="3" t="e">
        <f>INDEX(PEDIDOS!$A:$D,MATCH(FORNECEDOR!A2332,PEDIDOS!$A:$A,0),3)</f>
        <v>#N/A</v>
      </c>
      <c r="E2332" s="3" t="e">
        <f>INDEX(PEDIDOS!$A:$D,MATCH(FORNECEDOR!A2332,PEDIDOS!$A:$A,0),4)</f>
        <v>#N/A</v>
      </c>
    </row>
    <row r="2333" spans="1:5" x14ac:dyDescent="0.25">
      <c r="A2333" s="1" t="s">
        <v>2332</v>
      </c>
      <c r="B2333" s="3">
        <f>COUNTIF(PEDIDOS!$A:$A,FORNECEDOR!A2333)</f>
        <v>1</v>
      </c>
      <c r="C2333" s="3" t="str">
        <f>INDEX(PEDIDOS!$A:$D,MATCH(FORNECEDOR!A2333,PEDIDOS!$A:$A,0),2)</f>
        <v>CD REGIS</v>
      </c>
      <c r="D2333" s="3" t="str">
        <f>INDEX(PEDIDOS!$A:$D,MATCH(FORNECEDOR!A2333,PEDIDOS!$A:$A,0),3)</f>
        <v>TATUAPE</v>
      </c>
      <c r="E2333" s="3" t="str">
        <f>INDEX(PEDIDOS!$A:$D,MATCH(FORNECEDOR!A2333,PEDIDOS!$A:$A,0),4)</f>
        <v>CD REGIS</v>
      </c>
    </row>
    <row r="2334" spans="1:5" x14ac:dyDescent="0.25">
      <c r="A2334" s="1" t="s">
        <v>2333</v>
      </c>
      <c r="B2334" s="3">
        <f>COUNTIF(PEDIDOS!$A:$A,FORNECEDOR!A2334)</f>
        <v>1</v>
      </c>
      <c r="C2334" s="3" t="str">
        <f>INDEX(PEDIDOS!$A:$D,MATCH(FORNECEDOR!A2334,PEDIDOS!$A:$A,0),2)</f>
        <v>MATRIZ</v>
      </c>
      <c r="D2334" s="3" t="str">
        <f>INDEX(PEDIDOS!$A:$D,MATCH(FORNECEDOR!A2334,PEDIDOS!$A:$A,0),3)</f>
        <v>MATRIZ</v>
      </c>
      <c r="E2334" s="3" t="str">
        <f>INDEX(PEDIDOS!$A:$D,MATCH(FORNECEDOR!A2334,PEDIDOS!$A:$A,0),4)</f>
        <v>MATRIZ</v>
      </c>
    </row>
    <row r="2335" spans="1:5" hidden="1" x14ac:dyDescent="0.25">
      <c r="A2335" s="1" t="s">
        <v>2334</v>
      </c>
      <c r="B2335" s="3">
        <f>COUNTIF(PEDIDOS!$A:$A,FORNECEDOR!A2335)</f>
        <v>0</v>
      </c>
      <c r="C2335" s="3" t="e">
        <f>INDEX(PEDIDOS!$A:$D,MATCH(FORNECEDOR!A2335,PEDIDOS!$A:$A,0),2)</f>
        <v>#N/A</v>
      </c>
      <c r="D2335" s="3" t="e">
        <f>INDEX(PEDIDOS!$A:$D,MATCH(FORNECEDOR!A2335,PEDIDOS!$A:$A,0),3)</f>
        <v>#N/A</v>
      </c>
      <c r="E2335" s="3" t="e">
        <f>INDEX(PEDIDOS!$A:$D,MATCH(FORNECEDOR!A2335,PEDIDOS!$A:$A,0),4)</f>
        <v>#N/A</v>
      </c>
    </row>
    <row r="2336" spans="1:5" x14ac:dyDescent="0.25">
      <c r="A2336" s="1" t="s">
        <v>2335</v>
      </c>
      <c r="B2336" s="3">
        <f>COUNTIF(PEDIDOS!$A:$A,FORNECEDOR!A2336)</f>
        <v>2</v>
      </c>
      <c r="C2336" s="3" t="str">
        <f>INDEX(PEDIDOS!$A:$D,MATCH(FORNECEDOR!A2336,PEDIDOS!$A:$A,0),2)</f>
        <v>CD NAVEGANTES</v>
      </c>
      <c r="D2336" s="3" t="str">
        <f>INDEX(PEDIDOS!$A:$D,MATCH(FORNECEDOR!A2336,PEDIDOS!$A:$A,0),3)</f>
        <v>MATRIZ</v>
      </c>
      <c r="E2336" s="3" t="str">
        <f>INDEX(PEDIDOS!$A:$D,MATCH(FORNECEDOR!A2336,PEDIDOS!$A:$A,0),4)</f>
        <v>CD NAVEGANTES</v>
      </c>
    </row>
    <row r="2337" spans="1:5" hidden="1" x14ac:dyDescent="0.25">
      <c r="A2337" s="1" t="s">
        <v>2336</v>
      </c>
      <c r="B2337" s="3">
        <f>COUNTIF(PEDIDOS!$A:$A,FORNECEDOR!A2337)</f>
        <v>0</v>
      </c>
      <c r="C2337" s="3" t="e">
        <f>INDEX(PEDIDOS!$A:$D,MATCH(FORNECEDOR!A2337,PEDIDOS!$A:$A,0),2)</f>
        <v>#N/A</v>
      </c>
      <c r="D2337" s="3" t="e">
        <f>INDEX(PEDIDOS!$A:$D,MATCH(FORNECEDOR!A2337,PEDIDOS!$A:$A,0),3)</f>
        <v>#N/A</v>
      </c>
      <c r="E2337" s="3" t="e">
        <f>INDEX(PEDIDOS!$A:$D,MATCH(FORNECEDOR!A2337,PEDIDOS!$A:$A,0),4)</f>
        <v>#N/A</v>
      </c>
    </row>
    <row r="2338" spans="1:5" hidden="1" x14ac:dyDescent="0.25">
      <c r="A2338" s="1" t="s">
        <v>2337</v>
      </c>
      <c r="B2338" s="3">
        <f>COUNTIF(PEDIDOS!$A:$A,FORNECEDOR!A2338)</f>
        <v>0</v>
      </c>
      <c r="C2338" s="3" t="e">
        <f>INDEX(PEDIDOS!$A:$D,MATCH(FORNECEDOR!A2338,PEDIDOS!$A:$A,0),2)</f>
        <v>#N/A</v>
      </c>
      <c r="D2338" s="3" t="e">
        <f>INDEX(PEDIDOS!$A:$D,MATCH(FORNECEDOR!A2338,PEDIDOS!$A:$A,0),3)</f>
        <v>#N/A</v>
      </c>
      <c r="E2338" s="3" t="e">
        <f>INDEX(PEDIDOS!$A:$D,MATCH(FORNECEDOR!A2338,PEDIDOS!$A:$A,0),4)</f>
        <v>#N/A</v>
      </c>
    </row>
    <row r="2339" spans="1:5" hidden="1" x14ac:dyDescent="0.25">
      <c r="A2339" s="1" t="s">
        <v>2338</v>
      </c>
      <c r="B2339" s="3">
        <f>COUNTIF(PEDIDOS!$A:$A,FORNECEDOR!A2339)</f>
        <v>0</v>
      </c>
      <c r="C2339" s="3" t="e">
        <f>INDEX(PEDIDOS!$A:$D,MATCH(FORNECEDOR!A2339,PEDIDOS!$A:$A,0),2)</f>
        <v>#N/A</v>
      </c>
      <c r="D2339" s="3" t="e">
        <f>INDEX(PEDIDOS!$A:$D,MATCH(FORNECEDOR!A2339,PEDIDOS!$A:$A,0),3)</f>
        <v>#N/A</v>
      </c>
      <c r="E2339" s="3" t="e">
        <f>INDEX(PEDIDOS!$A:$D,MATCH(FORNECEDOR!A2339,PEDIDOS!$A:$A,0),4)</f>
        <v>#N/A</v>
      </c>
    </row>
    <row r="2340" spans="1:5" hidden="1" x14ac:dyDescent="0.25">
      <c r="A2340" s="1" t="s">
        <v>2339</v>
      </c>
      <c r="B2340" s="3">
        <f>COUNTIF(PEDIDOS!$A:$A,FORNECEDOR!A2340)</f>
        <v>0</v>
      </c>
      <c r="C2340" s="3" t="e">
        <f>INDEX(PEDIDOS!$A:$D,MATCH(FORNECEDOR!A2340,PEDIDOS!$A:$A,0),2)</f>
        <v>#N/A</v>
      </c>
      <c r="D2340" s="3" t="e">
        <f>INDEX(PEDIDOS!$A:$D,MATCH(FORNECEDOR!A2340,PEDIDOS!$A:$A,0),3)</f>
        <v>#N/A</v>
      </c>
      <c r="E2340" s="3" t="e">
        <f>INDEX(PEDIDOS!$A:$D,MATCH(FORNECEDOR!A2340,PEDIDOS!$A:$A,0),4)</f>
        <v>#N/A</v>
      </c>
    </row>
    <row r="2341" spans="1:5" hidden="1" x14ac:dyDescent="0.25">
      <c r="A2341" s="1" t="s">
        <v>2340</v>
      </c>
      <c r="B2341" s="3">
        <f>COUNTIF(PEDIDOS!$A:$A,FORNECEDOR!A2341)</f>
        <v>0</v>
      </c>
      <c r="C2341" s="3" t="e">
        <f>INDEX(PEDIDOS!$A:$D,MATCH(FORNECEDOR!A2341,PEDIDOS!$A:$A,0),2)</f>
        <v>#N/A</v>
      </c>
      <c r="D2341" s="3" t="e">
        <f>INDEX(PEDIDOS!$A:$D,MATCH(FORNECEDOR!A2341,PEDIDOS!$A:$A,0),3)</f>
        <v>#N/A</v>
      </c>
      <c r="E2341" s="3" t="e">
        <f>INDEX(PEDIDOS!$A:$D,MATCH(FORNECEDOR!A2341,PEDIDOS!$A:$A,0),4)</f>
        <v>#N/A</v>
      </c>
    </row>
    <row r="2342" spans="1:5" x14ac:dyDescent="0.25">
      <c r="A2342" s="1" t="s">
        <v>2341</v>
      </c>
      <c r="B2342" s="3">
        <f>COUNTIF(PEDIDOS!$A:$A,FORNECEDOR!A2342)</f>
        <v>1</v>
      </c>
      <c r="C2342" s="3" t="str">
        <f>INDEX(PEDIDOS!$A:$D,MATCH(FORNECEDOR!A2342,PEDIDOS!$A:$A,0),2)</f>
        <v>CD REGIS</v>
      </c>
      <c r="D2342" s="3" t="str">
        <f>INDEX(PEDIDOS!$A:$D,MATCH(FORNECEDOR!A2342,PEDIDOS!$A:$A,0),3)</f>
        <v>TATUAPE</v>
      </c>
      <c r="E2342" s="3" t="str">
        <f>INDEX(PEDIDOS!$A:$D,MATCH(FORNECEDOR!A2342,PEDIDOS!$A:$A,0),4)</f>
        <v>CD REGIS</v>
      </c>
    </row>
    <row r="2343" spans="1:5" x14ac:dyDescent="0.25">
      <c r="A2343" s="1" t="s">
        <v>2342</v>
      </c>
      <c r="B2343" s="3">
        <f>COUNTIF(PEDIDOS!$A:$A,FORNECEDOR!A2343)</f>
        <v>2</v>
      </c>
      <c r="C2343" s="3" t="str">
        <f>INDEX(PEDIDOS!$A:$D,MATCH(FORNECEDOR!A2343,PEDIDOS!$A:$A,0),2)</f>
        <v>CD NAVEGANTES</v>
      </c>
      <c r="D2343" s="3" t="str">
        <f>INDEX(PEDIDOS!$A:$D,MATCH(FORNECEDOR!A2343,PEDIDOS!$A:$A,0),3)</f>
        <v>MATRIZ</v>
      </c>
      <c r="E2343" s="3" t="str">
        <f>INDEX(PEDIDOS!$A:$D,MATCH(FORNECEDOR!A2343,PEDIDOS!$A:$A,0),4)</f>
        <v>CD NAVEGANTES</v>
      </c>
    </row>
    <row r="2344" spans="1:5" hidden="1" x14ac:dyDescent="0.25">
      <c r="A2344" s="1" t="s">
        <v>2343</v>
      </c>
      <c r="B2344" s="3">
        <f>COUNTIF(PEDIDOS!$A:$A,FORNECEDOR!A2344)</f>
        <v>0</v>
      </c>
      <c r="C2344" s="3" t="e">
        <f>INDEX(PEDIDOS!$A:$D,MATCH(FORNECEDOR!A2344,PEDIDOS!$A:$A,0),2)</f>
        <v>#N/A</v>
      </c>
      <c r="D2344" s="3" t="e">
        <f>INDEX(PEDIDOS!$A:$D,MATCH(FORNECEDOR!A2344,PEDIDOS!$A:$A,0),3)</f>
        <v>#N/A</v>
      </c>
      <c r="E2344" s="3" t="e">
        <f>INDEX(PEDIDOS!$A:$D,MATCH(FORNECEDOR!A2344,PEDIDOS!$A:$A,0),4)</f>
        <v>#N/A</v>
      </c>
    </row>
    <row r="2345" spans="1:5" hidden="1" x14ac:dyDescent="0.25">
      <c r="A2345" s="1" t="s">
        <v>2344</v>
      </c>
      <c r="B2345" s="3">
        <f>COUNTIF(PEDIDOS!$A:$A,FORNECEDOR!A2345)</f>
        <v>0</v>
      </c>
      <c r="C2345" s="3" t="e">
        <f>INDEX(PEDIDOS!$A:$D,MATCH(FORNECEDOR!A2345,PEDIDOS!$A:$A,0),2)</f>
        <v>#N/A</v>
      </c>
      <c r="D2345" s="3" t="e">
        <f>INDEX(PEDIDOS!$A:$D,MATCH(FORNECEDOR!A2345,PEDIDOS!$A:$A,0),3)</f>
        <v>#N/A</v>
      </c>
      <c r="E2345" s="3" t="e">
        <f>INDEX(PEDIDOS!$A:$D,MATCH(FORNECEDOR!A2345,PEDIDOS!$A:$A,0),4)</f>
        <v>#N/A</v>
      </c>
    </row>
    <row r="2346" spans="1:5" hidden="1" x14ac:dyDescent="0.25">
      <c r="A2346" s="1" t="s">
        <v>2345</v>
      </c>
      <c r="B2346" s="3">
        <f>COUNTIF(PEDIDOS!$A:$A,FORNECEDOR!A2346)</f>
        <v>0</v>
      </c>
      <c r="C2346" s="3" t="e">
        <f>INDEX(PEDIDOS!$A:$D,MATCH(FORNECEDOR!A2346,PEDIDOS!$A:$A,0),2)</f>
        <v>#N/A</v>
      </c>
      <c r="D2346" s="3" t="e">
        <f>INDEX(PEDIDOS!$A:$D,MATCH(FORNECEDOR!A2346,PEDIDOS!$A:$A,0),3)</f>
        <v>#N/A</v>
      </c>
      <c r="E2346" s="3" t="e">
        <f>INDEX(PEDIDOS!$A:$D,MATCH(FORNECEDOR!A2346,PEDIDOS!$A:$A,0),4)</f>
        <v>#N/A</v>
      </c>
    </row>
    <row r="2347" spans="1:5" x14ac:dyDescent="0.25">
      <c r="A2347" s="1" t="s">
        <v>2346</v>
      </c>
      <c r="B2347" s="3">
        <f>COUNTIF(PEDIDOS!$A:$A,FORNECEDOR!A2347)</f>
        <v>1</v>
      </c>
      <c r="C2347" s="3" t="str">
        <f>INDEX(PEDIDOS!$A:$D,MATCH(FORNECEDOR!A2347,PEDIDOS!$A:$A,0),2)</f>
        <v>AVANTI- ADM C.CREDITO</v>
      </c>
      <c r="D2347" s="3" t="str">
        <f>INDEX(PEDIDOS!$A:$D,MATCH(FORNECEDOR!A2347,PEDIDOS!$A:$A,0),3)</f>
        <v>AVANTI- ADM C.CREDITO</v>
      </c>
      <c r="E2347" s="3" t="str">
        <f>INDEX(PEDIDOS!$A:$D,MATCH(FORNECEDOR!A2347,PEDIDOS!$A:$A,0),4)</f>
        <v>AVANTI- ADM C.CREDITO</v>
      </c>
    </row>
    <row r="2348" spans="1:5" hidden="1" x14ac:dyDescent="0.25">
      <c r="A2348" s="1" t="s">
        <v>2347</v>
      </c>
      <c r="B2348" s="3">
        <f>COUNTIF(PEDIDOS!$A:$A,FORNECEDOR!A2348)</f>
        <v>0</v>
      </c>
      <c r="C2348" s="3" t="e">
        <f>INDEX(PEDIDOS!$A:$D,MATCH(FORNECEDOR!A2348,PEDIDOS!$A:$A,0),2)</f>
        <v>#N/A</v>
      </c>
      <c r="D2348" s="3" t="e">
        <f>INDEX(PEDIDOS!$A:$D,MATCH(FORNECEDOR!A2348,PEDIDOS!$A:$A,0),3)</f>
        <v>#N/A</v>
      </c>
      <c r="E2348" s="3" t="e">
        <f>INDEX(PEDIDOS!$A:$D,MATCH(FORNECEDOR!A2348,PEDIDOS!$A:$A,0),4)</f>
        <v>#N/A</v>
      </c>
    </row>
    <row r="2349" spans="1:5" hidden="1" x14ac:dyDescent="0.25">
      <c r="A2349" s="1" t="s">
        <v>2348</v>
      </c>
      <c r="B2349" s="3">
        <f>COUNTIF(PEDIDOS!$A:$A,FORNECEDOR!A2349)</f>
        <v>0</v>
      </c>
      <c r="C2349" s="3" t="e">
        <f>INDEX(PEDIDOS!$A:$D,MATCH(FORNECEDOR!A2349,PEDIDOS!$A:$A,0),2)</f>
        <v>#N/A</v>
      </c>
      <c r="D2349" s="3" t="e">
        <f>INDEX(PEDIDOS!$A:$D,MATCH(FORNECEDOR!A2349,PEDIDOS!$A:$A,0),3)</f>
        <v>#N/A</v>
      </c>
      <c r="E2349" s="3" t="e">
        <f>INDEX(PEDIDOS!$A:$D,MATCH(FORNECEDOR!A2349,PEDIDOS!$A:$A,0),4)</f>
        <v>#N/A</v>
      </c>
    </row>
    <row r="2350" spans="1:5" x14ac:dyDescent="0.25">
      <c r="A2350" s="1" t="s">
        <v>2349</v>
      </c>
      <c r="B2350" s="3">
        <f>COUNTIF(PEDIDOS!$A:$A,FORNECEDOR!A2350)</f>
        <v>1</v>
      </c>
      <c r="C2350" s="3" t="str">
        <f>INDEX(PEDIDOS!$A:$D,MATCH(FORNECEDOR!A2350,PEDIDOS!$A:$A,0),2)</f>
        <v>CD REGIS</v>
      </c>
      <c r="D2350" s="3" t="str">
        <f>INDEX(PEDIDOS!$A:$D,MATCH(FORNECEDOR!A2350,PEDIDOS!$A:$A,0),3)</f>
        <v>TATUAPE</v>
      </c>
      <c r="E2350" s="3" t="str">
        <f>INDEX(PEDIDOS!$A:$D,MATCH(FORNECEDOR!A2350,PEDIDOS!$A:$A,0),4)</f>
        <v>CD REGIS</v>
      </c>
    </row>
    <row r="2351" spans="1:5" hidden="1" x14ac:dyDescent="0.25">
      <c r="A2351" s="1" t="s">
        <v>2350</v>
      </c>
      <c r="B2351" s="3">
        <f>COUNTIF(PEDIDOS!$A:$A,FORNECEDOR!A2351)</f>
        <v>0</v>
      </c>
      <c r="C2351" s="3" t="e">
        <f>INDEX(PEDIDOS!$A:$D,MATCH(FORNECEDOR!A2351,PEDIDOS!$A:$A,0),2)</f>
        <v>#N/A</v>
      </c>
      <c r="D2351" s="3" t="e">
        <f>INDEX(PEDIDOS!$A:$D,MATCH(FORNECEDOR!A2351,PEDIDOS!$A:$A,0),3)</f>
        <v>#N/A</v>
      </c>
      <c r="E2351" s="3" t="e">
        <f>INDEX(PEDIDOS!$A:$D,MATCH(FORNECEDOR!A2351,PEDIDOS!$A:$A,0),4)</f>
        <v>#N/A</v>
      </c>
    </row>
    <row r="2352" spans="1:5" hidden="1" x14ac:dyDescent="0.25">
      <c r="A2352" s="1" t="s">
        <v>2351</v>
      </c>
      <c r="B2352" s="3">
        <f>COUNTIF(PEDIDOS!$A:$A,FORNECEDOR!A2352)</f>
        <v>0</v>
      </c>
      <c r="C2352" s="3" t="e">
        <f>INDEX(PEDIDOS!$A:$D,MATCH(FORNECEDOR!A2352,PEDIDOS!$A:$A,0),2)</f>
        <v>#N/A</v>
      </c>
      <c r="D2352" s="3" t="e">
        <f>INDEX(PEDIDOS!$A:$D,MATCH(FORNECEDOR!A2352,PEDIDOS!$A:$A,0),3)</f>
        <v>#N/A</v>
      </c>
      <c r="E2352" s="3" t="e">
        <f>INDEX(PEDIDOS!$A:$D,MATCH(FORNECEDOR!A2352,PEDIDOS!$A:$A,0),4)</f>
        <v>#N/A</v>
      </c>
    </row>
    <row r="2353" spans="1:5" hidden="1" x14ac:dyDescent="0.25">
      <c r="A2353" s="1" t="s">
        <v>2352</v>
      </c>
      <c r="B2353" s="3">
        <f>COUNTIF(PEDIDOS!$A:$A,FORNECEDOR!A2353)</f>
        <v>0</v>
      </c>
      <c r="C2353" s="3" t="e">
        <f>INDEX(PEDIDOS!$A:$D,MATCH(FORNECEDOR!A2353,PEDIDOS!$A:$A,0),2)</f>
        <v>#N/A</v>
      </c>
      <c r="D2353" s="3" t="e">
        <f>INDEX(PEDIDOS!$A:$D,MATCH(FORNECEDOR!A2353,PEDIDOS!$A:$A,0),3)</f>
        <v>#N/A</v>
      </c>
      <c r="E2353" s="3" t="e">
        <f>INDEX(PEDIDOS!$A:$D,MATCH(FORNECEDOR!A2353,PEDIDOS!$A:$A,0),4)</f>
        <v>#N/A</v>
      </c>
    </row>
    <row r="2354" spans="1:5" hidden="1" x14ac:dyDescent="0.25">
      <c r="A2354" s="1" t="s">
        <v>2353</v>
      </c>
      <c r="B2354" s="3">
        <f>COUNTIF(PEDIDOS!$A:$A,FORNECEDOR!A2354)</f>
        <v>0</v>
      </c>
      <c r="C2354" s="3" t="e">
        <f>INDEX(PEDIDOS!$A:$D,MATCH(FORNECEDOR!A2354,PEDIDOS!$A:$A,0),2)</f>
        <v>#N/A</v>
      </c>
      <c r="D2354" s="3" t="e">
        <f>INDEX(PEDIDOS!$A:$D,MATCH(FORNECEDOR!A2354,PEDIDOS!$A:$A,0),3)</f>
        <v>#N/A</v>
      </c>
      <c r="E2354" s="3" t="e">
        <f>INDEX(PEDIDOS!$A:$D,MATCH(FORNECEDOR!A2354,PEDIDOS!$A:$A,0),4)</f>
        <v>#N/A</v>
      </c>
    </row>
    <row r="2355" spans="1:5" hidden="1" x14ac:dyDescent="0.25">
      <c r="A2355" s="1" t="s">
        <v>2354</v>
      </c>
      <c r="B2355" s="3">
        <f>COUNTIF(PEDIDOS!$A:$A,FORNECEDOR!A2355)</f>
        <v>0</v>
      </c>
      <c r="C2355" s="3" t="e">
        <f>INDEX(PEDIDOS!$A:$D,MATCH(FORNECEDOR!A2355,PEDIDOS!$A:$A,0),2)</f>
        <v>#N/A</v>
      </c>
      <c r="D2355" s="3" t="e">
        <f>INDEX(PEDIDOS!$A:$D,MATCH(FORNECEDOR!A2355,PEDIDOS!$A:$A,0),3)</f>
        <v>#N/A</v>
      </c>
      <c r="E2355" s="3" t="e">
        <f>INDEX(PEDIDOS!$A:$D,MATCH(FORNECEDOR!A2355,PEDIDOS!$A:$A,0),4)</f>
        <v>#N/A</v>
      </c>
    </row>
    <row r="2356" spans="1:5" x14ac:dyDescent="0.25">
      <c r="A2356" s="1" t="s">
        <v>2355</v>
      </c>
      <c r="B2356" s="3">
        <f>COUNTIF(PEDIDOS!$A:$A,FORNECEDOR!A2356)</f>
        <v>1</v>
      </c>
      <c r="C2356" s="3" t="str">
        <f>INDEX(PEDIDOS!$A:$D,MATCH(FORNECEDOR!A2356,PEDIDOS!$A:$A,0),2)</f>
        <v>MATRIZ</v>
      </c>
      <c r="D2356" s="3" t="str">
        <f>INDEX(PEDIDOS!$A:$D,MATCH(FORNECEDOR!A2356,PEDIDOS!$A:$A,0),3)</f>
        <v>MATRIZ</v>
      </c>
      <c r="E2356" s="3" t="str">
        <f>INDEX(PEDIDOS!$A:$D,MATCH(FORNECEDOR!A2356,PEDIDOS!$A:$A,0),4)</f>
        <v>MATRIZ</v>
      </c>
    </row>
    <row r="2357" spans="1:5" x14ac:dyDescent="0.25">
      <c r="A2357" s="1" t="s">
        <v>2356</v>
      </c>
      <c r="B2357" s="3">
        <f>COUNTIF(PEDIDOS!$A:$A,FORNECEDOR!A2357)</f>
        <v>1</v>
      </c>
      <c r="C2357" s="3" t="str">
        <f>INDEX(PEDIDOS!$A:$D,MATCH(FORNECEDOR!A2357,PEDIDOS!$A:$A,0),2)</f>
        <v>CD REGIS</v>
      </c>
      <c r="D2357" s="3" t="str">
        <f>INDEX(PEDIDOS!$A:$D,MATCH(FORNECEDOR!A2357,PEDIDOS!$A:$A,0),3)</f>
        <v>CD REGIS</v>
      </c>
      <c r="E2357" s="3" t="str">
        <f>INDEX(PEDIDOS!$A:$D,MATCH(FORNECEDOR!A2357,PEDIDOS!$A:$A,0),4)</f>
        <v>CD REGIS</v>
      </c>
    </row>
    <row r="2358" spans="1:5" hidden="1" x14ac:dyDescent="0.25">
      <c r="A2358" s="1" t="s">
        <v>2357</v>
      </c>
      <c r="B2358" s="3">
        <f>COUNTIF(PEDIDOS!$A:$A,FORNECEDOR!A2358)</f>
        <v>0</v>
      </c>
      <c r="C2358" s="3" t="e">
        <f>INDEX(PEDIDOS!$A:$D,MATCH(FORNECEDOR!A2358,PEDIDOS!$A:$A,0),2)</f>
        <v>#N/A</v>
      </c>
      <c r="D2358" s="3" t="e">
        <f>INDEX(PEDIDOS!$A:$D,MATCH(FORNECEDOR!A2358,PEDIDOS!$A:$A,0),3)</f>
        <v>#N/A</v>
      </c>
      <c r="E2358" s="3" t="e">
        <f>INDEX(PEDIDOS!$A:$D,MATCH(FORNECEDOR!A2358,PEDIDOS!$A:$A,0),4)</f>
        <v>#N/A</v>
      </c>
    </row>
    <row r="2359" spans="1:5" x14ac:dyDescent="0.25">
      <c r="A2359" s="1" t="s">
        <v>2358</v>
      </c>
      <c r="B2359" s="3">
        <f>COUNTIF(PEDIDOS!$A:$A,FORNECEDOR!A2359)</f>
        <v>2</v>
      </c>
      <c r="C2359" s="3" t="str">
        <f>INDEX(PEDIDOS!$A:$D,MATCH(FORNECEDOR!A2359,PEDIDOS!$A:$A,0),2)</f>
        <v>CD REGIS</v>
      </c>
      <c r="D2359" s="3" t="str">
        <f>INDEX(PEDIDOS!$A:$D,MATCH(FORNECEDOR!A2359,PEDIDOS!$A:$A,0),3)</f>
        <v>MATRIZ</v>
      </c>
      <c r="E2359" s="3" t="str">
        <f>INDEX(PEDIDOS!$A:$D,MATCH(FORNECEDOR!A2359,PEDIDOS!$A:$A,0),4)</f>
        <v>CD REGIS</v>
      </c>
    </row>
    <row r="2360" spans="1:5" x14ac:dyDescent="0.25">
      <c r="A2360" s="1" t="s">
        <v>2359</v>
      </c>
      <c r="B2360" s="3">
        <f>COUNTIF(PEDIDOS!$A:$A,FORNECEDOR!A2360)</f>
        <v>1</v>
      </c>
      <c r="C2360" s="3" t="str">
        <f>INDEX(PEDIDOS!$A:$D,MATCH(FORNECEDOR!A2360,PEDIDOS!$A:$A,0),2)</f>
        <v>MATRIZ</v>
      </c>
      <c r="D2360" s="3" t="str">
        <f>INDEX(PEDIDOS!$A:$D,MATCH(FORNECEDOR!A2360,PEDIDOS!$A:$A,0),3)</f>
        <v>MATRIZ</v>
      </c>
      <c r="E2360" s="3" t="str">
        <f>INDEX(PEDIDOS!$A:$D,MATCH(FORNECEDOR!A2360,PEDIDOS!$A:$A,0),4)</f>
        <v>MATRIZ</v>
      </c>
    </row>
    <row r="2361" spans="1:5" x14ac:dyDescent="0.25">
      <c r="A2361" s="1" t="s">
        <v>2360</v>
      </c>
      <c r="B2361" s="3">
        <f>COUNTIF(PEDIDOS!$A:$A,FORNECEDOR!A2361)</f>
        <v>1</v>
      </c>
      <c r="C2361" s="3" t="str">
        <f>INDEX(PEDIDOS!$A:$D,MATCH(FORNECEDOR!A2361,PEDIDOS!$A:$A,0),2)</f>
        <v>MATRIZ</v>
      </c>
      <c r="D2361" s="3" t="str">
        <f>INDEX(PEDIDOS!$A:$D,MATCH(FORNECEDOR!A2361,PEDIDOS!$A:$A,0),3)</f>
        <v>MATRIZ</v>
      </c>
      <c r="E2361" s="3" t="str">
        <f>INDEX(PEDIDOS!$A:$D,MATCH(FORNECEDOR!A2361,PEDIDOS!$A:$A,0),4)</f>
        <v>MATRIZ</v>
      </c>
    </row>
    <row r="2362" spans="1:5" hidden="1" x14ac:dyDescent="0.25">
      <c r="A2362" s="1" t="s">
        <v>2361</v>
      </c>
      <c r="B2362" s="3">
        <f>COUNTIF(PEDIDOS!$A:$A,FORNECEDOR!A2362)</f>
        <v>0</v>
      </c>
      <c r="C2362" s="3" t="e">
        <f>INDEX(PEDIDOS!$A:$D,MATCH(FORNECEDOR!A2362,PEDIDOS!$A:$A,0),2)</f>
        <v>#N/A</v>
      </c>
      <c r="D2362" s="3" t="e">
        <f>INDEX(PEDIDOS!$A:$D,MATCH(FORNECEDOR!A2362,PEDIDOS!$A:$A,0),3)</f>
        <v>#N/A</v>
      </c>
      <c r="E2362" s="3" t="e">
        <f>INDEX(PEDIDOS!$A:$D,MATCH(FORNECEDOR!A2362,PEDIDOS!$A:$A,0),4)</f>
        <v>#N/A</v>
      </c>
    </row>
    <row r="2363" spans="1:5" x14ac:dyDescent="0.25">
      <c r="A2363" s="1" t="s">
        <v>2362</v>
      </c>
      <c r="B2363" s="3">
        <f>COUNTIF(PEDIDOS!$A:$A,FORNECEDOR!A2363)</f>
        <v>1</v>
      </c>
      <c r="C2363" s="3" t="str">
        <f>INDEX(PEDIDOS!$A:$D,MATCH(FORNECEDOR!A2363,PEDIDOS!$A:$A,0),2)</f>
        <v>ANPPLA</v>
      </c>
      <c r="D2363" s="3" t="str">
        <f>INDEX(PEDIDOS!$A:$D,MATCH(FORNECEDOR!A2363,PEDIDOS!$A:$A,0),3)</f>
        <v>ANPPLA</v>
      </c>
      <c r="E2363" s="3" t="str">
        <f>INDEX(PEDIDOS!$A:$D,MATCH(FORNECEDOR!A2363,PEDIDOS!$A:$A,0),4)</f>
        <v>ANPPLA</v>
      </c>
    </row>
    <row r="2364" spans="1:5" x14ac:dyDescent="0.25">
      <c r="A2364" s="1" t="s">
        <v>2363</v>
      </c>
      <c r="B2364" s="3">
        <f>COUNTIF(PEDIDOS!$A:$A,FORNECEDOR!A2364)</f>
        <v>1</v>
      </c>
      <c r="C2364" s="3" t="str">
        <f>INDEX(PEDIDOS!$A:$D,MATCH(FORNECEDOR!A2364,PEDIDOS!$A:$A,0),2)</f>
        <v>MATRIZ</v>
      </c>
      <c r="D2364" s="3" t="str">
        <f>INDEX(PEDIDOS!$A:$D,MATCH(FORNECEDOR!A2364,PEDIDOS!$A:$A,0),3)</f>
        <v>MATRIZ</v>
      </c>
      <c r="E2364" s="3" t="str">
        <f>INDEX(PEDIDOS!$A:$D,MATCH(FORNECEDOR!A2364,PEDIDOS!$A:$A,0),4)</f>
        <v>MATRIZ</v>
      </c>
    </row>
    <row r="2365" spans="1:5" hidden="1" x14ac:dyDescent="0.25">
      <c r="A2365" s="1" t="s">
        <v>2364</v>
      </c>
      <c r="B2365" s="3">
        <f>COUNTIF(PEDIDOS!$A:$A,FORNECEDOR!A2365)</f>
        <v>0</v>
      </c>
      <c r="C2365" s="3" t="e">
        <f>INDEX(PEDIDOS!$A:$D,MATCH(FORNECEDOR!A2365,PEDIDOS!$A:$A,0),2)</f>
        <v>#N/A</v>
      </c>
      <c r="D2365" s="3" t="e">
        <f>INDEX(PEDIDOS!$A:$D,MATCH(FORNECEDOR!A2365,PEDIDOS!$A:$A,0),3)</f>
        <v>#N/A</v>
      </c>
      <c r="E2365" s="3" t="e">
        <f>INDEX(PEDIDOS!$A:$D,MATCH(FORNECEDOR!A2365,PEDIDOS!$A:$A,0),4)</f>
        <v>#N/A</v>
      </c>
    </row>
    <row r="2366" spans="1:5" hidden="1" x14ac:dyDescent="0.25">
      <c r="A2366" s="1" t="s">
        <v>2365</v>
      </c>
      <c r="B2366" s="3">
        <f>COUNTIF(PEDIDOS!$A:$A,FORNECEDOR!A2366)</f>
        <v>0</v>
      </c>
      <c r="C2366" s="3" t="e">
        <f>INDEX(PEDIDOS!$A:$D,MATCH(FORNECEDOR!A2366,PEDIDOS!$A:$A,0),2)</f>
        <v>#N/A</v>
      </c>
      <c r="D2366" s="3" t="e">
        <f>INDEX(PEDIDOS!$A:$D,MATCH(FORNECEDOR!A2366,PEDIDOS!$A:$A,0),3)</f>
        <v>#N/A</v>
      </c>
      <c r="E2366" s="3" t="e">
        <f>INDEX(PEDIDOS!$A:$D,MATCH(FORNECEDOR!A2366,PEDIDOS!$A:$A,0),4)</f>
        <v>#N/A</v>
      </c>
    </row>
    <row r="2367" spans="1:5" x14ac:dyDescent="0.25">
      <c r="A2367" s="1" t="s">
        <v>2366</v>
      </c>
      <c r="B2367" s="3">
        <f>COUNTIF(PEDIDOS!$A:$A,FORNECEDOR!A2367)</f>
        <v>1</v>
      </c>
      <c r="C2367" s="3" t="str">
        <f>INDEX(PEDIDOS!$A:$D,MATCH(FORNECEDOR!A2367,PEDIDOS!$A:$A,0),2)</f>
        <v>CD REGIS</v>
      </c>
      <c r="D2367" s="3" t="str">
        <f>INDEX(PEDIDOS!$A:$D,MATCH(FORNECEDOR!A2367,PEDIDOS!$A:$A,0),3)</f>
        <v>TATUAPE</v>
      </c>
      <c r="E2367" s="3" t="str">
        <f>INDEX(PEDIDOS!$A:$D,MATCH(FORNECEDOR!A2367,PEDIDOS!$A:$A,0),4)</f>
        <v>CD REGIS</v>
      </c>
    </row>
    <row r="2368" spans="1:5" x14ac:dyDescent="0.25">
      <c r="A2368" s="1" t="s">
        <v>2367</v>
      </c>
      <c r="B2368" s="3">
        <f>COUNTIF(PEDIDOS!$A:$A,FORNECEDOR!A2368)</f>
        <v>1</v>
      </c>
      <c r="C2368" s="3" t="str">
        <f>INDEX(PEDIDOS!$A:$D,MATCH(FORNECEDOR!A2368,PEDIDOS!$A:$A,0),2)</f>
        <v>CD REGIS</v>
      </c>
      <c r="D2368" s="3" t="str">
        <f>INDEX(PEDIDOS!$A:$D,MATCH(FORNECEDOR!A2368,PEDIDOS!$A:$A,0),3)</f>
        <v>TATUAPE</v>
      </c>
      <c r="E2368" s="3" t="str">
        <f>INDEX(PEDIDOS!$A:$D,MATCH(FORNECEDOR!A2368,PEDIDOS!$A:$A,0),4)</f>
        <v>CD REGIS</v>
      </c>
    </row>
    <row r="2369" spans="1:5" x14ac:dyDescent="0.25">
      <c r="A2369" s="1" t="s">
        <v>2368</v>
      </c>
      <c r="B2369" s="3">
        <f>COUNTIF(PEDIDOS!$A:$A,FORNECEDOR!A2369)</f>
        <v>1</v>
      </c>
      <c r="C2369" s="3" t="str">
        <f>INDEX(PEDIDOS!$A:$D,MATCH(FORNECEDOR!A2369,PEDIDOS!$A:$A,0),2)</f>
        <v>MATRIZ</v>
      </c>
      <c r="D2369" s="3" t="str">
        <f>INDEX(PEDIDOS!$A:$D,MATCH(FORNECEDOR!A2369,PEDIDOS!$A:$A,0),3)</f>
        <v>MATRIZ</v>
      </c>
      <c r="E2369" s="3" t="str">
        <f>INDEX(PEDIDOS!$A:$D,MATCH(FORNECEDOR!A2369,PEDIDOS!$A:$A,0),4)</f>
        <v>MATRIZ</v>
      </c>
    </row>
    <row r="2370" spans="1:5" x14ac:dyDescent="0.25">
      <c r="A2370" s="1" t="s">
        <v>2369</v>
      </c>
      <c r="B2370" s="3">
        <f>COUNTIF(PEDIDOS!$A:$A,FORNECEDOR!A2370)</f>
        <v>1</v>
      </c>
      <c r="C2370" s="3" t="str">
        <f>INDEX(PEDIDOS!$A:$D,MATCH(FORNECEDOR!A2370,PEDIDOS!$A:$A,0),2)</f>
        <v>CD REGIS</v>
      </c>
      <c r="D2370" s="3" t="str">
        <f>INDEX(PEDIDOS!$A:$D,MATCH(FORNECEDOR!A2370,PEDIDOS!$A:$A,0),3)</f>
        <v>TATUAPE</v>
      </c>
      <c r="E2370" s="3" t="str">
        <f>INDEX(PEDIDOS!$A:$D,MATCH(FORNECEDOR!A2370,PEDIDOS!$A:$A,0),4)</f>
        <v>CD REGIS</v>
      </c>
    </row>
    <row r="2371" spans="1:5" hidden="1" x14ac:dyDescent="0.25">
      <c r="A2371" s="1" t="s">
        <v>2370</v>
      </c>
      <c r="B2371" s="3">
        <f>COUNTIF(PEDIDOS!$A:$A,FORNECEDOR!A2371)</f>
        <v>0</v>
      </c>
      <c r="C2371" s="3" t="e">
        <f>INDEX(PEDIDOS!$A:$D,MATCH(FORNECEDOR!A2371,PEDIDOS!$A:$A,0),2)</f>
        <v>#N/A</v>
      </c>
      <c r="D2371" s="3" t="e">
        <f>INDEX(PEDIDOS!$A:$D,MATCH(FORNECEDOR!A2371,PEDIDOS!$A:$A,0),3)</f>
        <v>#N/A</v>
      </c>
      <c r="E2371" s="3" t="e">
        <f>INDEX(PEDIDOS!$A:$D,MATCH(FORNECEDOR!A2371,PEDIDOS!$A:$A,0),4)</f>
        <v>#N/A</v>
      </c>
    </row>
    <row r="2372" spans="1:5" hidden="1" x14ac:dyDescent="0.25">
      <c r="A2372" s="1" t="s">
        <v>2371</v>
      </c>
      <c r="B2372" s="3">
        <f>COUNTIF(PEDIDOS!$A:$A,FORNECEDOR!A2372)</f>
        <v>0</v>
      </c>
      <c r="C2372" s="3" t="e">
        <f>INDEX(PEDIDOS!$A:$D,MATCH(FORNECEDOR!A2372,PEDIDOS!$A:$A,0),2)</f>
        <v>#N/A</v>
      </c>
      <c r="D2372" s="3" t="e">
        <f>INDEX(PEDIDOS!$A:$D,MATCH(FORNECEDOR!A2372,PEDIDOS!$A:$A,0),3)</f>
        <v>#N/A</v>
      </c>
      <c r="E2372" s="3" t="e">
        <f>INDEX(PEDIDOS!$A:$D,MATCH(FORNECEDOR!A2372,PEDIDOS!$A:$A,0),4)</f>
        <v>#N/A</v>
      </c>
    </row>
    <row r="2373" spans="1:5" hidden="1" x14ac:dyDescent="0.25">
      <c r="A2373" s="1" t="s">
        <v>2372</v>
      </c>
      <c r="B2373" s="3">
        <f>COUNTIF(PEDIDOS!$A:$A,FORNECEDOR!A2373)</f>
        <v>0</v>
      </c>
      <c r="C2373" s="3" t="e">
        <f>INDEX(PEDIDOS!$A:$D,MATCH(FORNECEDOR!A2373,PEDIDOS!$A:$A,0),2)</f>
        <v>#N/A</v>
      </c>
      <c r="D2373" s="3" t="e">
        <f>INDEX(PEDIDOS!$A:$D,MATCH(FORNECEDOR!A2373,PEDIDOS!$A:$A,0),3)</f>
        <v>#N/A</v>
      </c>
      <c r="E2373" s="3" t="e">
        <f>INDEX(PEDIDOS!$A:$D,MATCH(FORNECEDOR!A2373,PEDIDOS!$A:$A,0),4)</f>
        <v>#N/A</v>
      </c>
    </row>
    <row r="2374" spans="1:5" hidden="1" x14ac:dyDescent="0.25">
      <c r="A2374" s="1" t="s">
        <v>2373</v>
      </c>
      <c r="B2374" s="3">
        <f>COUNTIF(PEDIDOS!$A:$A,FORNECEDOR!A2374)</f>
        <v>0</v>
      </c>
      <c r="C2374" s="3" t="e">
        <f>INDEX(PEDIDOS!$A:$D,MATCH(FORNECEDOR!A2374,PEDIDOS!$A:$A,0),2)</f>
        <v>#N/A</v>
      </c>
      <c r="D2374" s="3" t="e">
        <f>INDEX(PEDIDOS!$A:$D,MATCH(FORNECEDOR!A2374,PEDIDOS!$A:$A,0),3)</f>
        <v>#N/A</v>
      </c>
      <c r="E2374" s="3" t="e">
        <f>INDEX(PEDIDOS!$A:$D,MATCH(FORNECEDOR!A2374,PEDIDOS!$A:$A,0),4)</f>
        <v>#N/A</v>
      </c>
    </row>
    <row r="2375" spans="1:5" hidden="1" x14ac:dyDescent="0.25">
      <c r="A2375" s="1" t="s">
        <v>2374</v>
      </c>
      <c r="B2375" s="3">
        <f>COUNTIF(PEDIDOS!$A:$A,FORNECEDOR!A2375)</f>
        <v>0</v>
      </c>
      <c r="C2375" s="3" t="e">
        <f>INDEX(PEDIDOS!$A:$D,MATCH(FORNECEDOR!A2375,PEDIDOS!$A:$A,0),2)</f>
        <v>#N/A</v>
      </c>
      <c r="D2375" s="3" t="e">
        <f>INDEX(PEDIDOS!$A:$D,MATCH(FORNECEDOR!A2375,PEDIDOS!$A:$A,0),3)</f>
        <v>#N/A</v>
      </c>
      <c r="E2375" s="3" t="e">
        <f>INDEX(PEDIDOS!$A:$D,MATCH(FORNECEDOR!A2375,PEDIDOS!$A:$A,0),4)</f>
        <v>#N/A</v>
      </c>
    </row>
    <row r="2376" spans="1:5" hidden="1" x14ac:dyDescent="0.25">
      <c r="A2376" s="1" t="s">
        <v>2375</v>
      </c>
      <c r="B2376" s="3">
        <f>COUNTIF(PEDIDOS!$A:$A,FORNECEDOR!A2376)</f>
        <v>0</v>
      </c>
      <c r="C2376" s="3" t="e">
        <f>INDEX(PEDIDOS!$A:$D,MATCH(FORNECEDOR!A2376,PEDIDOS!$A:$A,0),2)</f>
        <v>#N/A</v>
      </c>
      <c r="D2376" s="3" t="e">
        <f>INDEX(PEDIDOS!$A:$D,MATCH(FORNECEDOR!A2376,PEDIDOS!$A:$A,0),3)</f>
        <v>#N/A</v>
      </c>
      <c r="E2376" s="3" t="e">
        <f>INDEX(PEDIDOS!$A:$D,MATCH(FORNECEDOR!A2376,PEDIDOS!$A:$A,0),4)</f>
        <v>#N/A</v>
      </c>
    </row>
    <row r="2377" spans="1:5" x14ac:dyDescent="0.25">
      <c r="A2377" s="1" t="s">
        <v>2376</v>
      </c>
      <c r="B2377" s="3">
        <f>COUNTIF(PEDIDOS!$A:$A,FORNECEDOR!A2377)</f>
        <v>2</v>
      </c>
      <c r="C2377" s="3" t="str">
        <f>INDEX(PEDIDOS!$A:$D,MATCH(FORNECEDOR!A2377,PEDIDOS!$A:$A,0),2)</f>
        <v>CD REGIS</v>
      </c>
      <c r="D2377" s="3" t="str">
        <f>INDEX(PEDIDOS!$A:$D,MATCH(FORNECEDOR!A2377,PEDIDOS!$A:$A,0),3)</f>
        <v>MATRIZ</v>
      </c>
      <c r="E2377" s="3" t="str">
        <f>INDEX(PEDIDOS!$A:$D,MATCH(FORNECEDOR!A2377,PEDIDOS!$A:$A,0),4)</f>
        <v>CD REGIS</v>
      </c>
    </row>
    <row r="2378" spans="1:5" hidden="1" x14ac:dyDescent="0.25">
      <c r="A2378" s="1" t="s">
        <v>2377</v>
      </c>
      <c r="B2378" s="3">
        <f>COUNTIF(PEDIDOS!$A:$A,FORNECEDOR!A2378)</f>
        <v>0</v>
      </c>
      <c r="C2378" s="3" t="e">
        <f>INDEX(PEDIDOS!$A:$D,MATCH(FORNECEDOR!A2378,PEDIDOS!$A:$A,0),2)</f>
        <v>#N/A</v>
      </c>
      <c r="D2378" s="3" t="e">
        <f>INDEX(PEDIDOS!$A:$D,MATCH(FORNECEDOR!A2378,PEDIDOS!$A:$A,0),3)</f>
        <v>#N/A</v>
      </c>
      <c r="E2378" s="3" t="e">
        <f>INDEX(PEDIDOS!$A:$D,MATCH(FORNECEDOR!A2378,PEDIDOS!$A:$A,0),4)</f>
        <v>#N/A</v>
      </c>
    </row>
    <row r="2379" spans="1:5" hidden="1" x14ac:dyDescent="0.25">
      <c r="A2379" s="1" t="s">
        <v>2378</v>
      </c>
      <c r="B2379" s="3">
        <f>COUNTIF(PEDIDOS!$A:$A,FORNECEDOR!A2379)</f>
        <v>0</v>
      </c>
      <c r="C2379" s="3" t="e">
        <f>INDEX(PEDIDOS!$A:$D,MATCH(FORNECEDOR!A2379,PEDIDOS!$A:$A,0),2)</f>
        <v>#N/A</v>
      </c>
      <c r="D2379" s="3" t="e">
        <f>INDEX(PEDIDOS!$A:$D,MATCH(FORNECEDOR!A2379,PEDIDOS!$A:$A,0),3)</f>
        <v>#N/A</v>
      </c>
      <c r="E2379" s="3" t="e">
        <f>INDEX(PEDIDOS!$A:$D,MATCH(FORNECEDOR!A2379,PEDIDOS!$A:$A,0),4)</f>
        <v>#N/A</v>
      </c>
    </row>
    <row r="2380" spans="1:5" x14ac:dyDescent="0.25">
      <c r="A2380" s="1" t="s">
        <v>2379</v>
      </c>
      <c r="B2380" s="3">
        <f>COUNTIF(PEDIDOS!$A:$A,FORNECEDOR!A2380)</f>
        <v>2</v>
      </c>
      <c r="C2380" s="3" t="str">
        <f>INDEX(PEDIDOS!$A:$D,MATCH(FORNECEDOR!A2380,PEDIDOS!$A:$A,0),2)</f>
        <v>CD REGIS</v>
      </c>
      <c r="D2380" s="3" t="str">
        <f>INDEX(PEDIDOS!$A:$D,MATCH(FORNECEDOR!A2380,PEDIDOS!$A:$A,0),3)</f>
        <v>MATRIZ</v>
      </c>
      <c r="E2380" s="3" t="str">
        <f>INDEX(PEDIDOS!$A:$D,MATCH(FORNECEDOR!A2380,PEDIDOS!$A:$A,0),4)</f>
        <v>CD REGIS</v>
      </c>
    </row>
    <row r="2381" spans="1:5" x14ac:dyDescent="0.25">
      <c r="A2381" s="1" t="s">
        <v>2380</v>
      </c>
      <c r="B2381" s="3">
        <f>COUNTIF(PEDIDOS!$A:$A,FORNECEDOR!A2381)</f>
        <v>44</v>
      </c>
      <c r="C2381" s="3" t="str">
        <f>INDEX(PEDIDOS!$A:$D,MATCH(FORNECEDOR!A2381,PEDIDOS!$A:$A,0),2)</f>
        <v>ANPPLA</v>
      </c>
      <c r="D2381" s="3" t="str">
        <f>INDEX(PEDIDOS!$A:$D,MATCH(FORNECEDOR!A2381,PEDIDOS!$A:$A,0),3)</f>
        <v>ANPPLA</v>
      </c>
      <c r="E2381" s="3" t="str">
        <f>INDEX(PEDIDOS!$A:$D,MATCH(FORNECEDOR!A2381,PEDIDOS!$A:$A,0),4)</f>
        <v>ANPPLA</v>
      </c>
    </row>
    <row r="2382" spans="1:5" x14ac:dyDescent="0.25">
      <c r="A2382" s="1" t="s">
        <v>2381</v>
      </c>
      <c r="B2382" s="3">
        <f>COUNTIF(PEDIDOS!$A:$A,FORNECEDOR!A2382)</f>
        <v>1</v>
      </c>
      <c r="C2382" s="3" t="str">
        <f>INDEX(PEDIDOS!$A:$D,MATCH(FORNECEDOR!A2382,PEDIDOS!$A:$A,0),2)</f>
        <v>CRUZEIRO</v>
      </c>
      <c r="D2382" s="3" t="str">
        <f>INDEX(PEDIDOS!$A:$D,MATCH(FORNECEDOR!A2382,PEDIDOS!$A:$A,0),3)</f>
        <v>CRUZEIRO</v>
      </c>
      <c r="E2382" s="3" t="str">
        <f>INDEX(PEDIDOS!$A:$D,MATCH(FORNECEDOR!A2382,PEDIDOS!$A:$A,0),4)</f>
        <v>CRUZEIRO</v>
      </c>
    </row>
    <row r="2383" spans="1:5" hidden="1" x14ac:dyDescent="0.25">
      <c r="A2383" s="1" t="s">
        <v>2382</v>
      </c>
      <c r="B2383" s="3">
        <f>COUNTIF(PEDIDOS!$A:$A,FORNECEDOR!A2383)</f>
        <v>0</v>
      </c>
      <c r="C2383" s="3" t="e">
        <f>INDEX(PEDIDOS!$A:$D,MATCH(FORNECEDOR!A2383,PEDIDOS!$A:$A,0),2)</f>
        <v>#N/A</v>
      </c>
      <c r="D2383" s="3" t="e">
        <f>INDEX(PEDIDOS!$A:$D,MATCH(FORNECEDOR!A2383,PEDIDOS!$A:$A,0),3)</f>
        <v>#N/A</v>
      </c>
      <c r="E2383" s="3" t="e">
        <f>INDEX(PEDIDOS!$A:$D,MATCH(FORNECEDOR!A2383,PEDIDOS!$A:$A,0),4)</f>
        <v>#N/A</v>
      </c>
    </row>
    <row r="2384" spans="1:5" hidden="1" x14ac:dyDescent="0.25">
      <c r="A2384" s="1" t="s">
        <v>2383</v>
      </c>
      <c r="B2384" s="3">
        <f>COUNTIF(PEDIDOS!$A:$A,FORNECEDOR!A2384)</f>
        <v>0</v>
      </c>
      <c r="C2384" s="3" t="e">
        <f>INDEX(PEDIDOS!$A:$D,MATCH(FORNECEDOR!A2384,PEDIDOS!$A:$A,0),2)</f>
        <v>#N/A</v>
      </c>
      <c r="D2384" s="3" t="e">
        <f>INDEX(PEDIDOS!$A:$D,MATCH(FORNECEDOR!A2384,PEDIDOS!$A:$A,0),3)</f>
        <v>#N/A</v>
      </c>
      <c r="E2384" s="3" t="e">
        <f>INDEX(PEDIDOS!$A:$D,MATCH(FORNECEDOR!A2384,PEDIDOS!$A:$A,0),4)</f>
        <v>#N/A</v>
      </c>
    </row>
    <row r="2385" spans="1:5" hidden="1" x14ac:dyDescent="0.25">
      <c r="A2385" s="1" t="s">
        <v>2384</v>
      </c>
      <c r="B2385" s="3">
        <f>COUNTIF(PEDIDOS!$A:$A,FORNECEDOR!A2385)</f>
        <v>0</v>
      </c>
      <c r="C2385" s="3" t="e">
        <f>INDEX(PEDIDOS!$A:$D,MATCH(FORNECEDOR!A2385,PEDIDOS!$A:$A,0),2)</f>
        <v>#N/A</v>
      </c>
      <c r="D2385" s="3" t="e">
        <f>INDEX(PEDIDOS!$A:$D,MATCH(FORNECEDOR!A2385,PEDIDOS!$A:$A,0),3)</f>
        <v>#N/A</v>
      </c>
      <c r="E2385" s="3" t="e">
        <f>INDEX(PEDIDOS!$A:$D,MATCH(FORNECEDOR!A2385,PEDIDOS!$A:$A,0),4)</f>
        <v>#N/A</v>
      </c>
    </row>
    <row r="2386" spans="1:5" hidden="1" x14ac:dyDescent="0.25">
      <c r="A2386" s="1" t="s">
        <v>2385</v>
      </c>
      <c r="B2386" s="3">
        <f>COUNTIF(PEDIDOS!$A:$A,FORNECEDOR!A2386)</f>
        <v>0</v>
      </c>
      <c r="C2386" s="3" t="e">
        <f>INDEX(PEDIDOS!$A:$D,MATCH(FORNECEDOR!A2386,PEDIDOS!$A:$A,0),2)</f>
        <v>#N/A</v>
      </c>
      <c r="D2386" s="3" t="e">
        <f>INDEX(PEDIDOS!$A:$D,MATCH(FORNECEDOR!A2386,PEDIDOS!$A:$A,0),3)</f>
        <v>#N/A</v>
      </c>
      <c r="E2386" s="3" t="e">
        <f>INDEX(PEDIDOS!$A:$D,MATCH(FORNECEDOR!A2386,PEDIDOS!$A:$A,0),4)</f>
        <v>#N/A</v>
      </c>
    </row>
    <row r="2387" spans="1:5" hidden="1" x14ac:dyDescent="0.25">
      <c r="A2387" s="1" t="s">
        <v>2386</v>
      </c>
      <c r="B2387" s="3">
        <f>COUNTIF(PEDIDOS!$A:$A,FORNECEDOR!A2387)</f>
        <v>0</v>
      </c>
      <c r="C2387" s="3" t="e">
        <f>INDEX(PEDIDOS!$A:$D,MATCH(FORNECEDOR!A2387,PEDIDOS!$A:$A,0),2)</f>
        <v>#N/A</v>
      </c>
      <c r="D2387" s="3" t="e">
        <f>INDEX(PEDIDOS!$A:$D,MATCH(FORNECEDOR!A2387,PEDIDOS!$A:$A,0),3)</f>
        <v>#N/A</v>
      </c>
      <c r="E2387" s="3" t="e">
        <f>INDEX(PEDIDOS!$A:$D,MATCH(FORNECEDOR!A2387,PEDIDOS!$A:$A,0),4)</f>
        <v>#N/A</v>
      </c>
    </row>
    <row r="2388" spans="1:5" hidden="1" x14ac:dyDescent="0.25">
      <c r="A2388" s="1" t="s">
        <v>2387</v>
      </c>
      <c r="B2388" s="3">
        <f>COUNTIF(PEDIDOS!$A:$A,FORNECEDOR!A2388)</f>
        <v>0</v>
      </c>
      <c r="C2388" s="3" t="e">
        <f>INDEX(PEDIDOS!$A:$D,MATCH(FORNECEDOR!A2388,PEDIDOS!$A:$A,0),2)</f>
        <v>#N/A</v>
      </c>
      <c r="D2388" s="3" t="e">
        <f>INDEX(PEDIDOS!$A:$D,MATCH(FORNECEDOR!A2388,PEDIDOS!$A:$A,0),3)</f>
        <v>#N/A</v>
      </c>
      <c r="E2388" s="3" t="e">
        <f>INDEX(PEDIDOS!$A:$D,MATCH(FORNECEDOR!A2388,PEDIDOS!$A:$A,0),4)</f>
        <v>#N/A</v>
      </c>
    </row>
    <row r="2389" spans="1:5" hidden="1" x14ac:dyDescent="0.25">
      <c r="A2389" s="1" t="s">
        <v>2388</v>
      </c>
      <c r="B2389" s="3">
        <f>COUNTIF(PEDIDOS!$A:$A,FORNECEDOR!A2389)</f>
        <v>0</v>
      </c>
      <c r="C2389" s="3" t="e">
        <f>INDEX(PEDIDOS!$A:$D,MATCH(FORNECEDOR!A2389,PEDIDOS!$A:$A,0),2)</f>
        <v>#N/A</v>
      </c>
      <c r="D2389" s="3" t="e">
        <f>INDEX(PEDIDOS!$A:$D,MATCH(FORNECEDOR!A2389,PEDIDOS!$A:$A,0),3)</f>
        <v>#N/A</v>
      </c>
      <c r="E2389" s="3" t="e">
        <f>INDEX(PEDIDOS!$A:$D,MATCH(FORNECEDOR!A2389,PEDIDOS!$A:$A,0),4)</f>
        <v>#N/A</v>
      </c>
    </row>
    <row r="2390" spans="1:5" x14ac:dyDescent="0.25">
      <c r="A2390" s="1" t="s">
        <v>2389</v>
      </c>
      <c r="B2390" s="3">
        <f>COUNTIF(PEDIDOS!$A:$A,FORNECEDOR!A2390)</f>
        <v>1</v>
      </c>
      <c r="C2390" s="3" t="str">
        <f>INDEX(PEDIDOS!$A:$D,MATCH(FORNECEDOR!A2390,PEDIDOS!$A:$A,0),2)</f>
        <v>MATRIZ</v>
      </c>
      <c r="D2390" s="3" t="str">
        <f>INDEX(PEDIDOS!$A:$D,MATCH(FORNECEDOR!A2390,PEDIDOS!$A:$A,0),3)</f>
        <v>MATRIZ</v>
      </c>
      <c r="E2390" s="3" t="str">
        <f>INDEX(PEDIDOS!$A:$D,MATCH(FORNECEDOR!A2390,PEDIDOS!$A:$A,0),4)</f>
        <v>MATRIZ</v>
      </c>
    </row>
    <row r="2391" spans="1:5" hidden="1" x14ac:dyDescent="0.25">
      <c r="A2391" s="1" t="s">
        <v>2390</v>
      </c>
      <c r="B2391" s="3">
        <f>COUNTIF(PEDIDOS!$A:$A,FORNECEDOR!A2391)</f>
        <v>0</v>
      </c>
      <c r="C2391" s="3" t="e">
        <f>INDEX(PEDIDOS!$A:$D,MATCH(FORNECEDOR!A2391,PEDIDOS!$A:$A,0),2)</f>
        <v>#N/A</v>
      </c>
      <c r="D2391" s="3" t="e">
        <f>INDEX(PEDIDOS!$A:$D,MATCH(FORNECEDOR!A2391,PEDIDOS!$A:$A,0),3)</f>
        <v>#N/A</v>
      </c>
      <c r="E2391" s="3" t="e">
        <f>INDEX(PEDIDOS!$A:$D,MATCH(FORNECEDOR!A2391,PEDIDOS!$A:$A,0),4)</f>
        <v>#N/A</v>
      </c>
    </row>
    <row r="2392" spans="1:5" hidden="1" x14ac:dyDescent="0.25">
      <c r="A2392" s="1" t="s">
        <v>2391</v>
      </c>
      <c r="B2392" s="3">
        <f>COUNTIF(PEDIDOS!$A:$A,FORNECEDOR!A2392)</f>
        <v>0</v>
      </c>
      <c r="C2392" s="3" t="e">
        <f>INDEX(PEDIDOS!$A:$D,MATCH(FORNECEDOR!A2392,PEDIDOS!$A:$A,0),2)</f>
        <v>#N/A</v>
      </c>
      <c r="D2392" s="3" t="e">
        <f>INDEX(PEDIDOS!$A:$D,MATCH(FORNECEDOR!A2392,PEDIDOS!$A:$A,0),3)</f>
        <v>#N/A</v>
      </c>
      <c r="E2392" s="3" t="e">
        <f>INDEX(PEDIDOS!$A:$D,MATCH(FORNECEDOR!A2392,PEDIDOS!$A:$A,0),4)</f>
        <v>#N/A</v>
      </c>
    </row>
    <row r="2393" spans="1:5" hidden="1" x14ac:dyDescent="0.25">
      <c r="A2393" s="1" t="s">
        <v>2392</v>
      </c>
      <c r="B2393" s="3">
        <f>COUNTIF(PEDIDOS!$A:$A,FORNECEDOR!A2393)</f>
        <v>0</v>
      </c>
      <c r="C2393" s="3" t="e">
        <f>INDEX(PEDIDOS!$A:$D,MATCH(FORNECEDOR!A2393,PEDIDOS!$A:$A,0),2)</f>
        <v>#N/A</v>
      </c>
      <c r="D2393" s="3" t="e">
        <f>INDEX(PEDIDOS!$A:$D,MATCH(FORNECEDOR!A2393,PEDIDOS!$A:$A,0),3)</f>
        <v>#N/A</v>
      </c>
      <c r="E2393" s="3" t="e">
        <f>INDEX(PEDIDOS!$A:$D,MATCH(FORNECEDOR!A2393,PEDIDOS!$A:$A,0),4)</f>
        <v>#N/A</v>
      </c>
    </row>
    <row r="2394" spans="1:5" hidden="1" x14ac:dyDescent="0.25">
      <c r="A2394" s="1" t="s">
        <v>2393</v>
      </c>
      <c r="B2394" s="3">
        <f>COUNTIF(PEDIDOS!$A:$A,FORNECEDOR!A2394)</f>
        <v>0</v>
      </c>
      <c r="C2394" s="3" t="e">
        <f>INDEX(PEDIDOS!$A:$D,MATCH(FORNECEDOR!A2394,PEDIDOS!$A:$A,0),2)</f>
        <v>#N/A</v>
      </c>
      <c r="D2394" s="3" t="e">
        <f>INDEX(PEDIDOS!$A:$D,MATCH(FORNECEDOR!A2394,PEDIDOS!$A:$A,0),3)</f>
        <v>#N/A</v>
      </c>
      <c r="E2394" s="3" t="e">
        <f>INDEX(PEDIDOS!$A:$D,MATCH(FORNECEDOR!A2394,PEDIDOS!$A:$A,0),4)</f>
        <v>#N/A</v>
      </c>
    </row>
    <row r="2395" spans="1:5" hidden="1" x14ac:dyDescent="0.25">
      <c r="A2395" s="1" t="s">
        <v>2394</v>
      </c>
      <c r="B2395" s="3">
        <f>COUNTIF(PEDIDOS!$A:$A,FORNECEDOR!A2395)</f>
        <v>0</v>
      </c>
      <c r="C2395" s="3" t="e">
        <f>INDEX(PEDIDOS!$A:$D,MATCH(FORNECEDOR!A2395,PEDIDOS!$A:$A,0),2)</f>
        <v>#N/A</v>
      </c>
      <c r="D2395" s="3" t="e">
        <f>INDEX(PEDIDOS!$A:$D,MATCH(FORNECEDOR!A2395,PEDIDOS!$A:$A,0),3)</f>
        <v>#N/A</v>
      </c>
      <c r="E2395" s="3" t="e">
        <f>INDEX(PEDIDOS!$A:$D,MATCH(FORNECEDOR!A2395,PEDIDOS!$A:$A,0),4)</f>
        <v>#N/A</v>
      </c>
    </row>
    <row r="2396" spans="1:5" hidden="1" x14ac:dyDescent="0.25">
      <c r="A2396" s="1" t="s">
        <v>2395</v>
      </c>
      <c r="B2396" s="3">
        <f>COUNTIF(PEDIDOS!$A:$A,FORNECEDOR!A2396)</f>
        <v>0</v>
      </c>
      <c r="C2396" s="3" t="e">
        <f>INDEX(PEDIDOS!$A:$D,MATCH(FORNECEDOR!A2396,PEDIDOS!$A:$A,0),2)</f>
        <v>#N/A</v>
      </c>
      <c r="D2396" s="3" t="e">
        <f>INDEX(PEDIDOS!$A:$D,MATCH(FORNECEDOR!A2396,PEDIDOS!$A:$A,0),3)</f>
        <v>#N/A</v>
      </c>
      <c r="E2396" s="3" t="e">
        <f>INDEX(PEDIDOS!$A:$D,MATCH(FORNECEDOR!A2396,PEDIDOS!$A:$A,0),4)</f>
        <v>#N/A</v>
      </c>
    </row>
    <row r="2397" spans="1:5" hidden="1" x14ac:dyDescent="0.25">
      <c r="A2397" s="1" t="s">
        <v>2396</v>
      </c>
      <c r="B2397" s="3">
        <f>COUNTIF(PEDIDOS!$A:$A,FORNECEDOR!A2397)</f>
        <v>0</v>
      </c>
      <c r="C2397" s="3" t="e">
        <f>INDEX(PEDIDOS!$A:$D,MATCH(FORNECEDOR!A2397,PEDIDOS!$A:$A,0),2)</f>
        <v>#N/A</v>
      </c>
      <c r="D2397" s="3" t="e">
        <f>INDEX(PEDIDOS!$A:$D,MATCH(FORNECEDOR!A2397,PEDIDOS!$A:$A,0),3)</f>
        <v>#N/A</v>
      </c>
      <c r="E2397" s="3" t="e">
        <f>INDEX(PEDIDOS!$A:$D,MATCH(FORNECEDOR!A2397,PEDIDOS!$A:$A,0),4)</f>
        <v>#N/A</v>
      </c>
    </row>
    <row r="2398" spans="1:5" hidden="1" x14ac:dyDescent="0.25">
      <c r="A2398" s="1" t="s">
        <v>2397</v>
      </c>
      <c r="B2398" s="3">
        <f>COUNTIF(PEDIDOS!$A:$A,FORNECEDOR!A2398)</f>
        <v>0</v>
      </c>
      <c r="C2398" s="3" t="e">
        <f>INDEX(PEDIDOS!$A:$D,MATCH(FORNECEDOR!A2398,PEDIDOS!$A:$A,0),2)</f>
        <v>#N/A</v>
      </c>
      <c r="D2398" s="3" t="e">
        <f>INDEX(PEDIDOS!$A:$D,MATCH(FORNECEDOR!A2398,PEDIDOS!$A:$A,0),3)</f>
        <v>#N/A</v>
      </c>
      <c r="E2398" s="3" t="e">
        <f>INDEX(PEDIDOS!$A:$D,MATCH(FORNECEDOR!A2398,PEDIDOS!$A:$A,0),4)</f>
        <v>#N/A</v>
      </c>
    </row>
    <row r="2399" spans="1:5" hidden="1" x14ac:dyDescent="0.25">
      <c r="A2399" s="1" t="s">
        <v>2398</v>
      </c>
      <c r="B2399" s="3">
        <f>COUNTIF(PEDIDOS!$A:$A,FORNECEDOR!A2399)</f>
        <v>0</v>
      </c>
      <c r="C2399" s="3" t="e">
        <f>INDEX(PEDIDOS!$A:$D,MATCH(FORNECEDOR!A2399,PEDIDOS!$A:$A,0),2)</f>
        <v>#N/A</v>
      </c>
      <c r="D2399" s="3" t="e">
        <f>INDEX(PEDIDOS!$A:$D,MATCH(FORNECEDOR!A2399,PEDIDOS!$A:$A,0),3)</f>
        <v>#N/A</v>
      </c>
      <c r="E2399" s="3" t="e">
        <f>INDEX(PEDIDOS!$A:$D,MATCH(FORNECEDOR!A2399,PEDIDOS!$A:$A,0),4)</f>
        <v>#N/A</v>
      </c>
    </row>
    <row r="2400" spans="1:5" x14ac:dyDescent="0.25">
      <c r="A2400" s="1" t="s">
        <v>2399</v>
      </c>
      <c r="B2400" s="3">
        <f>COUNTIF(PEDIDOS!$A:$A,FORNECEDOR!A2400)</f>
        <v>1</v>
      </c>
      <c r="C2400" s="3" t="str">
        <f>INDEX(PEDIDOS!$A:$D,MATCH(FORNECEDOR!A2400,PEDIDOS!$A:$A,0),2)</f>
        <v>MATRIZ</v>
      </c>
      <c r="D2400" s="3" t="str">
        <f>INDEX(PEDIDOS!$A:$D,MATCH(FORNECEDOR!A2400,PEDIDOS!$A:$A,0),3)</f>
        <v>MATRIZ</v>
      </c>
      <c r="E2400" s="3" t="str">
        <f>INDEX(PEDIDOS!$A:$D,MATCH(FORNECEDOR!A2400,PEDIDOS!$A:$A,0),4)</f>
        <v>MATRIZ</v>
      </c>
    </row>
    <row r="2401" spans="1:5" x14ac:dyDescent="0.25">
      <c r="A2401" s="1" t="s">
        <v>2400</v>
      </c>
      <c r="B2401" s="3">
        <f>COUNTIF(PEDIDOS!$A:$A,FORNECEDOR!A2401)</f>
        <v>3</v>
      </c>
      <c r="C2401" s="3" t="str">
        <f>INDEX(PEDIDOS!$A:$D,MATCH(FORNECEDOR!A2401,PEDIDOS!$A:$A,0),2)</f>
        <v>CD REGIS</v>
      </c>
      <c r="D2401" s="3" t="str">
        <f>INDEX(PEDIDOS!$A:$D,MATCH(FORNECEDOR!A2401,PEDIDOS!$A:$A,0),3)</f>
        <v>CD REGIS</v>
      </c>
      <c r="E2401" s="3" t="str">
        <f>INDEX(PEDIDOS!$A:$D,MATCH(FORNECEDOR!A2401,PEDIDOS!$A:$A,0),4)</f>
        <v>CD REGIS</v>
      </c>
    </row>
    <row r="2402" spans="1:5" hidden="1" x14ac:dyDescent="0.25">
      <c r="A2402" s="1" t="s">
        <v>2401</v>
      </c>
      <c r="B2402" s="3">
        <f>COUNTIF(PEDIDOS!$A:$A,FORNECEDOR!A2402)</f>
        <v>0</v>
      </c>
      <c r="C2402" s="3" t="e">
        <f>INDEX(PEDIDOS!$A:$D,MATCH(FORNECEDOR!A2402,PEDIDOS!$A:$A,0),2)</f>
        <v>#N/A</v>
      </c>
      <c r="D2402" s="3" t="e">
        <f>INDEX(PEDIDOS!$A:$D,MATCH(FORNECEDOR!A2402,PEDIDOS!$A:$A,0),3)</f>
        <v>#N/A</v>
      </c>
      <c r="E2402" s="3" t="e">
        <f>INDEX(PEDIDOS!$A:$D,MATCH(FORNECEDOR!A2402,PEDIDOS!$A:$A,0),4)</f>
        <v>#N/A</v>
      </c>
    </row>
    <row r="2403" spans="1:5" x14ac:dyDescent="0.25">
      <c r="A2403" s="1" t="s">
        <v>2402</v>
      </c>
      <c r="B2403" s="3">
        <f>COUNTIF(PEDIDOS!$A:$A,FORNECEDOR!A2403)</f>
        <v>1</v>
      </c>
      <c r="C2403" s="3" t="str">
        <f>INDEX(PEDIDOS!$A:$D,MATCH(FORNECEDOR!A2403,PEDIDOS!$A:$A,0),2)</f>
        <v>MATRIZ</v>
      </c>
      <c r="D2403" s="3" t="str">
        <f>INDEX(PEDIDOS!$A:$D,MATCH(FORNECEDOR!A2403,PEDIDOS!$A:$A,0),3)</f>
        <v>MATRIZ</v>
      </c>
      <c r="E2403" s="3" t="str">
        <f>INDEX(PEDIDOS!$A:$D,MATCH(FORNECEDOR!A2403,PEDIDOS!$A:$A,0),4)</f>
        <v>MATRIZ</v>
      </c>
    </row>
    <row r="2404" spans="1:5" x14ac:dyDescent="0.25">
      <c r="A2404" s="1" t="s">
        <v>2403</v>
      </c>
      <c r="B2404" s="3">
        <f>COUNTIF(PEDIDOS!$A:$A,FORNECEDOR!A2404)</f>
        <v>1</v>
      </c>
      <c r="C2404" s="3" t="str">
        <f>INDEX(PEDIDOS!$A:$D,MATCH(FORNECEDOR!A2404,PEDIDOS!$A:$A,0),2)</f>
        <v>MATRIZ</v>
      </c>
      <c r="D2404" s="3" t="str">
        <f>INDEX(PEDIDOS!$A:$D,MATCH(FORNECEDOR!A2404,PEDIDOS!$A:$A,0),3)</f>
        <v>MATRIZ</v>
      </c>
      <c r="E2404" s="3" t="str">
        <f>INDEX(PEDIDOS!$A:$D,MATCH(FORNECEDOR!A2404,PEDIDOS!$A:$A,0),4)</f>
        <v>MATRIZ</v>
      </c>
    </row>
    <row r="2405" spans="1:5" hidden="1" x14ac:dyDescent="0.25">
      <c r="A2405" s="1" t="s">
        <v>2404</v>
      </c>
      <c r="B2405" s="3">
        <f>COUNTIF(PEDIDOS!$A:$A,FORNECEDOR!A2405)</f>
        <v>0</v>
      </c>
      <c r="C2405" s="3" t="e">
        <f>INDEX(PEDIDOS!$A:$D,MATCH(FORNECEDOR!A2405,PEDIDOS!$A:$A,0),2)</f>
        <v>#N/A</v>
      </c>
      <c r="D2405" s="3" t="e">
        <f>INDEX(PEDIDOS!$A:$D,MATCH(FORNECEDOR!A2405,PEDIDOS!$A:$A,0),3)</f>
        <v>#N/A</v>
      </c>
      <c r="E2405" s="3" t="e">
        <f>INDEX(PEDIDOS!$A:$D,MATCH(FORNECEDOR!A2405,PEDIDOS!$A:$A,0),4)</f>
        <v>#N/A</v>
      </c>
    </row>
    <row r="2406" spans="1:5" hidden="1" x14ac:dyDescent="0.25">
      <c r="A2406" s="1" t="s">
        <v>2405</v>
      </c>
      <c r="B2406" s="3">
        <f>COUNTIF(PEDIDOS!$A:$A,FORNECEDOR!A2406)</f>
        <v>0</v>
      </c>
      <c r="C2406" s="3" t="e">
        <f>INDEX(PEDIDOS!$A:$D,MATCH(FORNECEDOR!A2406,PEDIDOS!$A:$A,0),2)</f>
        <v>#N/A</v>
      </c>
      <c r="D2406" s="3" t="e">
        <f>INDEX(PEDIDOS!$A:$D,MATCH(FORNECEDOR!A2406,PEDIDOS!$A:$A,0),3)</f>
        <v>#N/A</v>
      </c>
      <c r="E2406" s="3" t="e">
        <f>INDEX(PEDIDOS!$A:$D,MATCH(FORNECEDOR!A2406,PEDIDOS!$A:$A,0),4)</f>
        <v>#N/A</v>
      </c>
    </row>
    <row r="2407" spans="1:5" hidden="1" x14ac:dyDescent="0.25">
      <c r="A2407" s="1" t="s">
        <v>2406</v>
      </c>
      <c r="B2407" s="3">
        <f>COUNTIF(PEDIDOS!$A:$A,FORNECEDOR!A2407)</f>
        <v>0</v>
      </c>
      <c r="C2407" s="3" t="e">
        <f>INDEX(PEDIDOS!$A:$D,MATCH(FORNECEDOR!A2407,PEDIDOS!$A:$A,0),2)</f>
        <v>#N/A</v>
      </c>
      <c r="D2407" s="3" t="e">
        <f>INDEX(PEDIDOS!$A:$D,MATCH(FORNECEDOR!A2407,PEDIDOS!$A:$A,0),3)</f>
        <v>#N/A</v>
      </c>
      <c r="E2407" s="3" t="e">
        <f>INDEX(PEDIDOS!$A:$D,MATCH(FORNECEDOR!A2407,PEDIDOS!$A:$A,0),4)</f>
        <v>#N/A</v>
      </c>
    </row>
    <row r="2408" spans="1:5" x14ac:dyDescent="0.25">
      <c r="A2408" s="1" t="s">
        <v>2407</v>
      </c>
      <c r="B2408" s="3">
        <f>COUNTIF(PEDIDOS!$A:$A,FORNECEDOR!A2408)</f>
        <v>9</v>
      </c>
      <c r="C2408" s="3" t="str">
        <f>INDEX(PEDIDOS!$A:$D,MATCH(FORNECEDOR!A2408,PEDIDOS!$A:$A,0),2)</f>
        <v>CARAGUATATUBA</v>
      </c>
      <c r="D2408" s="3" t="str">
        <f>INDEX(PEDIDOS!$A:$D,MATCH(FORNECEDOR!A2408,PEDIDOS!$A:$A,0),3)</f>
        <v>CARAGUATATUBA</v>
      </c>
      <c r="E2408" s="3" t="str">
        <f>INDEX(PEDIDOS!$A:$D,MATCH(FORNECEDOR!A2408,PEDIDOS!$A:$A,0),4)</f>
        <v>CARAGUATATUBA</v>
      </c>
    </row>
    <row r="2409" spans="1:5" hidden="1" x14ac:dyDescent="0.25">
      <c r="A2409" s="1" t="s">
        <v>2408</v>
      </c>
      <c r="B2409" s="3">
        <f>COUNTIF(PEDIDOS!$A:$A,FORNECEDOR!A2409)</f>
        <v>0</v>
      </c>
      <c r="C2409" s="3" t="e">
        <f>INDEX(PEDIDOS!$A:$D,MATCH(FORNECEDOR!A2409,PEDIDOS!$A:$A,0),2)</f>
        <v>#N/A</v>
      </c>
      <c r="D2409" s="3" t="e">
        <f>INDEX(PEDIDOS!$A:$D,MATCH(FORNECEDOR!A2409,PEDIDOS!$A:$A,0),3)</f>
        <v>#N/A</v>
      </c>
      <c r="E2409" s="3" t="e">
        <f>INDEX(PEDIDOS!$A:$D,MATCH(FORNECEDOR!A2409,PEDIDOS!$A:$A,0),4)</f>
        <v>#N/A</v>
      </c>
    </row>
    <row r="2410" spans="1:5" x14ac:dyDescent="0.25">
      <c r="A2410" s="1" t="s">
        <v>2409</v>
      </c>
      <c r="B2410" s="3">
        <f>COUNTIF(PEDIDOS!$A:$A,FORNECEDOR!A2410)</f>
        <v>1</v>
      </c>
      <c r="C2410" s="3" t="str">
        <f>INDEX(PEDIDOS!$A:$D,MATCH(FORNECEDOR!A2410,PEDIDOS!$A:$A,0),2)</f>
        <v>SP - PARI</v>
      </c>
      <c r="D2410" s="3" t="str">
        <f>INDEX(PEDIDOS!$A:$D,MATCH(FORNECEDOR!A2410,PEDIDOS!$A:$A,0),3)</f>
        <v>SP - PARI</v>
      </c>
      <c r="E2410" s="3" t="str">
        <f>INDEX(PEDIDOS!$A:$D,MATCH(FORNECEDOR!A2410,PEDIDOS!$A:$A,0),4)</f>
        <v>SP - PARI</v>
      </c>
    </row>
    <row r="2411" spans="1:5" hidden="1" x14ac:dyDescent="0.25">
      <c r="A2411" s="1" t="s">
        <v>2410</v>
      </c>
      <c r="B2411" s="3">
        <f>COUNTIF(PEDIDOS!$A:$A,FORNECEDOR!A2411)</f>
        <v>0</v>
      </c>
      <c r="C2411" s="3" t="e">
        <f>INDEX(PEDIDOS!$A:$D,MATCH(FORNECEDOR!A2411,PEDIDOS!$A:$A,0),2)</f>
        <v>#N/A</v>
      </c>
      <c r="D2411" s="3" t="e">
        <f>INDEX(PEDIDOS!$A:$D,MATCH(FORNECEDOR!A2411,PEDIDOS!$A:$A,0),3)</f>
        <v>#N/A</v>
      </c>
      <c r="E2411" s="3" t="e">
        <f>INDEX(PEDIDOS!$A:$D,MATCH(FORNECEDOR!A2411,PEDIDOS!$A:$A,0),4)</f>
        <v>#N/A</v>
      </c>
    </row>
    <row r="2412" spans="1:5" hidden="1" x14ac:dyDescent="0.25">
      <c r="A2412" s="1" t="s">
        <v>2411</v>
      </c>
      <c r="B2412" s="3">
        <f>COUNTIF(PEDIDOS!$A:$A,FORNECEDOR!A2412)</f>
        <v>0</v>
      </c>
      <c r="C2412" s="3" t="e">
        <f>INDEX(PEDIDOS!$A:$D,MATCH(FORNECEDOR!A2412,PEDIDOS!$A:$A,0),2)</f>
        <v>#N/A</v>
      </c>
      <c r="D2412" s="3" t="e">
        <f>INDEX(PEDIDOS!$A:$D,MATCH(FORNECEDOR!A2412,PEDIDOS!$A:$A,0),3)</f>
        <v>#N/A</v>
      </c>
      <c r="E2412" s="3" t="e">
        <f>INDEX(PEDIDOS!$A:$D,MATCH(FORNECEDOR!A2412,PEDIDOS!$A:$A,0),4)</f>
        <v>#N/A</v>
      </c>
    </row>
    <row r="2413" spans="1:5" hidden="1" x14ac:dyDescent="0.25">
      <c r="A2413" s="1" t="s">
        <v>2412</v>
      </c>
      <c r="B2413" s="3">
        <f>COUNTIF(PEDIDOS!$A:$A,FORNECEDOR!A2413)</f>
        <v>0</v>
      </c>
      <c r="C2413" s="3" t="e">
        <f>INDEX(PEDIDOS!$A:$D,MATCH(FORNECEDOR!A2413,PEDIDOS!$A:$A,0),2)</f>
        <v>#N/A</v>
      </c>
      <c r="D2413" s="3" t="e">
        <f>INDEX(PEDIDOS!$A:$D,MATCH(FORNECEDOR!A2413,PEDIDOS!$A:$A,0),3)</f>
        <v>#N/A</v>
      </c>
      <c r="E2413" s="3" t="e">
        <f>INDEX(PEDIDOS!$A:$D,MATCH(FORNECEDOR!A2413,PEDIDOS!$A:$A,0),4)</f>
        <v>#N/A</v>
      </c>
    </row>
    <row r="2414" spans="1:5" x14ac:dyDescent="0.25">
      <c r="A2414" s="1" t="s">
        <v>2413</v>
      </c>
      <c r="B2414" s="3">
        <f>COUNTIF(PEDIDOS!$A:$A,FORNECEDOR!A2414)</f>
        <v>2</v>
      </c>
      <c r="C2414" s="3" t="str">
        <f>INDEX(PEDIDOS!$A:$D,MATCH(FORNECEDOR!A2414,PEDIDOS!$A:$A,0),2)</f>
        <v>CD REGIS</v>
      </c>
      <c r="D2414" s="3" t="str">
        <f>INDEX(PEDIDOS!$A:$D,MATCH(FORNECEDOR!A2414,PEDIDOS!$A:$A,0),3)</f>
        <v>MATRIZ</v>
      </c>
      <c r="E2414" s="3" t="str">
        <f>INDEX(PEDIDOS!$A:$D,MATCH(FORNECEDOR!A2414,PEDIDOS!$A:$A,0),4)</f>
        <v>CD REGIS</v>
      </c>
    </row>
    <row r="2415" spans="1:5" hidden="1" x14ac:dyDescent="0.25">
      <c r="A2415" s="1" t="s">
        <v>2414</v>
      </c>
      <c r="B2415" s="3">
        <f>COUNTIF(PEDIDOS!$A:$A,FORNECEDOR!A2415)</f>
        <v>0</v>
      </c>
      <c r="C2415" s="3" t="e">
        <f>INDEX(PEDIDOS!$A:$D,MATCH(FORNECEDOR!A2415,PEDIDOS!$A:$A,0),2)</f>
        <v>#N/A</v>
      </c>
      <c r="D2415" s="3" t="e">
        <f>INDEX(PEDIDOS!$A:$D,MATCH(FORNECEDOR!A2415,PEDIDOS!$A:$A,0),3)</f>
        <v>#N/A</v>
      </c>
      <c r="E2415" s="3" t="e">
        <f>INDEX(PEDIDOS!$A:$D,MATCH(FORNECEDOR!A2415,PEDIDOS!$A:$A,0),4)</f>
        <v>#N/A</v>
      </c>
    </row>
    <row r="2416" spans="1:5" hidden="1" x14ac:dyDescent="0.25">
      <c r="A2416" s="1" t="s">
        <v>2415</v>
      </c>
      <c r="B2416" s="3">
        <f>COUNTIF(PEDIDOS!$A:$A,FORNECEDOR!A2416)</f>
        <v>0</v>
      </c>
      <c r="C2416" s="3" t="e">
        <f>INDEX(PEDIDOS!$A:$D,MATCH(FORNECEDOR!A2416,PEDIDOS!$A:$A,0),2)</f>
        <v>#N/A</v>
      </c>
      <c r="D2416" s="3" t="e">
        <f>INDEX(PEDIDOS!$A:$D,MATCH(FORNECEDOR!A2416,PEDIDOS!$A:$A,0),3)</f>
        <v>#N/A</v>
      </c>
      <c r="E2416" s="3" t="e">
        <f>INDEX(PEDIDOS!$A:$D,MATCH(FORNECEDOR!A2416,PEDIDOS!$A:$A,0),4)</f>
        <v>#N/A</v>
      </c>
    </row>
    <row r="2417" spans="1:5" hidden="1" x14ac:dyDescent="0.25">
      <c r="A2417" s="1" t="s">
        <v>2416</v>
      </c>
      <c r="B2417" s="3">
        <f>COUNTIF(PEDIDOS!$A:$A,FORNECEDOR!A2417)</f>
        <v>0</v>
      </c>
      <c r="C2417" s="3" t="e">
        <f>INDEX(PEDIDOS!$A:$D,MATCH(FORNECEDOR!A2417,PEDIDOS!$A:$A,0),2)</f>
        <v>#N/A</v>
      </c>
      <c r="D2417" s="3" t="e">
        <f>INDEX(PEDIDOS!$A:$D,MATCH(FORNECEDOR!A2417,PEDIDOS!$A:$A,0),3)</f>
        <v>#N/A</v>
      </c>
      <c r="E2417" s="3" t="e">
        <f>INDEX(PEDIDOS!$A:$D,MATCH(FORNECEDOR!A2417,PEDIDOS!$A:$A,0),4)</f>
        <v>#N/A</v>
      </c>
    </row>
    <row r="2418" spans="1:5" hidden="1" x14ac:dyDescent="0.25">
      <c r="A2418" s="1" t="s">
        <v>2417</v>
      </c>
      <c r="B2418" s="3">
        <f>COUNTIF(PEDIDOS!$A:$A,FORNECEDOR!A2418)</f>
        <v>0</v>
      </c>
      <c r="C2418" s="3" t="e">
        <f>INDEX(PEDIDOS!$A:$D,MATCH(FORNECEDOR!A2418,PEDIDOS!$A:$A,0),2)</f>
        <v>#N/A</v>
      </c>
      <c r="D2418" s="3" t="e">
        <f>INDEX(PEDIDOS!$A:$D,MATCH(FORNECEDOR!A2418,PEDIDOS!$A:$A,0),3)</f>
        <v>#N/A</v>
      </c>
      <c r="E2418" s="3" t="e">
        <f>INDEX(PEDIDOS!$A:$D,MATCH(FORNECEDOR!A2418,PEDIDOS!$A:$A,0),4)</f>
        <v>#N/A</v>
      </c>
    </row>
    <row r="2419" spans="1:5" x14ac:dyDescent="0.25">
      <c r="A2419" s="1" t="s">
        <v>2418</v>
      </c>
      <c r="B2419" s="3">
        <f>COUNTIF(PEDIDOS!$A:$A,FORNECEDOR!A2419)</f>
        <v>2</v>
      </c>
      <c r="C2419" s="3" t="str">
        <f>INDEX(PEDIDOS!$A:$D,MATCH(FORNECEDOR!A2419,PEDIDOS!$A:$A,0),2)</f>
        <v>CD REGIS</v>
      </c>
      <c r="D2419" s="3" t="str">
        <f>INDEX(PEDIDOS!$A:$D,MATCH(FORNECEDOR!A2419,PEDIDOS!$A:$A,0),3)</f>
        <v>MATRIZ</v>
      </c>
      <c r="E2419" s="3" t="str">
        <f>INDEX(PEDIDOS!$A:$D,MATCH(FORNECEDOR!A2419,PEDIDOS!$A:$A,0),4)</f>
        <v>CD REGIS</v>
      </c>
    </row>
    <row r="2420" spans="1:5" hidden="1" x14ac:dyDescent="0.25">
      <c r="A2420" s="1" t="s">
        <v>2419</v>
      </c>
      <c r="B2420" s="3">
        <f>COUNTIF(PEDIDOS!$A:$A,FORNECEDOR!A2420)</f>
        <v>0</v>
      </c>
      <c r="C2420" s="3" t="e">
        <f>INDEX(PEDIDOS!$A:$D,MATCH(FORNECEDOR!A2420,PEDIDOS!$A:$A,0),2)</f>
        <v>#N/A</v>
      </c>
      <c r="D2420" s="3" t="e">
        <f>INDEX(PEDIDOS!$A:$D,MATCH(FORNECEDOR!A2420,PEDIDOS!$A:$A,0),3)</f>
        <v>#N/A</v>
      </c>
      <c r="E2420" s="3" t="e">
        <f>INDEX(PEDIDOS!$A:$D,MATCH(FORNECEDOR!A2420,PEDIDOS!$A:$A,0),4)</f>
        <v>#N/A</v>
      </c>
    </row>
    <row r="2421" spans="1:5" x14ac:dyDescent="0.25">
      <c r="A2421" s="1" t="s">
        <v>2420</v>
      </c>
      <c r="B2421" s="3">
        <f>COUNTIF(PEDIDOS!$A:$A,FORNECEDOR!A2421)</f>
        <v>2</v>
      </c>
      <c r="C2421" s="3" t="str">
        <f>INDEX(PEDIDOS!$A:$D,MATCH(FORNECEDOR!A2421,PEDIDOS!$A:$A,0),2)</f>
        <v>CD REGIS</v>
      </c>
      <c r="D2421" s="3" t="str">
        <f>INDEX(PEDIDOS!$A:$D,MATCH(FORNECEDOR!A2421,PEDIDOS!$A:$A,0),3)</f>
        <v>MATRIZ</v>
      </c>
      <c r="E2421" s="3" t="str">
        <f>INDEX(PEDIDOS!$A:$D,MATCH(FORNECEDOR!A2421,PEDIDOS!$A:$A,0),4)</f>
        <v>CD REGIS</v>
      </c>
    </row>
    <row r="2422" spans="1:5" x14ac:dyDescent="0.25">
      <c r="A2422" s="1" t="s">
        <v>2421</v>
      </c>
      <c r="B2422" s="3">
        <f>COUNTIF(PEDIDOS!$A:$A,FORNECEDOR!A2422)</f>
        <v>1</v>
      </c>
      <c r="C2422" s="3" t="str">
        <f>INDEX(PEDIDOS!$A:$D,MATCH(FORNECEDOR!A2422,PEDIDOS!$A:$A,0),2)</f>
        <v>CD REGIS</v>
      </c>
      <c r="D2422" s="3" t="str">
        <f>INDEX(PEDIDOS!$A:$D,MATCH(FORNECEDOR!A2422,PEDIDOS!$A:$A,0),3)</f>
        <v>TATUAPE</v>
      </c>
      <c r="E2422" s="3" t="str">
        <f>INDEX(PEDIDOS!$A:$D,MATCH(FORNECEDOR!A2422,PEDIDOS!$A:$A,0),4)</f>
        <v>CD REGIS</v>
      </c>
    </row>
    <row r="2423" spans="1:5" x14ac:dyDescent="0.25">
      <c r="A2423" s="1" t="s">
        <v>2422</v>
      </c>
      <c r="B2423" s="3">
        <f>COUNTIF(PEDIDOS!$A:$A,FORNECEDOR!A2423)</f>
        <v>1</v>
      </c>
      <c r="C2423" s="3" t="str">
        <f>INDEX(PEDIDOS!$A:$D,MATCH(FORNECEDOR!A2423,PEDIDOS!$A:$A,0),2)</f>
        <v>MATRIZ</v>
      </c>
      <c r="D2423" s="3" t="str">
        <f>INDEX(PEDIDOS!$A:$D,MATCH(FORNECEDOR!A2423,PEDIDOS!$A:$A,0),3)</f>
        <v>MATRIZ</v>
      </c>
      <c r="E2423" s="3" t="str">
        <f>INDEX(PEDIDOS!$A:$D,MATCH(FORNECEDOR!A2423,PEDIDOS!$A:$A,0),4)</f>
        <v>MATRIZ</v>
      </c>
    </row>
    <row r="2424" spans="1:5" x14ac:dyDescent="0.25">
      <c r="A2424" s="1" t="s">
        <v>2423</v>
      </c>
      <c r="B2424" s="3">
        <f>COUNTIF(PEDIDOS!$A:$A,FORNECEDOR!A2424)</f>
        <v>1</v>
      </c>
      <c r="C2424" s="3" t="str">
        <f>INDEX(PEDIDOS!$A:$D,MATCH(FORNECEDOR!A2424,PEDIDOS!$A:$A,0),2)</f>
        <v>CD NAVEGANTES</v>
      </c>
      <c r="D2424" s="3" t="str">
        <f>INDEX(PEDIDOS!$A:$D,MATCH(FORNECEDOR!A2424,PEDIDOS!$A:$A,0),3)</f>
        <v>MATRIZ</v>
      </c>
      <c r="E2424" s="3" t="str">
        <f>INDEX(PEDIDOS!$A:$D,MATCH(FORNECEDOR!A2424,PEDIDOS!$A:$A,0),4)</f>
        <v>CD NAVEGANTES</v>
      </c>
    </row>
    <row r="2425" spans="1:5" hidden="1" x14ac:dyDescent="0.25">
      <c r="A2425" s="1" t="s">
        <v>2424</v>
      </c>
      <c r="B2425" s="3">
        <f>COUNTIF(PEDIDOS!$A:$A,FORNECEDOR!A2425)</f>
        <v>0</v>
      </c>
      <c r="C2425" s="3" t="e">
        <f>INDEX(PEDIDOS!$A:$D,MATCH(FORNECEDOR!A2425,PEDIDOS!$A:$A,0),2)</f>
        <v>#N/A</v>
      </c>
      <c r="D2425" s="3" t="e">
        <f>INDEX(PEDIDOS!$A:$D,MATCH(FORNECEDOR!A2425,PEDIDOS!$A:$A,0),3)</f>
        <v>#N/A</v>
      </c>
      <c r="E2425" s="3" t="e">
        <f>INDEX(PEDIDOS!$A:$D,MATCH(FORNECEDOR!A2425,PEDIDOS!$A:$A,0),4)</f>
        <v>#N/A</v>
      </c>
    </row>
    <row r="2426" spans="1:5" hidden="1" x14ac:dyDescent="0.25">
      <c r="A2426" s="1" t="s">
        <v>2425</v>
      </c>
      <c r="B2426" s="3">
        <f>COUNTIF(PEDIDOS!$A:$A,FORNECEDOR!A2426)</f>
        <v>0</v>
      </c>
      <c r="C2426" s="3" t="e">
        <f>INDEX(PEDIDOS!$A:$D,MATCH(FORNECEDOR!A2426,PEDIDOS!$A:$A,0),2)</f>
        <v>#N/A</v>
      </c>
      <c r="D2426" s="3" t="e">
        <f>INDEX(PEDIDOS!$A:$D,MATCH(FORNECEDOR!A2426,PEDIDOS!$A:$A,0),3)</f>
        <v>#N/A</v>
      </c>
      <c r="E2426" s="3" t="e">
        <f>INDEX(PEDIDOS!$A:$D,MATCH(FORNECEDOR!A2426,PEDIDOS!$A:$A,0),4)</f>
        <v>#N/A</v>
      </c>
    </row>
    <row r="2427" spans="1:5" hidden="1" x14ac:dyDescent="0.25">
      <c r="A2427" s="1" t="s">
        <v>2426</v>
      </c>
      <c r="B2427" s="3">
        <f>COUNTIF(PEDIDOS!$A:$A,FORNECEDOR!A2427)</f>
        <v>0</v>
      </c>
      <c r="C2427" s="3" t="e">
        <f>INDEX(PEDIDOS!$A:$D,MATCH(FORNECEDOR!A2427,PEDIDOS!$A:$A,0),2)</f>
        <v>#N/A</v>
      </c>
      <c r="D2427" s="3" t="e">
        <f>INDEX(PEDIDOS!$A:$D,MATCH(FORNECEDOR!A2427,PEDIDOS!$A:$A,0),3)</f>
        <v>#N/A</v>
      </c>
      <c r="E2427" s="3" t="e">
        <f>INDEX(PEDIDOS!$A:$D,MATCH(FORNECEDOR!A2427,PEDIDOS!$A:$A,0),4)</f>
        <v>#N/A</v>
      </c>
    </row>
    <row r="2428" spans="1:5" x14ac:dyDescent="0.25">
      <c r="A2428" s="1" t="s">
        <v>2427</v>
      </c>
      <c r="B2428" s="3">
        <f>COUNTIF(PEDIDOS!$A:$A,FORNECEDOR!A2428)</f>
        <v>1</v>
      </c>
      <c r="C2428" s="3" t="str">
        <f>INDEX(PEDIDOS!$A:$D,MATCH(FORNECEDOR!A2428,PEDIDOS!$A:$A,0),2)</f>
        <v>CD REGIS</v>
      </c>
      <c r="D2428" s="3" t="str">
        <f>INDEX(PEDIDOS!$A:$D,MATCH(FORNECEDOR!A2428,PEDIDOS!$A:$A,0),3)</f>
        <v>CD REGIS</v>
      </c>
      <c r="E2428" s="3" t="str">
        <f>INDEX(PEDIDOS!$A:$D,MATCH(FORNECEDOR!A2428,PEDIDOS!$A:$A,0),4)</f>
        <v>CD REGIS</v>
      </c>
    </row>
    <row r="2429" spans="1:5" hidden="1" x14ac:dyDescent="0.25">
      <c r="A2429" s="1" t="s">
        <v>2428</v>
      </c>
      <c r="B2429" s="3">
        <f>COUNTIF(PEDIDOS!$A:$A,FORNECEDOR!A2429)</f>
        <v>0</v>
      </c>
      <c r="C2429" s="3" t="e">
        <f>INDEX(PEDIDOS!$A:$D,MATCH(FORNECEDOR!A2429,PEDIDOS!$A:$A,0),2)</f>
        <v>#N/A</v>
      </c>
      <c r="D2429" s="3" t="e">
        <f>INDEX(PEDIDOS!$A:$D,MATCH(FORNECEDOR!A2429,PEDIDOS!$A:$A,0),3)</f>
        <v>#N/A</v>
      </c>
      <c r="E2429" s="3" t="e">
        <f>INDEX(PEDIDOS!$A:$D,MATCH(FORNECEDOR!A2429,PEDIDOS!$A:$A,0),4)</f>
        <v>#N/A</v>
      </c>
    </row>
    <row r="2430" spans="1:5" hidden="1" x14ac:dyDescent="0.25">
      <c r="A2430" s="1" t="s">
        <v>2429</v>
      </c>
      <c r="B2430" s="3">
        <f>COUNTIF(PEDIDOS!$A:$A,FORNECEDOR!A2430)</f>
        <v>0</v>
      </c>
      <c r="C2430" s="3" t="e">
        <f>INDEX(PEDIDOS!$A:$D,MATCH(FORNECEDOR!A2430,PEDIDOS!$A:$A,0),2)</f>
        <v>#N/A</v>
      </c>
      <c r="D2430" s="3" t="e">
        <f>INDEX(PEDIDOS!$A:$D,MATCH(FORNECEDOR!A2430,PEDIDOS!$A:$A,0),3)</f>
        <v>#N/A</v>
      </c>
      <c r="E2430" s="3" t="e">
        <f>INDEX(PEDIDOS!$A:$D,MATCH(FORNECEDOR!A2430,PEDIDOS!$A:$A,0),4)</f>
        <v>#N/A</v>
      </c>
    </row>
    <row r="2431" spans="1:5" hidden="1" x14ac:dyDescent="0.25">
      <c r="A2431" s="1" t="s">
        <v>2430</v>
      </c>
      <c r="B2431" s="3">
        <f>COUNTIF(PEDIDOS!$A:$A,FORNECEDOR!A2431)</f>
        <v>0</v>
      </c>
      <c r="C2431" s="3" t="e">
        <f>INDEX(PEDIDOS!$A:$D,MATCH(FORNECEDOR!A2431,PEDIDOS!$A:$A,0),2)</f>
        <v>#N/A</v>
      </c>
      <c r="D2431" s="3" t="e">
        <f>INDEX(PEDIDOS!$A:$D,MATCH(FORNECEDOR!A2431,PEDIDOS!$A:$A,0),3)</f>
        <v>#N/A</v>
      </c>
      <c r="E2431" s="3" t="e">
        <f>INDEX(PEDIDOS!$A:$D,MATCH(FORNECEDOR!A2431,PEDIDOS!$A:$A,0),4)</f>
        <v>#N/A</v>
      </c>
    </row>
    <row r="2432" spans="1:5" hidden="1" x14ac:dyDescent="0.25">
      <c r="A2432" s="1" t="s">
        <v>2431</v>
      </c>
      <c r="B2432" s="3">
        <f>COUNTIF(PEDIDOS!$A:$A,FORNECEDOR!A2432)</f>
        <v>0</v>
      </c>
      <c r="C2432" s="3" t="e">
        <f>INDEX(PEDIDOS!$A:$D,MATCH(FORNECEDOR!A2432,PEDIDOS!$A:$A,0),2)</f>
        <v>#N/A</v>
      </c>
      <c r="D2432" s="3" t="e">
        <f>INDEX(PEDIDOS!$A:$D,MATCH(FORNECEDOR!A2432,PEDIDOS!$A:$A,0),3)</f>
        <v>#N/A</v>
      </c>
      <c r="E2432" s="3" t="e">
        <f>INDEX(PEDIDOS!$A:$D,MATCH(FORNECEDOR!A2432,PEDIDOS!$A:$A,0),4)</f>
        <v>#N/A</v>
      </c>
    </row>
    <row r="2433" spans="1:5" hidden="1" x14ac:dyDescent="0.25">
      <c r="A2433" s="1" t="s">
        <v>2432</v>
      </c>
      <c r="B2433" s="3">
        <f>COUNTIF(PEDIDOS!$A:$A,FORNECEDOR!A2433)</f>
        <v>0</v>
      </c>
      <c r="C2433" s="3" t="e">
        <f>INDEX(PEDIDOS!$A:$D,MATCH(FORNECEDOR!A2433,PEDIDOS!$A:$A,0),2)</f>
        <v>#N/A</v>
      </c>
      <c r="D2433" s="3" t="e">
        <f>INDEX(PEDIDOS!$A:$D,MATCH(FORNECEDOR!A2433,PEDIDOS!$A:$A,0),3)</f>
        <v>#N/A</v>
      </c>
      <c r="E2433" s="3" t="e">
        <f>INDEX(PEDIDOS!$A:$D,MATCH(FORNECEDOR!A2433,PEDIDOS!$A:$A,0),4)</f>
        <v>#N/A</v>
      </c>
    </row>
    <row r="2434" spans="1:5" x14ac:dyDescent="0.25">
      <c r="A2434" s="1" t="s">
        <v>2433</v>
      </c>
      <c r="B2434" s="3">
        <f>COUNTIF(PEDIDOS!$A:$A,FORNECEDOR!A2434)</f>
        <v>1</v>
      </c>
      <c r="C2434" s="3" t="str">
        <f>INDEX(PEDIDOS!$A:$D,MATCH(FORNECEDOR!A2434,PEDIDOS!$A:$A,0),2)</f>
        <v>MATRIZ</v>
      </c>
      <c r="D2434" s="3" t="str">
        <f>INDEX(PEDIDOS!$A:$D,MATCH(FORNECEDOR!A2434,PEDIDOS!$A:$A,0),3)</f>
        <v>MATRIZ</v>
      </c>
      <c r="E2434" s="3" t="str">
        <f>INDEX(PEDIDOS!$A:$D,MATCH(FORNECEDOR!A2434,PEDIDOS!$A:$A,0),4)</f>
        <v>MATRIZ</v>
      </c>
    </row>
    <row r="2435" spans="1:5" hidden="1" x14ac:dyDescent="0.25">
      <c r="A2435" s="1" t="s">
        <v>2434</v>
      </c>
      <c r="B2435" s="3">
        <f>COUNTIF(PEDIDOS!$A:$A,FORNECEDOR!A2435)</f>
        <v>0</v>
      </c>
      <c r="C2435" s="3" t="e">
        <f>INDEX(PEDIDOS!$A:$D,MATCH(FORNECEDOR!A2435,PEDIDOS!$A:$A,0),2)</f>
        <v>#N/A</v>
      </c>
      <c r="D2435" s="3" t="e">
        <f>INDEX(PEDIDOS!$A:$D,MATCH(FORNECEDOR!A2435,PEDIDOS!$A:$A,0),3)</f>
        <v>#N/A</v>
      </c>
      <c r="E2435" s="3" t="e">
        <f>INDEX(PEDIDOS!$A:$D,MATCH(FORNECEDOR!A2435,PEDIDOS!$A:$A,0),4)</f>
        <v>#N/A</v>
      </c>
    </row>
    <row r="2436" spans="1:5" hidden="1" x14ac:dyDescent="0.25">
      <c r="A2436" s="1" t="s">
        <v>2435</v>
      </c>
      <c r="B2436" s="3">
        <f>COUNTIF(PEDIDOS!$A:$A,FORNECEDOR!A2436)</f>
        <v>0</v>
      </c>
      <c r="C2436" s="3" t="e">
        <f>INDEX(PEDIDOS!$A:$D,MATCH(FORNECEDOR!A2436,PEDIDOS!$A:$A,0),2)</f>
        <v>#N/A</v>
      </c>
      <c r="D2436" s="3" t="e">
        <f>INDEX(PEDIDOS!$A:$D,MATCH(FORNECEDOR!A2436,PEDIDOS!$A:$A,0),3)</f>
        <v>#N/A</v>
      </c>
      <c r="E2436" s="3" t="e">
        <f>INDEX(PEDIDOS!$A:$D,MATCH(FORNECEDOR!A2436,PEDIDOS!$A:$A,0),4)</f>
        <v>#N/A</v>
      </c>
    </row>
    <row r="2437" spans="1:5" hidden="1" x14ac:dyDescent="0.25">
      <c r="A2437" s="1" t="s">
        <v>2436</v>
      </c>
      <c r="B2437" s="3">
        <f>COUNTIF(PEDIDOS!$A:$A,FORNECEDOR!A2437)</f>
        <v>0</v>
      </c>
      <c r="C2437" s="3" t="e">
        <f>INDEX(PEDIDOS!$A:$D,MATCH(FORNECEDOR!A2437,PEDIDOS!$A:$A,0),2)</f>
        <v>#N/A</v>
      </c>
      <c r="D2437" s="3" t="e">
        <f>INDEX(PEDIDOS!$A:$D,MATCH(FORNECEDOR!A2437,PEDIDOS!$A:$A,0),3)</f>
        <v>#N/A</v>
      </c>
      <c r="E2437" s="3" t="e">
        <f>INDEX(PEDIDOS!$A:$D,MATCH(FORNECEDOR!A2437,PEDIDOS!$A:$A,0),4)</f>
        <v>#N/A</v>
      </c>
    </row>
    <row r="2438" spans="1:5" x14ac:dyDescent="0.25">
      <c r="A2438" s="1" t="s">
        <v>2437</v>
      </c>
      <c r="B2438" s="3">
        <f>COUNTIF(PEDIDOS!$A:$A,FORNECEDOR!A2438)</f>
        <v>1</v>
      </c>
      <c r="C2438" s="3" t="str">
        <f>INDEX(PEDIDOS!$A:$D,MATCH(FORNECEDOR!A2438,PEDIDOS!$A:$A,0),2)</f>
        <v>AVANTI- ADM C.CREDITO</v>
      </c>
      <c r="D2438" s="3" t="str">
        <f>INDEX(PEDIDOS!$A:$D,MATCH(FORNECEDOR!A2438,PEDIDOS!$A:$A,0),3)</f>
        <v>AVANTI- ADM C.CREDITO</v>
      </c>
      <c r="E2438" s="3" t="str">
        <f>INDEX(PEDIDOS!$A:$D,MATCH(FORNECEDOR!A2438,PEDIDOS!$A:$A,0),4)</f>
        <v>AVANTI- ADM C.CREDITO</v>
      </c>
    </row>
    <row r="2439" spans="1:5" hidden="1" x14ac:dyDescent="0.25">
      <c r="A2439" s="1" t="s">
        <v>2438</v>
      </c>
      <c r="B2439" s="3">
        <f>COUNTIF(PEDIDOS!$A:$A,FORNECEDOR!A2439)</f>
        <v>0</v>
      </c>
      <c r="C2439" s="3" t="e">
        <f>INDEX(PEDIDOS!$A:$D,MATCH(FORNECEDOR!A2439,PEDIDOS!$A:$A,0),2)</f>
        <v>#N/A</v>
      </c>
      <c r="D2439" s="3" t="e">
        <f>INDEX(PEDIDOS!$A:$D,MATCH(FORNECEDOR!A2439,PEDIDOS!$A:$A,0),3)</f>
        <v>#N/A</v>
      </c>
      <c r="E2439" s="3" t="e">
        <f>INDEX(PEDIDOS!$A:$D,MATCH(FORNECEDOR!A2439,PEDIDOS!$A:$A,0),4)</f>
        <v>#N/A</v>
      </c>
    </row>
    <row r="2440" spans="1:5" hidden="1" x14ac:dyDescent="0.25">
      <c r="A2440" s="1" t="s">
        <v>2439</v>
      </c>
      <c r="B2440" s="3">
        <f>COUNTIF(PEDIDOS!$A:$A,FORNECEDOR!A2440)</f>
        <v>0</v>
      </c>
      <c r="C2440" s="3" t="e">
        <f>INDEX(PEDIDOS!$A:$D,MATCH(FORNECEDOR!A2440,PEDIDOS!$A:$A,0),2)</f>
        <v>#N/A</v>
      </c>
      <c r="D2440" s="3" t="e">
        <f>INDEX(PEDIDOS!$A:$D,MATCH(FORNECEDOR!A2440,PEDIDOS!$A:$A,0),3)</f>
        <v>#N/A</v>
      </c>
      <c r="E2440" s="3" t="e">
        <f>INDEX(PEDIDOS!$A:$D,MATCH(FORNECEDOR!A2440,PEDIDOS!$A:$A,0),4)</f>
        <v>#N/A</v>
      </c>
    </row>
    <row r="2441" spans="1:5" hidden="1" x14ac:dyDescent="0.25">
      <c r="A2441" s="1" t="s">
        <v>2440</v>
      </c>
      <c r="B2441" s="3">
        <f>COUNTIF(PEDIDOS!$A:$A,FORNECEDOR!A2441)</f>
        <v>0</v>
      </c>
      <c r="C2441" s="3" t="e">
        <f>INDEX(PEDIDOS!$A:$D,MATCH(FORNECEDOR!A2441,PEDIDOS!$A:$A,0),2)</f>
        <v>#N/A</v>
      </c>
      <c r="D2441" s="3" t="e">
        <f>INDEX(PEDIDOS!$A:$D,MATCH(FORNECEDOR!A2441,PEDIDOS!$A:$A,0),3)</f>
        <v>#N/A</v>
      </c>
      <c r="E2441" s="3" t="e">
        <f>INDEX(PEDIDOS!$A:$D,MATCH(FORNECEDOR!A2441,PEDIDOS!$A:$A,0),4)</f>
        <v>#N/A</v>
      </c>
    </row>
    <row r="2442" spans="1:5" hidden="1" x14ac:dyDescent="0.25">
      <c r="A2442" s="1" t="s">
        <v>2441</v>
      </c>
      <c r="B2442" s="3">
        <f>COUNTIF(PEDIDOS!$A:$A,FORNECEDOR!A2442)</f>
        <v>0</v>
      </c>
      <c r="C2442" s="3" t="e">
        <f>INDEX(PEDIDOS!$A:$D,MATCH(FORNECEDOR!A2442,PEDIDOS!$A:$A,0),2)</f>
        <v>#N/A</v>
      </c>
      <c r="D2442" s="3" t="e">
        <f>INDEX(PEDIDOS!$A:$D,MATCH(FORNECEDOR!A2442,PEDIDOS!$A:$A,0),3)</f>
        <v>#N/A</v>
      </c>
      <c r="E2442" s="3" t="e">
        <f>INDEX(PEDIDOS!$A:$D,MATCH(FORNECEDOR!A2442,PEDIDOS!$A:$A,0),4)</f>
        <v>#N/A</v>
      </c>
    </row>
    <row r="2443" spans="1:5" hidden="1" x14ac:dyDescent="0.25">
      <c r="A2443" s="1" t="s">
        <v>2442</v>
      </c>
      <c r="B2443" s="3">
        <f>COUNTIF(PEDIDOS!$A:$A,FORNECEDOR!A2443)</f>
        <v>0</v>
      </c>
      <c r="C2443" s="3" t="e">
        <f>INDEX(PEDIDOS!$A:$D,MATCH(FORNECEDOR!A2443,PEDIDOS!$A:$A,0),2)</f>
        <v>#N/A</v>
      </c>
      <c r="D2443" s="3" t="e">
        <f>INDEX(PEDIDOS!$A:$D,MATCH(FORNECEDOR!A2443,PEDIDOS!$A:$A,0),3)</f>
        <v>#N/A</v>
      </c>
      <c r="E2443" s="3" t="e">
        <f>INDEX(PEDIDOS!$A:$D,MATCH(FORNECEDOR!A2443,PEDIDOS!$A:$A,0),4)</f>
        <v>#N/A</v>
      </c>
    </row>
    <row r="2444" spans="1:5" hidden="1" x14ac:dyDescent="0.25">
      <c r="A2444" s="1" t="s">
        <v>2443</v>
      </c>
      <c r="B2444" s="3">
        <f>COUNTIF(PEDIDOS!$A:$A,FORNECEDOR!A2444)</f>
        <v>0</v>
      </c>
      <c r="C2444" s="3" t="e">
        <f>INDEX(PEDIDOS!$A:$D,MATCH(FORNECEDOR!A2444,PEDIDOS!$A:$A,0),2)</f>
        <v>#N/A</v>
      </c>
      <c r="D2444" s="3" t="e">
        <f>INDEX(PEDIDOS!$A:$D,MATCH(FORNECEDOR!A2444,PEDIDOS!$A:$A,0),3)</f>
        <v>#N/A</v>
      </c>
      <c r="E2444" s="3" t="e">
        <f>INDEX(PEDIDOS!$A:$D,MATCH(FORNECEDOR!A2444,PEDIDOS!$A:$A,0),4)</f>
        <v>#N/A</v>
      </c>
    </row>
    <row r="2445" spans="1:5" hidden="1" x14ac:dyDescent="0.25">
      <c r="A2445" s="1" t="s">
        <v>2444</v>
      </c>
      <c r="B2445" s="3">
        <f>COUNTIF(PEDIDOS!$A:$A,FORNECEDOR!A2445)</f>
        <v>0</v>
      </c>
      <c r="C2445" s="3" t="e">
        <f>INDEX(PEDIDOS!$A:$D,MATCH(FORNECEDOR!A2445,PEDIDOS!$A:$A,0),2)</f>
        <v>#N/A</v>
      </c>
      <c r="D2445" s="3" t="e">
        <f>INDEX(PEDIDOS!$A:$D,MATCH(FORNECEDOR!A2445,PEDIDOS!$A:$A,0),3)</f>
        <v>#N/A</v>
      </c>
      <c r="E2445" s="3" t="e">
        <f>INDEX(PEDIDOS!$A:$D,MATCH(FORNECEDOR!A2445,PEDIDOS!$A:$A,0),4)</f>
        <v>#N/A</v>
      </c>
    </row>
    <row r="2446" spans="1:5" x14ac:dyDescent="0.25">
      <c r="A2446" s="1" t="s">
        <v>2445</v>
      </c>
      <c r="B2446" s="3">
        <f>COUNTIF(PEDIDOS!$A:$A,FORNECEDOR!A2446)</f>
        <v>1</v>
      </c>
      <c r="C2446" s="3" t="str">
        <f>INDEX(PEDIDOS!$A:$D,MATCH(FORNECEDOR!A2446,PEDIDOS!$A:$A,0),2)</f>
        <v>CD REGIS</v>
      </c>
      <c r="D2446" s="3" t="str">
        <f>INDEX(PEDIDOS!$A:$D,MATCH(FORNECEDOR!A2446,PEDIDOS!$A:$A,0),3)</f>
        <v>MATRIZ</v>
      </c>
      <c r="E2446" s="3" t="str">
        <f>INDEX(PEDIDOS!$A:$D,MATCH(FORNECEDOR!A2446,PEDIDOS!$A:$A,0),4)</f>
        <v>CD REGIS</v>
      </c>
    </row>
    <row r="2447" spans="1:5" x14ac:dyDescent="0.25">
      <c r="A2447" s="1" t="s">
        <v>2446</v>
      </c>
      <c r="B2447" s="3">
        <f>COUNTIF(PEDIDOS!$A:$A,FORNECEDOR!A2447)</f>
        <v>1</v>
      </c>
      <c r="C2447" s="3" t="str">
        <f>INDEX(PEDIDOS!$A:$D,MATCH(FORNECEDOR!A2447,PEDIDOS!$A:$A,0),2)</f>
        <v>AVANTI- ADM C.CREDITO</v>
      </c>
      <c r="D2447" s="3" t="str">
        <f>INDEX(PEDIDOS!$A:$D,MATCH(FORNECEDOR!A2447,PEDIDOS!$A:$A,0),3)</f>
        <v>AVANTI- ADM C.CREDITO</v>
      </c>
      <c r="E2447" s="3" t="str">
        <f>INDEX(PEDIDOS!$A:$D,MATCH(FORNECEDOR!A2447,PEDIDOS!$A:$A,0),4)</f>
        <v>AVANTI- ADM C.CREDITO</v>
      </c>
    </row>
    <row r="2448" spans="1:5" x14ac:dyDescent="0.25">
      <c r="A2448" s="1" t="s">
        <v>2447</v>
      </c>
      <c r="B2448" s="3">
        <f>COUNTIF(PEDIDOS!$A:$A,FORNECEDOR!A2448)</f>
        <v>1</v>
      </c>
      <c r="C2448" s="3" t="str">
        <f>INDEX(PEDIDOS!$A:$D,MATCH(FORNECEDOR!A2448,PEDIDOS!$A:$A,0),2)</f>
        <v>SP - PARI</v>
      </c>
      <c r="D2448" s="3" t="str">
        <f>INDEX(PEDIDOS!$A:$D,MATCH(FORNECEDOR!A2448,PEDIDOS!$A:$A,0),3)</f>
        <v>SP - PARI</v>
      </c>
      <c r="E2448" s="3" t="str">
        <f>INDEX(PEDIDOS!$A:$D,MATCH(FORNECEDOR!A2448,PEDIDOS!$A:$A,0),4)</f>
        <v>SP - PARI</v>
      </c>
    </row>
    <row r="2449" spans="1:5" hidden="1" x14ac:dyDescent="0.25">
      <c r="A2449" s="1" t="s">
        <v>2448</v>
      </c>
      <c r="B2449" s="3">
        <f>COUNTIF(PEDIDOS!$A:$A,FORNECEDOR!A2449)</f>
        <v>0</v>
      </c>
      <c r="C2449" s="3" t="e">
        <f>INDEX(PEDIDOS!$A:$D,MATCH(FORNECEDOR!A2449,PEDIDOS!$A:$A,0),2)</f>
        <v>#N/A</v>
      </c>
      <c r="D2449" s="3" t="e">
        <f>INDEX(PEDIDOS!$A:$D,MATCH(FORNECEDOR!A2449,PEDIDOS!$A:$A,0),3)</f>
        <v>#N/A</v>
      </c>
      <c r="E2449" s="3" t="e">
        <f>INDEX(PEDIDOS!$A:$D,MATCH(FORNECEDOR!A2449,PEDIDOS!$A:$A,0),4)</f>
        <v>#N/A</v>
      </c>
    </row>
    <row r="2450" spans="1:5" hidden="1" x14ac:dyDescent="0.25">
      <c r="A2450" s="1" t="s">
        <v>2449</v>
      </c>
      <c r="B2450" s="3">
        <f>COUNTIF(PEDIDOS!$A:$A,FORNECEDOR!A2450)</f>
        <v>0</v>
      </c>
      <c r="C2450" s="3" t="e">
        <f>INDEX(PEDIDOS!$A:$D,MATCH(FORNECEDOR!A2450,PEDIDOS!$A:$A,0),2)</f>
        <v>#N/A</v>
      </c>
      <c r="D2450" s="3" t="e">
        <f>INDEX(PEDIDOS!$A:$D,MATCH(FORNECEDOR!A2450,PEDIDOS!$A:$A,0),3)</f>
        <v>#N/A</v>
      </c>
      <c r="E2450" s="3" t="e">
        <f>INDEX(PEDIDOS!$A:$D,MATCH(FORNECEDOR!A2450,PEDIDOS!$A:$A,0),4)</f>
        <v>#N/A</v>
      </c>
    </row>
    <row r="2451" spans="1:5" x14ac:dyDescent="0.25">
      <c r="A2451" s="1" t="s">
        <v>2450</v>
      </c>
      <c r="B2451" s="3">
        <f>COUNTIF(PEDIDOS!$A:$A,FORNECEDOR!A2451)</f>
        <v>1</v>
      </c>
      <c r="C2451" s="3" t="str">
        <f>INDEX(PEDIDOS!$A:$D,MATCH(FORNECEDOR!A2451,PEDIDOS!$A:$A,0),2)</f>
        <v>SP - PARI</v>
      </c>
      <c r="D2451" s="3" t="str">
        <f>INDEX(PEDIDOS!$A:$D,MATCH(FORNECEDOR!A2451,PEDIDOS!$A:$A,0),3)</f>
        <v>SP - PARI</v>
      </c>
      <c r="E2451" s="3" t="str">
        <f>INDEX(PEDIDOS!$A:$D,MATCH(FORNECEDOR!A2451,PEDIDOS!$A:$A,0),4)</f>
        <v>SP - PARI</v>
      </c>
    </row>
    <row r="2452" spans="1:5" hidden="1" x14ac:dyDescent="0.25">
      <c r="A2452" s="1" t="s">
        <v>2451</v>
      </c>
      <c r="B2452" s="3">
        <f>COUNTIF(PEDIDOS!$A:$A,FORNECEDOR!A2452)</f>
        <v>0</v>
      </c>
      <c r="C2452" s="3" t="e">
        <f>INDEX(PEDIDOS!$A:$D,MATCH(FORNECEDOR!A2452,PEDIDOS!$A:$A,0),2)</f>
        <v>#N/A</v>
      </c>
      <c r="D2452" s="3" t="e">
        <f>INDEX(PEDIDOS!$A:$D,MATCH(FORNECEDOR!A2452,PEDIDOS!$A:$A,0),3)</f>
        <v>#N/A</v>
      </c>
      <c r="E2452" s="3" t="e">
        <f>INDEX(PEDIDOS!$A:$D,MATCH(FORNECEDOR!A2452,PEDIDOS!$A:$A,0),4)</f>
        <v>#N/A</v>
      </c>
    </row>
    <row r="2453" spans="1:5" x14ac:dyDescent="0.25">
      <c r="A2453" s="1" t="s">
        <v>2452</v>
      </c>
      <c r="B2453" s="3">
        <f>COUNTIF(PEDIDOS!$A:$A,FORNECEDOR!A2453)</f>
        <v>2</v>
      </c>
      <c r="C2453" s="3" t="str">
        <f>INDEX(PEDIDOS!$A:$D,MATCH(FORNECEDOR!A2453,PEDIDOS!$A:$A,0),2)</f>
        <v>CD REGIS</v>
      </c>
      <c r="D2453" s="3" t="str">
        <f>INDEX(PEDIDOS!$A:$D,MATCH(FORNECEDOR!A2453,PEDIDOS!$A:$A,0),3)</f>
        <v>MATRIZ</v>
      </c>
      <c r="E2453" s="3" t="str">
        <f>INDEX(PEDIDOS!$A:$D,MATCH(FORNECEDOR!A2453,PEDIDOS!$A:$A,0),4)</f>
        <v>CD REGIS</v>
      </c>
    </row>
    <row r="2454" spans="1:5" hidden="1" x14ac:dyDescent="0.25">
      <c r="A2454" s="1" t="s">
        <v>2453</v>
      </c>
      <c r="B2454" s="3">
        <f>COUNTIF(PEDIDOS!$A:$A,FORNECEDOR!A2454)</f>
        <v>0</v>
      </c>
      <c r="C2454" s="3" t="e">
        <f>INDEX(PEDIDOS!$A:$D,MATCH(FORNECEDOR!A2454,PEDIDOS!$A:$A,0),2)</f>
        <v>#N/A</v>
      </c>
      <c r="D2454" s="3" t="e">
        <f>INDEX(PEDIDOS!$A:$D,MATCH(FORNECEDOR!A2454,PEDIDOS!$A:$A,0),3)</f>
        <v>#N/A</v>
      </c>
      <c r="E2454" s="3" t="e">
        <f>INDEX(PEDIDOS!$A:$D,MATCH(FORNECEDOR!A2454,PEDIDOS!$A:$A,0),4)</f>
        <v>#N/A</v>
      </c>
    </row>
    <row r="2455" spans="1:5" hidden="1" x14ac:dyDescent="0.25">
      <c r="A2455" s="1" t="s">
        <v>2454</v>
      </c>
      <c r="B2455" s="3">
        <f>COUNTIF(PEDIDOS!$A:$A,FORNECEDOR!A2455)</f>
        <v>0</v>
      </c>
      <c r="C2455" s="3" t="e">
        <f>INDEX(PEDIDOS!$A:$D,MATCH(FORNECEDOR!A2455,PEDIDOS!$A:$A,0),2)</f>
        <v>#N/A</v>
      </c>
      <c r="D2455" s="3" t="e">
        <f>INDEX(PEDIDOS!$A:$D,MATCH(FORNECEDOR!A2455,PEDIDOS!$A:$A,0),3)</f>
        <v>#N/A</v>
      </c>
      <c r="E2455" s="3" t="e">
        <f>INDEX(PEDIDOS!$A:$D,MATCH(FORNECEDOR!A2455,PEDIDOS!$A:$A,0),4)</f>
        <v>#N/A</v>
      </c>
    </row>
    <row r="2456" spans="1:5" x14ac:dyDescent="0.25">
      <c r="A2456" s="1" t="s">
        <v>2455</v>
      </c>
      <c r="B2456" s="3">
        <f>COUNTIF(PEDIDOS!$A:$A,FORNECEDOR!A2456)</f>
        <v>2</v>
      </c>
      <c r="C2456" s="3" t="str">
        <f>INDEX(PEDIDOS!$A:$D,MATCH(FORNECEDOR!A2456,PEDIDOS!$A:$A,0),2)</f>
        <v>PIRASSUNUNGA</v>
      </c>
      <c r="D2456" s="3" t="str">
        <f>INDEX(PEDIDOS!$A:$D,MATCH(FORNECEDOR!A2456,PEDIDOS!$A:$A,0),3)</f>
        <v>PIRASSUNUNGA</v>
      </c>
      <c r="E2456" s="3" t="str">
        <f>INDEX(PEDIDOS!$A:$D,MATCH(FORNECEDOR!A2456,PEDIDOS!$A:$A,0),4)</f>
        <v>PIRASSUNUNGA</v>
      </c>
    </row>
    <row r="2457" spans="1:5" hidden="1" x14ac:dyDescent="0.25">
      <c r="A2457" s="1" t="s">
        <v>2456</v>
      </c>
      <c r="B2457" s="3">
        <f>COUNTIF(PEDIDOS!$A:$A,FORNECEDOR!A2457)</f>
        <v>0</v>
      </c>
      <c r="C2457" s="3" t="e">
        <f>INDEX(PEDIDOS!$A:$D,MATCH(FORNECEDOR!A2457,PEDIDOS!$A:$A,0),2)</f>
        <v>#N/A</v>
      </c>
      <c r="D2457" s="3" t="e">
        <f>INDEX(PEDIDOS!$A:$D,MATCH(FORNECEDOR!A2457,PEDIDOS!$A:$A,0),3)</f>
        <v>#N/A</v>
      </c>
      <c r="E2457" s="3" t="e">
        <f>INDEX(PEDIDOS!$A:$D,MATCH(FORNECEDOR!A2457,PEDIDOS!$A:$A,0),4)</f>
        <v>#N/A</v>
      </c>
    </row>
    <row r="2458" spans="1:5" hidden="1" x14ac:dyDescent="0.25">
      <c r="A2458" s="1" t="s">
        <v>2457</v>
      </c>
      <c r="B2458" s="3">
        <f>COUNTIF(PEDIDOS!$A:$A,FORNECEDOR!A2458)</f>
        <v>0</v>
      </c>
      <c r="C2458" s="3" t="e">
        <f>INDEX(PEDIDOS!$A:$D,MATCH(FORNECEDOR!A2458,PEDIDOS!$A:$A,0),2)</f>
        <v>#N/A</v>
      </c>
      <c r="D2458" s="3" t="e">
        <f>INDEX(PEDIDOS!$A:$D,MATCH(FORNECEDOR!A2458,PEDIDOS!$A:$A,0),3)</f>
        <v>#N/A</v>
      </c>
      <c r="E2458" s="3" t="e">
        <f>INDEX(PEDIDOS!$A:$D,MATCH(FORNECEDOR!A2458,PEDIDOS!$A:$A,0),4)</f>
        <v>#N/A</v>
      </c>
    </row>
    <row r="2459" spans="1:5" x14ac:dyDescent="0.25">
      <c r="A2459" s="1" t="s">
        <v>2458</v>
      </c>
      <c r="B2459" s="3">
        <f>COUNTIF(PEDIDOS!$A:$A,FORNECEDOR!A2459)</f>
        <v>2</v>
      </c>
      <c r="C2459" s="3" t="str">
        <f>INDEX(PEDIDOS!$A:$D,MATCH(FORNECEDOR!A2459,PEDIDOS!$A:$A,0),2)</f>
        <v>CD NAVEGANTES</v>
      </c>
      <c r="D2459" s="3" t="str">
        <f>INDEX(PEDIDOS!$A:$D,MATCH(FORNECEDOR!A2459,PEDIDOS!$A:$A,0),3)</f>
        <v>MATRIZ</v>
      </c>
      <c r="E2459" s="3" t="str">
        <f>INDEX(PEDIDOS!$A:$D,MATCH(FORNECEDOR!A2459,PEDIDOS!$A:$A,0),4)</f>
        <v>CD NAVEGANTES</v>
      </c>
    </row>
    <row r="2460" spans="1:5" hidden="1" x14ac:dyDescent="0.25">
      <c r="A2460" s="1" t="s">
        <v>2459</v>
      </c>
      <c r="B2460" s="3">
        <f>COUNTIF(PEDIDOS!$A:$A,FORNECEDOR!A2460)</f>
        <v>0</v>
      </c>
      <c r="C2460" s="3" t="e">
        <f>INDEX(PEDIDOS!$A:$D,MATCH(FORNECEDOR!A2460,PEDIDOS!$A:$A,0),2)</f>
        <v>#N/A</v>
      </c>
      <c r="D2460" s="3" t="e">
        <f>INDEX(PEDIDOS!$A:$D,MATCH(FORNECEDOR!A2460,PEDIDOS!$A:$A,0),3)</f>
        <v>#N/A</v>
      </c>
      <c r="E2460" s="3" t="e">
        <f>INDEX(PEDIDOS!$A:$D,MATCH(FORNECEDOR!A2460,PEDIDOS!$A:$A,0),4)</f>
        <v>#N/A</v>
      </c>
    </row>
    <row r="2461" spans="1:5" x14ac:dyDescent="0.25">
      <c r="A2461" s="1" t="s">
        <v>2460</v>
      </c>
      <c r="B2461" s="3">
        <f>COUNTIF(PEDIDOS!$A:$A,FORNECEDOR!A2461)</f>
        <v>2</v>
      </c>
      <c r="C2461" s="3" t="str">
        <f>INDEX(PEDIDOS!$A:$D,MATCH(FORNECEDOR!A2461,PEDIDOS!$A:$A,0),2)</f>
        <v>CD REGIS</v>
      </c>
      <c r="D2461" s="3" t="str">
        <f>INDEX(PEDIDOS!$A:$D,MATCH(FORNECEDOR!A2461,PEDIDOS!$A:$A,0),3)</f>
        <v>MATRIZ</v>
      </c>
      <c r="E2461" s="3" t="str">
        <f>INDEX(PEDIDOS!$A:$D,MATCH(FORNECEDOR!A2461,PEDIDOS!$A:$A,0),4)</f>
        <v>CD REGIS</v>
      </c>
    </row>
    <row r="2462" spans="1:5" hidden="1" x14ac:dyDescent="0.25">
      <c r="A2462" s="1" t="s">
        <v>2461</v>
      </c>
      <c r="B2462" s="3">
        <f>COUNTIF(PEDIDOS!$A:$A,FORNECEDOR!A2462)</f>
        <v>0</v>
      </c>
      <c r="C2462" s="3" t="e">
        <f>INDEX(PEDIDOS!$A:$D,MATCH(FORNECEDOR!A2462,PEDIDOS!$A:$A,0),2)</f>
        <v>#N/A</v>
      </c>
      <c r="D2462" s="3" t="e">
        <f>INDEX(PEDIDOS!$A:$D,MATCH(FORNECEDOR!A2462,PEDIDOS!$A:$A,0),3)</f>
        <v>#N/A</v>
      </c>
      <c r="E2462" s="3" t="e">
        <f>INDEX(PEDIDOS!$A:$D,MATCH(FORNECEDOR!A2462,PEDIDOS!$A:$A,0),4)</f>
        <v>#N/A</v>
      </c>
    </row>
    <row r="2463" spans="1:5" hidden="1" x14ac:dyDescent="0.25">
      <c r="A2463" s="1" t="s">
        <v>2462</v>
      </c>
      <c r="B2463" s="3">
        <f>COUNTIF(PEDIDOS!$A:$A,FORNECEDOR!A2463)</f>
        <v>0</v>
      </c>
      <c r="C2463" s="3" t="e">
        <f>INDEX(PEDIDOS!$A:$D,MATCH(FORNECEDOR!A2463,PEDIDOS!$A:$A,0),2)</f>
        <v>#N/A</v>
      </c>
      <c r="D2463" s="3" t="e">
        <f>INDEX(PEDIDOS!$A:$D,MATCH(FORNECEDOR!A2463,PEDIDOS!$A:$A,0),3)</f>
        <v>#N/A</v>
      </c>
      <c r="E2463" s="3" t="e">
        <f>INDEX(PEDIDOS!$A:$D,MATCH(FORNECEDOR!A2463,PEDIDOS!$A:$A,0),4)</f>
        <v>#N/A</v>
      </c>
    </row>
    <row r="2464" spans="1:5" hidden="1" x14ac:dyDescent="0.25">
      <c r="A2464" s="1" t="s">
        <v>2463</v>
      </c>
      <c r="B2464" s="3">
        <f>COUNTIF(PEDIDOS!$A:$A,FORNECEDOR!A2464)</f>
        <v>0</v>
      </c>
      <c r="C2464" s="3" t="e">
        <f>INDEX(PEDIDOS!$A:$D,MATCH(FORNECEDOR!A2464,PEDIDOS!$A:$A,0),2)</f>
        <v>#N/A</v>
      </c>
      <c r="D2464" s="3" t="e">
        <f>INDEX(PEDIDOS!$A:$D,MATCH(FORNECEDOR!A2464,PEDIDOS!$A:$A,0),3)</f>
        <v>#N/A</v>
      </c>
      <c r="E2464" s="3" t="e">
        <f>INDEX(PEDIDOS!$A:$D,MATCH(FORNECEDOR!A2464,PEDIDOS!$A:$A,0),4)</f>
        <v>#N/A</v>
      </c>
    </row>
    <row r="2465" spans="1:5" hidden="1" x14ac:dyDescent="0.25">
      <c r="A2465" s="1" t="s">
        <v>2464</v>
      </c>
      <c r="B2465" s="3">
        <f>COUNTIF(PEDIDOS!$A:$A,FORNECEDOR!A2465)</f>
        <v>0</v>
      </c>
      <c r="C2465" s="3" t="e">
        <f>INDEX(PEDIDOS!$A:$D,MATCH(FORNECEDOR!A2465,PEDIDOS!$A:$A,0),2)</f>
        <v>#N/A</v>
      </c>
      <c r="D2465" s="3" t="e">
        <f>INDEX(PEDIDOS!$A:$D,MATCH(FORNECEDOR!A2465,PEDIDOS!$A:$A,0),3)</f>
        <v>#N/A</v>
      </c>
      <c r="E2465" s="3" t="e">
        <f>INDEX(PEDIDOS!$A:$D,MATCH(FORNECEDOR!A2465,PEDIDOS!$A:$A,0),4)</f>
        <v>#N/A</v>
      </c>
    </row>
    <row r="2466" spans="1:5" hidden="1" x14ac:dyDescent="0.25">
      <c r="A2466" s="1" t="s">
        <v>2465</v>
      </c>
      <c r="B2466" s="3">
        <f>COUNTIF(PEDIDOS!$A:$A,FORNECEDOR!A2466)</f>
        <v>0</v>
      </c>
      <c r="C2466" s="3" t="e">
        <f>INDEX(PEDIDOS!$A:$D,MATCH(FORNECEDOR!A2466,PEDIDOS!$A:$A,0),2)</f>
        <v>#N/A</v>
      </c>
      <c r="D2466" s="3" t="e">
        <f>INDEX(PEDIDOS!$A:$D,MATCH(FORNECEDOR!A2466,PEDIDOS!$A:$A,0),3)</f>
        <v>#N/A</v>
      </c>
      <c r="E2466" s="3" t="e">
        <f>INDEX(PEDIDOS!$A:$D,MATCH(FORNECEDOR!A2466,PEDIDOS!$A:$A,0),4)</f>
        <v>#N/A</v>
      </c>
    </row>
    <row r="2467" spans="1:5" x14ac:dyDescent="0.25">
      <c r="A2467" s="1" t="s">
        <v>2466</v>
      </c>
      <c r="B2467" s="3">
        <f>COUNTIF(PEDIDOS!$A:$A,FORNECEDOR!A2467)</f>
        <v>1</v>
      </c>
      <c r="C2467" s="3" t="str">
        <f>INDEX(PEDIDOS!$A:$D,MATCH(FORNECEDOR!A2467,PEDIDOS!$A:$A,0),2)</f>
        <v>AVANTI- ADM C.CREDITO</v>
      </c>
      <c r="D2467" s="3" t="str">
        <f>INDEX(PEDIDOS!$A:$D,MATCH(FORNECEDOR!A2467,PEDIDOS!$A:$A,0),3)</f>
        <v>AVANTI- ADM C.CREDITO</v>
      </c>
      <c r="E2467" s="3" t="str">
        <f>INDEX(PEDIDOS!$A:$D,MATCH(FORNECEDOR!A2467,PEDIDOS!$A:$A,0),4)</f>
        <v>AVANTI- ADM C.CREDITO</v>
      </c>
    </row>
    <row r="2468" spans="1:5" x14ac:dyDescent="0.25">
      <c r="A2468" s="1" t="s">
        <v>2467</v>
      </c>
      <c r="B2468" s="3">
        <f>COUNTIF(PEDIDOS!$A:$A,FORNECEDOR!A2468)</f>
        <v>5</v>
      </c>
      <c r="C2468" s="3" t="str">
        <f>INDEX(PEDIDOS!$A:$D,MATCH(FORNECEDOR!A2468,PEDIDOS!$A:$A,0),2)</f>
        <v>CD ARAQUARI</v>
      </c>
      <c r="D2468" s="3" t="str">
        <f>INDEX(PEDIDOS!$A:$D,MATCH(FORNECEDOR!A2468,PEDIDOS!$A:$A,0),3)</f>
        <v>CD REGIS</v>
      </c>
      <c r="E2468" s="3" t="str">
        <f>INDEX(PEDIDOS!$A:$D,MATCH(FORNECEDOR!A2468,PEDIDOS!$A:$A,0),4)</f>
        <v>CD ARAQUARI</v>
      </c>
    </row>
    <row r="2469" spans="1:5" hidden="1" x14ac:dyDescent="0.25">
      <c r="A2469" s="1" t="s">
        <v>2468</v>
      </c>
      <c r="B2469" s="3">
        <f>COUNTIF(PEDIDOS!$A:$A,FORNECEDOR!A2469)</f>
        <v>0</v>
      </c>
      <c r="C2469" s="3" t="e">
        <f>INDEX(PEDIDOS!$A:$D,MATCH(FORNECEDOR!A2469,PEDIDOS!$A:$A,0),2)</f>
        <v>#N/A</v>
      </c>
      <c r="D2469" s="3" t="e">
        <f>INDEX(PEDIDOS!$A:$D,MATCH(FORNECEDOR!A2469,PEDIDOS!$A:$A,0),3)</f>
        <v>#N/A</v>
      </c>
      <c r="E2469" s="3" t="e">
        <f>INDEX(PEDIDOS!$A:$D,MATCH(FORNECEDOR!A2469,PEDIDOS!$A:$A,0),4)</f>
        <v>#N/A</v>
      </c>
    </row>
    <row r="2470" spans="1:5" x14ac:dyDescent="0.25">
      <c r="A2470" s="1" t="s">
        <v>2469</v>
      </c>
      <c r="B2470" s="3">
        <f>COUNTIF(PEDIDOS!$A:$A,FORNECEDOR!A2470)</f>
        <v>2</v>
      </c>
      <c r="C2470" s="3" t="str">
        <f>INDEX(PEDIDOS!$A:$D,MATCH(FORNECEDOR!A2470,PEDIDOS!$A:$A,0),2)</f>
        <v>CD REGIS</v>
      </c>
      <c r="D2470" s="3" t="str">
        <f>INDEX(PEDIDOS!$A:$D,MATCH(FORNECEDOR!A2470,PEDIDOS!$A:$A,0),3)</f>
        <v>MATRIZ</v>
      </c>
      <c r="E2470" s="3" t="str">
        <f>INDEX(PEDIDOS!$A:$D,MATCH(FORNECEDOR!A2470,PEDIDOS!$A:$A,0),4)</f>
        <v>CD REGIS</v>
      </c>
    </row>
    <row r="2471" spans="1:5" hidden="1" x14ac:dyDescent="0.25">
      <c r="A2471" s="1" t="s">
        <v>2470</v>
      </c>
      <c r="B2471" s="3">
        <f>COUNTIF(PEDIDOS!$A:$A,FORNECEDOR!A2471)</f>
        <v>0</v>
      </c>
      <c r="C2471" s="3" t="e">
        <f>INDEX(PEDIDOS!$A:$D,MATCH(FORNECEDOR!A2471,PEDIDOS!$A:$A,0),2)</f>
        <v>#N/A</v>
      </c>
      <c r="D2471" s="3" t="e">
        <f>INDEX(PEDIDOS!$A:$D,MATCH(FORNECEDOR!A2471,PEDIDOS!$A:$A,0),3)</f>
        <v>#N/A</v>
      </c>
      <c r="E2471" s="3" t="e">
        <f>INDEX(PEDIDOS!$A:$D,MATCH(FORNECEDOR!A2471,PEDIDOS!$A:$A,0),4)</f>
        <v>#N/A</v>
      </c>
    </row>
    <row r="2472" spans="1:5" hidden="1" x14ac:dyDescent="0.25">
      <c r="A2472" s="1" t="s">
        <v>2471</v>
      </c>
      <c r="B2472" s="3">
        <f>COUNTIF(PEDIDOS!$A:$A,FORNECEDOR!A2472)</f>
        <v>0</v>
      </c>
      <c r="C2472" s="3" t="e">
        <f>INDEX(PEDIDOS!$A:$D,MATCH(FORNECEDOR!A2472,PEDIDOS!$A:$A,0),2)</f>
        <v>#N/A</v>
      </c>
      <c r="D2472" s="3" t="e">
        <f>INDEX(PEDIDOS!$A:$D,MATCH(FORNECEDOR!A2472,PEDIDOS!$A:$A,0),3)</f>
        <v>#N/A</v>
      </c>
      <c r="E2472" s="3" t="e">
        <f>INDEX(PEDIDOS!$A:$D,MATCH(FORNECEDOR!A2472,PEDIDOS!$A:$A,0),4)</f>
        <v>#N/A</v>
      </c>
    </row>
    <row r="2473" spans="1:5" hidden="1" x14ac:dyDescent="0.25">
      <c r="A2473" s="1" t="s">
        <v>2472</v>
      </c>
      <c r="B2473" s="3">
        <f>COUNTIF(PEDIDOS!$A:$A,FORNECEDOR!A2473)</f>
        <v>0</v>
      </c>
      <c r="C2473" s="3" t="e">
        <f>INDEX(PEDIDOS!$A:$D,MATCH(FORNECEDOR!A2473,PEDIDOS!$A:$A,0),2)</f>
        <v>#N/A</v>
      </c>
      <c r="D2473" s="3" t="e">
        <f>INDEX(PEDIDOS!$A:$D,MATCH(FORNECEDOR!A2473,PEDIDOS!$A:$A,0),3)</f>
        <v>#N/A</v>
      </c>
      <c r="E2473" s="3" t="e">
        <f>INDEX(PEDIDOS!$A:$D,MATCH(FORNECEDOR!A2473,PEDIDOS!$A:$A,0),4)</f>
        <v>#N/A</v>
      </c>
    </row>
    <row r="2474" spans="1:5" hidden="1" x14ac:dyDescent="0.25">
      <c r="A2474" s="1" t="s">
        <v>2473</v>
      </c>
      <c r="B2474" s="3">
        <f>COUNTIF(PEDIDOS!$A:$A,FORNECEDOR!A2474)</f>
        <v>0</v>
      </c>
      <c r="C2474" s="3" t="e">
        <f>INDEX(PEDIDOS!$A:$D,MATCH(FORNECEDOR!A2474,PEDIDOS!$A:$A,0),2)</f>
        <v>#N/A</v>
      </c>
      <c r="D2474" s="3" t="e">
        <f>INDEX(PEDIDOS!$A:$D,MATCH(FORNECEDOR!A2474,PEDIDOS!$A:$A,0),3)</f>
        <v>#N/A</v>
      </c>
      <c r="E2474" s="3" t="e">
        <f>INDEX(PEDIDOS!$A:$D,MATCH(FORNECEDOR!A2474,PEDIDOS!$A:$A,0),4)</f>
        <v>#N/A</v>
      </c>
    </row>
    <row r="2475" spans="1:5" hidden="1" x14ac:dyDescent="0.25">
      <c r="A2475" s="1" t="s">
        <v>2474</v>
      </c>
      <c r="B2475" s="3">
        <f>COUNTIF(PEDIDOS!$A:$A,FORNECEDOR!A2475)</f>
        <v>0</v>
      </c>
      <c r="C2475" s="3" t="e">
        <f>INDEX(PEDIDOS!$A:$D,MATCH(FORNECEDOR!A2475,PEDIDOS!$A:$A,0),2)</f>
        <v>#N/A</v>
      </c>
      <c r="D2475" s="3" t="e">
        <f>INDEX(PEDIDOS!$A:$D,MATCH(FORNECEDOR!A2475,PEDIDOS!$A:$A,0),3)</f>
        <v>#N/A</v>
      </c>
      <c r="E2475" s="3" t="e">
        <f>INDEX(PEDIDOS!$A:$D,MATCH(FORNECEDOR!A2475,PEDIDOS!$A:$A,0),4)</f>
        <v>#N/A</v>
      </c>
    </row>
    <row r="2476" spans="1:5" x14ac:dyDescent="0.25">
      <c r="A2476" s="1" t="s">
        <v>2475</v>
      </c>
      <c r="B2476" s="3">
        <f>COUNTIF(PEDIDOS!$A:$A,FORNECEDOR!A2476)</f>
        <v>1</v>
      </c>
      <c r="C2476" s="3" t="str">
        <f>INDEX(PEDIDOS!$A:$D,MATCH(FORNECEDOR!A2476,PEDIDOS!$A:$A,0),2)</f>
        <v>CD REGIS</v>
      </c>
      <c r="D2476" s="3" t="str">
        <f>INDEX(PEDIDOS!$A:$D,MATCH(FORNECEDOR!A2476,PEDIDOS!$A:$A,0),3)</f>
        <v>CD REGIS</v>
      </c>
      <c r="E2476" s="3" t="str">
        <f>INDEX(PEDIDOS!$A:$D,MATCH(FORNECEDOR!A2476,PEDIDOS!$A:$A,0),4)</f>
        <v>CD REGIS</v>
      </c>
    </row>
    <row r="2477" spans="1:5" x14ac:dyDescent="0.25">
      <c r="A2477" s="1" t="s">
        <v>2476</v>
      </c>
      <c r="B2477" s="3">
        <f>COUNTIF(PEDIDOS!$A:$A,FORNECEDOR!A2477)</f>
        <v>1</v>
      </c>
      <c r="C2477" s="3" t="str">
        <f>INDEX(PEDIDOS!$A:$D,MATCH(FORNECEDOR!A2477,PEDIDOS!$A:$A,0),2)</f>
        <v>CD REGIS</v>
      </c>
      <c r="D2477" s="3" t="str">
        <f>INDEX(PEDIDOS!$A:$D,MATCH(FORNECEDOR!A2477,PEDIDOS!$A:$A,0),3)</f>
        <v>CD REGIS</v>
      </c>
      <c r="E2477" s="3" t="str">
        <f>INDEX(PEDIDOS!$A:$D,MATCH(FORNECEDOR!A2477,PEDIDOS!$A:$A,0),4)</f>
        <v>CD REGIS</v>
      </c>
    </row>
    <row r="2478" spans="1:5" hidden="1" x14ac:dyDescent="0.25">
      <c r="A2478" s="1" t="s">
        <v>2477</v>
      </c>
      <c r="B2478" s="3">
        <f>COUNTIF(PEDIDOS!$A:$A,FORNECEDOR!A2478)</f>
        <v>0</v>
      </c>
      <c r="C2478" s="3" t="e">
        <f>INDEX(PEDIDOS!$A:$D,MATCH(FORNECEDOR!A2478,PEDIDOS!$A:$A,0),2)</f>
        <v>#N/A</v>
      </c>
      <c r="D2478" s="3" t="e">
        <f>INDEX(PEDIDOS!$A:$D,MATCH(FORNECEDOR!A2478,PEDIDOS!$A:$A,0),3)</f>
        <v>#N/A</v>
      </c>
      <c r="E2478" s="3" t="e">
        <f>INDEX(PEDIDOS!$A:$D,MATCH(FORNECEDOR!A2478,PEDIDOS!$A:$A,0),4)</f>
        <v>#N/A</v>
      </c>
    </row>
    <row r="2479" spans="1:5" x14ac:dyDescent="0.25">
      <c r="A2479" s="1" t="s">
        <v>2478</v>
      </c>
      <c r="B2479" s="3">
        <f>COUNTIF(PEDIDOS!$A:$A,FORNECEDOR!A2479)</f>
        <v>1</v>
      </c>
      <c r="C2479" s="3" t="str">
        <f>INDEX(PEDIDOS!$A:$D,MATCH(FORNECEDOR!A2479,PEDIDOS!$A:$A,0),2)</f>
        <v>SUMARE</v>
      </c>
      <c r="D2479" s="3" t="str">
        <f>INDEX(PEDIDOS!$A:$D,MATCH(FORNECEDOR!A2479,PEDIDOS!$A:$A,0),3)</f>
        <v>SUMARE</v>
      </c>
      <c r="E2479" s="3" t="str">
        <f>INDEX(PEDIDOS!$A:$D,MATCH(FORNECEDOR!A2479,PEDIDOS!$A:$A,0),4)</f>
        <v>SUMARE</v>
      </c>
    </row>
    <row r="2480" spans="1:5" hidden="1" x14ac:dyDescent="0.25">
      <c r="A2480" s="1" t="s">
        <v>2479</v>
      </c>
      <c r="B2480" s="3">
        <f>COUNTIF(PEDIDOS!$A:$A,FORNECEDOR!A2480)</f>
        <v>0</v>
      </c>
      <c r="C2480" s="3" t="e">
        <f>INDEX(PEDIDOS!$A:$D,MATCH(FORNECEDOR!A2480,PEDIDOS!$A:$A,0),2)</f>
        <v>#N/A</v>
      </c>
      <c r="D2480" s="3" t="e">
        <f>INDEX(PEDIDOS!$A:$D,MATCH(FORNECEDOR!A2480,PEDIDOS!$A:$A,0),3)</f>
        <v>#N/A</v>
      </c>
      <c r="E2480" s="3" t="e">
        <f>INDEX(PEDIDOS!$A:$D,MATCH(FORNECEDOR!A2480,PEDIDOS!$A:$A,0),4)</f>
        <v>#N/A</v>
      </c>
    </row>
    <row r="2481" spans="1:5" x14ac:dyDescent="0.25">
      <c r="A2481" s="1" t="s">
        <v>2480</v>
      </c>
      <c r="B2481" s="3">
        <f>COUNTIF(PEDIDOS!$A:$A,FORNECEDOR!A2481)</f>
        <v>1</v>
      </c>
      <c r="C2481" s="3" t="str">
        <f>INDEX(PEDIDOS!$A:$D,MATCH(FORNECEDOR!A2481,PEDIDOS!$A:$A,0),2)</f>
        <v>CD NAVEGANTES</v>
      </c>
      <c r="D2481" s="3" t="str">
        <f>INDEX(PEDIDOS!$A:$D,MATCH(FORNECEDOR!A2481,PEDIDOS!$A:$A,0),3)</f>
        <v>MATRIZ</v>
      </c>
      <c r="E2481" s="3" t="str">
        <f>INDEX(PEDIDOS!$A:$D,MATCH(FORNECEDOR!A2481,PEDIDOS!$A:$A,0),4)</f>
        <v>CD NAVEGANTES</v>
      </c>
    </row>
    <row r="2482" spans="1:5" hidden="1" x14ac:dyDescent="0.25">
      <c r="A2482" s="1" t="s">
        <v>2481</v>
      </c>
      <c r="B2482" s="3">
        <f>COUNTIF(PEDIDOS!$A:$A,FORNECEDOR!A2482)</f>
        <v>0</v>
      </c>
      <c r="C2482" s="3" t="e">
        <f>INDEX(PEDIDOS!$A:$D,MATCH(FORNECEDOR!A2482,PEDIDOS!$A:$A,0),2)</f>
        <v>#N/A</v>
      </c>
      <c r="D2482" s="3" t="e">
        <f>INDEX(PEDIDOS!$A:$D,MATCH(FORNECEDOR!A2482,PEDIDOS!$A:$A,0),3)</f>
        <v>#N/A</v>
      </c>
      <c r="E2482" s="3" t="e">
        <f>INDEX(PEDIDOS!$A:$D,MATCH(FORNECEDOR!A2482,PEDIDOS!$A:$A,0),4)</f>
        <v>#N/A</v>
      </c>
    </row>
    <row r="2483" spans="1:5" x14ac:dyDescent="0.25">
      <c r="A2483" s="1" t="s">
        <v>2482</v>
      </c>
      <c r="B2483" s="3">
        <f>COUNTIF(PEDIDOS!$A:$A,FORNECEDOR!A2483)</f>
        <v>1</v>
      </c>
      <c r="C2483" s="3" t="str">
        <f>INDEX(PEDIDOS!$A:$D,MATCH(FORNECEDOR!A2483,PEDIDOS!$A:$A,0),2)</f>
        <v>CD REGIS</v>
      </c>
      <c r="D2483" s="3" t="str">
        <f>INDEX(PEDIDOS!$A:$D,MATCH(FORNECEDOR!A2483,PEDIDOS!$A:$A,0),3)</f>
        <v>CD REGIS</v>
      </c>
      <c r="E2483" s="3" t="str">
        <f>INDEX(PEDIDOS!$A:$D,MATCH(FORNECEDOR!A2483,PEDIDOS!$A:$A,0),4)</f>
        <v>CD REGIS</v>
      </c>
    </row>
    <row r="2484" spans="1:5" hidden="1" x14ac:dyDescent="0.25">
      <c r="A2484" s="1" t="s">
        <v>2483</v>
      </c>
      <c r="B2484" s="3">
        <f>COUNTIF(PEDIDOS!$A:$A,FORNECEDOR!A2484)</f>
        <v>0</v>
      </c>
      <c r="C2484" s="3" t="e">
        <f>INDEX(PEDIDOS!$A:$D,MATCH(FORNECEDOR!A2484,PEDIDOS!$A:$A,0),2)</f>
        <v>#N/A</v>
      </c>
      <c r="D2484" s="3" t="e">
        <f>INDEX(PEDIDOS!$A:$D,MATCH(FORNECEDOR!A2484,PEDIDOS!$A:$A,0),3)</f>
        <v>#N/A</v>
      </c>
      <c r="E2484" s="3" t="e">
        <f>INDEX(PEDIDOS!$A:$D,MATCH(FORNECEDOR!A2484,PEDIDOS!$A:$A,0),4)</f>
        <v>#N/A</v>
      </c>
    </row>
    <row r="2485" spans="1:5" x14ac:dyDescent="0.25">
      <c r="A2485" s="1" t="s">
        <v>2484</v>
      </c>
      <c r="B2485" s="3">
        <f>COUNTIF(PEDIDOS!$A:$A,FORNECEDOR!A2485)</f>
        <v>1</v>
      </c>
      <c r="C2485" s="3" t="str">
        <f>INDEX(PEDIDOS!$A:$D,MATCH(FORNECEDOR!A2485,PEDIDOS!$A:$A,0),2)</f>
        <v>CD REGIS</v>
      </c>
      <c r="D2485" s="3" t="str">
        <f>INDEX(PEDIDOS!$A:$D,MATCH(FORNECEDOR!A2485,PEDIDOS!$A:$A,0),3)</f>
        <v>TATUAPE</v>
      </c>
      <c r="E2485" s="3" t="str">
        <f>INDEX(PEDIDOS!$A:$D,MATCH(FORNECEDOR!A2485,PEDIDOS!$A:$A,0),4)</f>
        <v>CD REGIS</v>
      </c>
    </row>
    <row r="2486" spans="1:5" x14ac:dyDescent="0.25">
      <c r="A2486" s="1" t="s">
        <v>2485</v>
      </c>
      <c r="B2486" s="3">
        <f>COUNTIF(PEDIDOS!$A:$A,FORNECEDOR!A2486)</f>
        <v>1</v>
      </c>
      <c r="C2486" s="3" t="str">
        <f>INDEX(PEDIDOS!$A:$D,MATCH(FORNECEDOR!A2486,PEDIDOS!$A:$A,0),2)</f>
        <v>CD REGIS</v>
      </c>
      <c r="D2486" s="3" t="str">
        <f>INDEX(PEDIDOS!$A:$D,MATCH(FORNECEDOR!A2486,PEDIDOS!$A:$A,0),3)</f>
        <v>TATUAPE</v>
      </c>
      <c r="E2486" s="3" t="str">
        <f>INDEX(PEDIDOS!$A:$D,MATCH(FORNECEDOR!A2486,PEDIDOS!$A:$A,0),4)</f>
        <v>CD REGIS</v>
      </c>
    </row>
    <row r="2487" spans="1:5" hidden="1" x14ac:dyDescent="0.25">
      <c r="A2487" s="1" t="s">
        <v>2486</v>
      </c>
      <c r="B2487" s="3">
        <f>COUNTIF(PEDIDOS!$A:$A,FORNECEDOR!A2487)</f>
        <v>0</v>
      </c>
      <c r="C2487" s="3" t="e">
        <f>INDEX(PEDIDOS!$A:$D,MATCH(FORNECEDOR!A2487,PEDIDOS!$A:$A,0),2)</f>
        <v>#N/A</v>
      </c>
      <c r="D2487" s="3" t="e">
        <f>INDEX(PEDIDOS!$A:$D,MATCH(FORNECEDOR!A2487,PEDIDOS!$A:$A,0),3)</f>
        <v>#N/A</v>
      </c>
      <c r="E2487" s="3" t="e">
        <f>INDEX(PEDIDOS!$A:$D,MATCH(FORNECEDOR!A2487,PEDIDOS!$A:$A,0),4)</f>
        <v>#N/A</v>
      </c>
    </row>
    <row r="2488" spans="1:5" hidden="1" x14ac:dyDescent="0.25">
      <c r="A2488" s="1" t="s">
        <v>2487</v>
      </c>
      <c r="B2488" s="3">
        <f>COUNTIF(PEDIDOS!$A:$A,FORNECEDOR!A2488)</f>
        <v>0</v>
      </c>
      <c r="C2488" s="3" t="e">
        <f>INDEX(PEDIDOS!$A:$D,MATCH(FORNECEDOR!A2488,PEDIDOS!$A:$A,0),2)</f>
        <v>#N/A</v>
      </c>
      <c r="D2488" s="3" t="e">
        <f>INDEX(PEDIDOS!$A:$D,MATCH(FORNECEDOR!A2488,PEDIDOS!$A:$A,0),3)</f>
        <v>#N/A</v>
      </c>
      <c r="E2488" s="3" t="e">
        <f>INDEX(PEDIDOS!$A:$D,MATCH(FORNECEDOR!A2488,PEDIDOS!$A:$A,0),4)</f>
        <v>#N/A</v>
      </c>
    </row>
    <row r="2489" spans="1:5" hidden="1" x14ac:dyDescent="0.25">
      <c r="A2489" s="1" t="s">
        <v>2488</v>
      </c>
      <c r="B2489" s="3">
        <f>COUNTIF(PEDIDOS!$A:$A,FORNECEDOR!A2489)</f>
        <v>0</v>
      </c>
      <c r="C2489" s="3" t="e">
        <f>INDEX(PEDIDOS!$A:$D,MATCH(FORNECEDOR!A2489,PEDIDOS!$A:$A,0),2)</f>
        <v>#N/A</v>
      </c>
      <c r="D2489" s="3" t="e">
        <f>INDEX(PEDIDOS!$A:$D,MATCH(FORNECEDOR!A2489,PEDIDOS!$A:$A,0),3)</f>
        <v>#N/A</v>
      </c>
      <c r="E2489" s="3" t="e">
        <f>INDEX(PEDIDOS!$A:$D,MATCH(FORNECEDOR!A2489,PEDIDOS!$A:$A,0),4)</f>
        <v>#N/A</v>
      </c>
    </row>
  </sheetData>
  <autoFilter ref="A1:F2489">
    <filterColumn colId="1">
      <filters>
        <filter val="1"/>
        <filter val="10"/>
        <filter val="11"/>
        <filter val="12"/>
        <filter val="13"/>
        <filter val="17"/>
        <filter val="18"/>
        <filter val="19"/>
        <filter val="2"/>
        <filter val="22"/>
        <filter val="28"/>
        <filter val="29"/>
        <filter val="3"/>
        <filter val="4"/>
        <filter val="44"/>
        <filter val="47"/>
        <filter val="5"/>
        <filter val="6"/>
        <filter val="7"/>
        <filter val="8"/>
        <filter val="9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18"/>
  <sheetViews>
    <sheetView workbookViewId="0">
      <selection activeCell="C1" sqref="C1:D1"/>
    </sheetView>
  </sheetViews>
  <sheetFormatPr defaultRowHeight="15" x14ac:dyDescent="0.25"/>
  <cols>
    <col min="1" max="1" width="30" bestFit="1" customWidth="1"/>
    <col min="2" max="4" width="24.85546875" bestFit="1" customWidth="1"/>
  </cols>
  <sheetData>
    <row r="1" spans="1:4" x14ac:dyDescent="0.25">
      <c r="A1" s="5" t="s">
        <v>0</v>
      </c>
      <c r="B1" s="5" t="s">
        <v>2489</v>
      </c>
      <c r="C1" s="5" t="s">
        <v>2490</v>
      </c>
      <c r="D1" s="5" t="s">
        <v>2491</v>
      </c>
    </row>
    <row r="2" spans="1:4" x14ac:dyDescent="0.25">
      <c r="A2" s="4" t="s">
        <v>2</v>
      </c>
      <c r="B2" s="4" t="s">
        <v>2492</v>
      </c>
      <c r="C2" s="4" t="s">
        <v>2492</v>
      </c>
      <c r="D2" s="4" t="s">
        <v>2492</v>
      </c>
    </row>
    <row r="3" spans="1:4" x14ac:dyDescent="0.25">
      <c r="A3" s="4" t="s">
        <v>3</v>
      </c>
      <c r="B3" s="4" t="s">
        <v>2493</v>
      </c>
      <c r="C3" s="4" t="s">
        <v>2493</v>
      </c>
      <c r="D3" s="4" t="s">
        <v>2493</v>
      </c>
    </row>
    <row r="4" spans="1:4" x14ac:dyDescent="0.25">
      <c r="A4" s="4" t="s">
        <v>4</v>
      </c>
      <c r="B4" s="4" t="s">
        <v>2494</v>
      </c>
      <c r="C4" s="4" t="s">
        <v>2494</v>
      </c>
      <c r="D4" s="4" t="s">
        <v>2494</v>
      </c>
    </row>
    <row r="5" spans="1:4" x14ac:dyDescent="0.25">
      <c r="A5" s="4" t="s">
        <v>4</v>
      </c>
      <c r="B5" s="4" t="s">
        <v>2495</v>
      </c>
      <c r="C5" s="4" t="s">
        <v>2495</v>
      </c>
      <c r="D5" s="4" t="s">
        <v>2495</v>
      </c>
    </row>
    <row r="6" spans="1:4" x14ac:dyDescent="0.25">
      <c r="A6" s="4" t="s">
        <v>4</v>
      </c>
      <c r="B6" s="4" t="s">
        <v>2496</v>
      </c>
      <c r="C6" s="4" t="s">
        <v>2496</v>
      </c>
      <c r="D6" s="4" t="s">
        <v>2496</v>
      </c>
    </row>
    <row r="7" spans="1:4" x14ac:dyDescent="0.25">
      <c r="A7" s="4" t="s">
        <v>8</v>
      </c>
      <c r="B7" s="4" t="s">
        <v>2492</v>
      </c>
      <c r="C7" s="4" t="s">
        <v>2497</v>
      </c>
      <c r="D7" s="4" t="s">
        <v>2492</v>
      </c>
    </row>
    <row r="8" spans="1:4" x14ac:dyDescent="0.25">
      <c r="A8" s="4" t="s">
        <v>10</v>
      </c>
      <c r="B8" s="4" t="s">
        <v>2492</v>
      </c>
      <c r="C8" s="4" t="s">
        <v>2492</v>
      </c>
      <c r="D8" s="4" t="s">
        <v>2492</v>
      </c>
    </row>
    <row r="9" spans="1:4" x14ac:dyDescent="0.25">
      <c r="A9" s="4" t="s">
        <v>10</v>
      </c>
      <c r="B9" s="4" t="s">
        <v>1497</v>
      </c>
      <c r="C9" s="4" t="s">
        <v>1497</v>
      </c>
      <c r="D9" s="4" t="s">
        <v>1497</v>
      </c>
    </row>
    <row r="10" spans="1:4" x14ac:dyDescent="0.25">
      <c r="A10" s="4" t="s">
        <v>13</v>
      </c>
      <c r="B10" s="4" t="s">
        <v>2492</v>
      </c>
      <c r="C10" s="4" t="s">
        <v>2492</v>
      </c>
      <c r="D10" s="4" t="s">
        <v>2492</v>
      </c>
    </row>
    <row r="11" spans="1:4" x14ac:dyDescent="0.25">
      <c r="A11" s="4" t="s">
        <v>20</v>
      </c>
      <c r="B11" s="4" t="s">
        <v>2492</v>
      </c>
      <c r="C11" s="4" t="s">
        <v>2492</v>
      </c>
      <c r="D11" s="4" t="s">
        <v>2492</v>
      </c>
    </row>
    <row r="12" spans="1:4" x14ac:dyDescent="0.25">
      <c r="A12" s="4" t="s">
        <v>25</v>
      </c>
      <c r="B12" s="4" t="s">
        <v>1497</v>
      </c>
      <c r="C12" s="4" t="s">
        <v>1497</v>
      </c>
      <c r="D12" s="4" t="s">
        <v>1497</v>
      </c>
    </row>
    <row r="13" spans="1:4" x14ac:dyDescent="0.25">
      <c r="A13" s="4" t="s">
        <v>31</v>
      </c>
      <c r="B13" s="4" t="s">
        <v>2492</v>
      </c>
      <c r="C13" s="4" t="s">
        <v>2497</v>
      </c>
      <c r="D13" s="4" t="s">
        <v>2492</v>
      </c>
    </row>
    <row r="14" spans="1:4" x14ac:dyDescent="0.25">
      <c r="A14" s="4" t="s">
        <v>32</v>
      </c>
      <c r="B14" s="4" t="s">
        <v>1497</v>
      </c>
      <c r="C14" s="4" t="s">
        <v>1497</v>
      </c>
      <c r="D14" s="4" t="s">
        <v>1497</v>
      </c>
    </row>
    <row r="15" spans="1:4" x14ac:dyDescent="0.25">
      <c r="A15" s="4" t="s">
        <v>33</v>
      </c>
      <c r="B15" s="4" t="s">
        <v>1497</v>
      </c>
      <c r="C15" s="4" t="s">
        <v>1497</v>
      </c>
      <c r="D15" s="4" t="s">
        <v>1497</v>
      </c>
    </row>
    <row r="16" spans="1:4" x14ac:dyDescent="0.25">
      <c r="A16" s="4" t="s">
        <v>34</v>
      </c>
      <c r="B16" s="4" t="s">
        <v>2493</v>
      </c>
      <c r="C16" s="4" t="s">
        <v>2493</v>
      </c>
      <c r="D16" s="4" t="s">
        <v>2493</v>
      </c>
    </row>
    <row r="17" spans="1:4" x14ac:dyDescent="0.25">
      <c r="A17" s="4" t="s">
        <v>35</v>
      </c>
      <c r="B17" s="4" t="s">
        <v>443</v>
      </c>
      <c r="C17" s="4" t="s">
        <v>1497</v>
      </c>
      <c r="D17" s="4" t="s">
        <v>443</v>
      </c>
    </row>
    <row r="18" spans="1:4" x14ac:dyDescent="0.25">
      <c r="A18" s="4" t="s">
        <v>35</v>
      </c>
      <c r="B18" s="4" t="s">
        <v>444</v>
      </c>
      <c r="C18" s="4" t="s">
        <v>1497</v>
      </c>
      <c r="D18" s="4" t="s">
        <v>444</v>
      </c>
    </row>
    <row r="19" spans="1:4" x14ac:dyDescent="0.25">
      <c r="A19" s="4" t="s">
        <v>35</v>
      </c>
      <c r="B19" s="4" t="s">
        <v>2492</v>
      </c>
      <c r="C19" s="4" t="s">
        <v>1497</v>
      </c>
      <c r="D19" s="4" t="s">
        <v>2492</v>
      </c>
    </row>
    <row r="20" spans="1:4" x14ac:dyDescent="0.25">
      <c r="A20" s="4" t="s">
        <v>36</v>
      </c>
      <c r="B20" s="4" t="s">
        <v>1497</v>
      </c>
      <c r="C20" s="4" t="s">
        <v>1497</v>
      </c>
      <c r="D20" s="4" t="s">
        <v>1497</v>
      </c>
    </row>
    <row r="21" spans="1:4" x14ac:dyDescent="0.25">
      <c r="A21" s="4" t="s">
        <v>37</v>
      </c>
      <c r="B21" s="4" t="s">
        <v>2498</v>
      </c>
      <c r="C21" s="4" t="s">
        <v>2498</v>
      </c>
      <c r="D21" s="4" t="s">
        <v>2498</v>
      </c>
    </row>
    <row r="22" spans="1:4" x14ac:dyDescent="0.25">
      <c r="A22" s="4" t="s">
        <v>44</v>
      </c>
      <c r="B22" s="4" t="s">
        <v>443</v>
      </c>
      <c r="C22" s="4" t="s">
        <v>1497</v>
      </c>
      <c r="D22" s="4" t="s">
        <v>443</v>
      </c>
    </row>
    <row r="23" spans="1:4" x14ac:dyDescent="0.25">
      <c r="A23" s="4" t="s">
        <v>44</v>
      </c>
      <c r="B23" s="4" t="s">
        <v>2492</v>
      </c>
      <c r="C23" s="4" t="s">
        <v>2497</v>
      </c>
      <c r="D23" s="4" t="s">
        <v>2492</v>
      </c>
    </row>
    <row r="24" spans="1:4" x14ac:dyDescent="0.25">
      <c r="A24" s="4" t="s">
        <v>45</v>
      </c>
      <c r="B24" s="4" t="s">
        <v>2492</v>
      </c>
      <c r="C24" s="4" t="s">
        <v>1497</v>
      </c>
      <c r="D24" s="4" t="s">
        <v>2492</v>
      </c>
    </row>
    <row r="25" spans="1:4" x14ac:dyDescent="0.25">
      <c r="A25" s="4" t="s">
        <v>48</v>
      </c>
      <c r="B25" s="4" t="s">
        <v>443</v>
      </c>
      <c r="C25" s="4" t="s">
        <v>1497</v>
      </c>
      <c r="D25" s="4" t="s">
        <v>443</v>
      </c>
    </row>
    <row r="26" spans="1:4" x14ac:dyDescent="0.25">
      <c r="A26" s="4" t="s">
        <v>48</v>
      </c>
      <c r="B26" s="4" t="s">
        <v>444</v>
      </c>
      <c r="C26" s="4" t="s">
        <v>1497</v>
      </c>
      <c r="D26" s="4" t="s">
        <v>444</v>
      </c>
    </row>
    <row r="27" spans="1:4" x14ac:dyDescent="0.25">
      <c r="A27" s="4" t="s">
        <v>48</v>
      </c>
      <c r="B27" s="4" t="s">
        <v>2492</v>
      </c>
      <c r="C27" s="4" t="s">
        <v>1497</v>
      </c>
      <c r="D27" s="4" t="s">
        <v>2492</v>
      </c>
    </row>
    <row r="28" spans="1:4" x14ac:dyDescent="0.25">
      <c r="A28" s="4" t="s">
        <v>49</v>
      </c>
      <c r="B28" s="4" t="s">
        <v>2498</v>
      </c>
      <c r="C28" s="4" t="s">
        <v>2498</v>
      </c>
      <c r="D28" s="4" t="s">
        <v>2498</v>
      </c>
    </row>
    <row r="29" spans="1:4" x14ac:dyDescent="0.25">
      <c r="A29" s="4" t="s">
        <v>51</v>
      </c>
      <c r="B29" s="4" t="s">
        <v>444</v>
      </c>
      <c r="C29" s="4" t="s">
        <v>1497</v>
      </c>
      <c r="D29" s="4" t="s">
        <v>444</v>
      </c>
    </row>
    <row r="30" spans="1:4" x14ac:dyDescent="0.25">
      <c r="A30" s="4" t="s">
        <v>51</v>
      </c>
      <c r="B30" s="4" t="s">
        <v>2492</v>
      </c>
      <c r="C30" s="4" t="s">
        <v>1497</v>
      </c>
      <c r="D30" s="4" t="s">
        <v>2492</v>
      </c>
    </row>
    <row r="31" spans="1:4" x14ac:dyDescent="0.25">
      <c r="A31" s="4" t="s">
        <v>51</v>
      </c>
      <c r="B31" s="4" t="s">
        <v>2492</v>
      </c>
      <c r="C31" s="4" t="s">
        <v>2497</v>
      </c>
      <c r="D31" s="4" t="s">
        <v>2492</v>
      </c>
    </row>
    <row r="32" spans="1:4" x14ac:dyDescent="0.25">
      <c r="A32" s="4" t="s">
        <v>53</v>
      </c>
      <c r="B32" s="4" t="s">
        <v>2494</v>
      </c>
      <c r="C32" s="4" t="s">
        <v>2494</v>
      </c>
      <c r="D32" s="4" t="s">
        <v>2494</v>
      </c>
    </row>
    <row r="33" spans="1:4" x14ac:dyDescent="0.25">
      <c r="A33" s="4" t="s">
        <v>53</v>
      </c>
      <c r="B33" s="4" t="s">
        <v>2493</v>
      </c>
      <c r="C33" s="4" t="s">
        <v>2493</v>
      </c>
      <c r="D33" s="4" t="s">
        <v>2493</v>
      </c>
    </row>
    <row r="34" spans="1:4" x14ac:dyDescent="0.25">
      <c r="A34" s="4" t="s">
        <v>53</v>
      </c>
      <c r="B34" s="4" t="s">
        <v>1497</v>
      </c>
      <c r="C34" s="4" t="s">
        <v>1497</v>
      </c>
      <c r="D34" s="4" t="s">
        <v>1497</v>
      </c>
    </row>
    <row r="35" spans="1:4" x14ac:dyDescent="0.25">
      <c r="A35" s="4" t="s">
        <v>56</v>
      </c>
      <c r="B35" s="4" t="s">
        <v>2493</v>
      </c>
      <c r="C35" s="4" t="s">
        <v>2493</v>
      </c>
      <c r="D35" s="4" t="s">
        <v>2493</v>
      </c>
    </row>
    <row r="36" spans="1:4" x14ac:dyDescent="0.25">
      <c r="A36" s="4" t="s">
        <v>56</v>
      </c>
      <c r="B36" s="4" t="s">
        <v>2499</v>
      </c>
      <c r="C36" s="4" t="s">
        <v>2499</v>
      </c>
      <c r="D36" s="4" t="s">
        <v>2499</v>
      </c>
    </row>
    <row r="37" spans="1:4" x14ac:dyDescent="0.25">
      <c r="A37" s="4" t="s">
        <v>56</v>
      </c>
      <c r="B37" s="4" t="s">
        <v>2500</v>
      </c>
      <c r="C37" s="4" t="s">
        <v>2500</v>
      </c>
      <c r="D37" s="4" t="s">
        <v>2500</v>
      </c>
    </row>
    <row r="38" spans="1:4" x14ac:dyDescent="0.25">
      <c r="A38" s="4" t="s">
        <v>56</v>
      </c>
      <c r="B38" s="4" t="s">
        <v>2492</v>
      </c>
      <c r="C38" s="4" t="s">
        <v>2492</v>
      </c>
      <c r="D38" s="4" t="s">
        <v>2492</v>
      </c>
    </row>
    <row r="39" spans="1:4" x14ac:dyDescent="0.25">
      <c r="A39" s="4" t="s">
        <v>56</v>
      </c>
      <c r="B39" s="4" t="s">
        <v>2501</v>
      </c>
      <c r="C39" s="4" t="s">
        <v>2501</v>
      </c>
      <c r="D39" s="4" t="s">
        <v>2501</v>
      </c>
    </row>
    <row r="40" spans="1:4" x14ac:dyDescent="0.25">
      <c r="A40" s="4" t="s">
        <v>56</v>
      </c>
      <c r="B40" s="4" t="s">
        <v>1497</v>
      </c>
      <c r="C40" s="4" t="s">
        <v>1497</v>
      </c>
      <c r="D40" s="4" t="s">
        <v>1497</v>
      </c>
    </row>
    <row r="41" spans="1:4" x14ac:dyDescent="0.25">
      <c r="A41" s="4" t="s">
        <v>56</v>
      </c>
      <c r="B41" s="4" t="s">
        <v>2502</v>
      </c>
      <c r="C41" s="4" t="s">
        <v>2502</v>
      </c>
      <c r="D41" s="4" t="s">
        <v>2502</v>
      </c>
    </row>
    <row r="42" spans="1:4" x14ac:dyDescent="0.25">
      <c r="A42" s="4" t="s">
        <v>56</v>
      </c>
      <c r="B42" s="4" t="s">
        <v>2503</v>
      </c>
      <c r="C42" s="4" t="s">
        <v>2503</v>
      </c>
      <c r="D42" s="4" t="s">
        <v>2503</v>
      </c>
    </row>
    <row r="43" spans="1:4" x14ac:dyDescent="0.25">
      <c r="A43" s="4" t="s">
        <v>56</v>
      </c>
      <c r="B43" s="4" t="s">
        <v>2504</v>
      </c>
      <c r="C43" s="4" t="s">
        <v>2504</v>
      </c>
      <c r="D43" s="4" t="s">
        <v>2504</v>
      </c>
    </row>
    <row r="44" spans="1:4" x14ac:dyDescent="0.25">
      <c r="A44" s="4" t="s">
        <v>67</v>
      </c>
      <c r="B44" s="4" t="s">
        <v>2498</v>
      </c>
      <c r="C44" s="4" t="s">
        <v>2498</v>
      </c>
      <c r="D44" s="4" t="s">
        <v>2498</v>
      </c>
    </row>
    <row r="45" spans="1:4" x14ac:dyDescent="0.25">
      <c r="A45" s="4" t="s">
        <v>69</v>
      </c>
      <c r="B45" s="4" t="s">
        <v>2492</v>
      </c>
      <c r="C45" s="4" t="s">
        <v>2492</v>
      </c>
      <c r="D45" s="4" t="s">
        <v>2492</v>
      </c>
    </row>
    <row r="46" spans="1:4" x14ac:dyDescent="0.25">
      <c r="A46" s="4" t="s">
        <v>70</v>
      </c>
      <c r="B46" s="4" t="s">
        <v>2492</v>
      </c>
      <c r="C46" s="4" t="s">
        <v>1497</v>
      </c>
      <c r="D46" s="4" t="s">
        <v>2492</v>
      </c>
    </row>
    <row r="47" spans="1:4" x14ac:dyDescent="0.25">
      <c r="A47" s="4" t="s">
        <v>71</v>
      </c>
      <c r="B47" s="4" t="s">
        <v>2492</v>
      </c>
      <c r="C47" s="4" t="s">
        <v>2497</v>
      </c>
      <c r="D47" s="4" t="s">
        <v>2492</v>
      </c>
    </row>
    <row r="48" spans="1:4" x14ac:dyDescent="0.25">
      <c r="A48" s="4" t="s">
        <v>73</v>
      </c>
      <c r="B48" s="4" t="s">
        <v>2492</v>
      </c>
      <c r="C48" s="4" t="s">
        <v>1497</v>
      </c>
      <c r="D48" s="4" t="s">
        <v>2492</v>
      </c>
    </row>
    <row r="49" spans="1:4" x14ac:dyDescent="0.25">
      <c r="A49" s="4" t="s">
        <v>73</v>
      </c>
      <c r="B49" s="4" t="s">
        <v>2492</v>
      </c>
      <c r="C49" s="4" t="s">
        <v>2497</v>
      </c>
      <c r="D49" s="4" t="s">
        <v>2492</v>
      </c>
    </row>
    <row r="50" spans="1:4" x14ac:dyDescent="0.25">
      <c r="A50" s="4" t="s">
        <v>74</v>
      </c>
      <c r="B50" s="4" t="s">
        <v>443</v>
      </c>
      <c r="C50" s="4" t="s">
        <v>1497</v>
      </c>
      <c r="D50" s="4" t="s">
        <v>443</v>
      </c>
    </row>
    <row r="51" spans="1:4" x14ac:dyDescent="0.25">
      <c r="A51" s="4" t="s">
        <v>74</v>
      </c>
      <c r="B51" s="4" t="s">
        <v>443</v>
      </c>
      <c r="C51" s="4" t="s">
        <v>1497</v>
      </c>
      <c r="D51" s="4" t="s">
        <v>444</v>
      </c>
    </row>
    <row r="52" spans="1:4" x14ac:dyDescent="0.25">
      <c r="A52" s="4" t="s">
        <v>74</v>
      </c>
      <c r="B52" s="4" t="s">
        <v>444</v>
      </c>
      <c r="C52" s="4" t="s">
        <v>2492</v>
      </c>
      <c r="D52" s="4" t="s">
        <v>444</v>
      </c>
    </row>
    <row r="53" spans="1:4" x14ac:dyDescent="0.25">
      <c r="A53" s="4" t="s">
        <v>74</v>
      </c>
      <c r="B53" s="4" t="s">
        <v>444</v>
      </c>
      <c r="C53" s="4" t="s">
        <v>2505</v>
      </c>
      <c r="D53" s="4" t="s">
        <v>444</v>
      </c>
    </row>
    <row r="54" spans="1:4" x14ac:dyDescent="0.25">
      <c r="A54" s="4" t="s">
        <v>74</v>
      </c>
      <c r="B54" s="4" t="s">
        <v>444</v>
      </c>
      <c r="C54" s="4" t="s">
        <v>1497</v>
      </c>
      <c r="D54" s="4" t="s">
        <v>444</v>
      </c>
    </row>
    <row r="55" spans="1:4" x14ac:dyDescent="0.25">
      <c r="A55" s="4" t="s">
        <v>74</v>
      </c>
      <c r="B55" s="4" t="s">
        <v>2492</v>
      </c>
      <c r="C55" s="4" t="s">
        <v>1497</v>
      </c>
      <c r="D55" s="4" t="s">
        <v>2492</v>
      </c>
    </row>
    <row r="56" spans="1:4" x14ac:dyDescent="0.25">
      <c r="A56" s="4" t="s">
        <v>74</v>
      </c>
      <c r="B56" s="4" t="s">
        <v>2492</v>
      </c>
      <c r="C56" s="4" t="s">
        <v>2497</v>
      </c>
      <c r="D56" s="4" t="s">
        <v>2492</v>
      </c>
    </row>
    <row r="57" spans="1:4" x14ac:dyDescent="0.25">
      <c r="A57" s="4" t="s">
        <v>75</v>
      </c>
      <c r="B57" s="4" t="s">
        <v>2498</v>
      </c>
      <c r="C57" s="4" t="s">
        <v>2498</v>
      </c>
      <c r="D57" s="4" t="s">
        <v>2498</v>
      </c>
    </row>
    <row r="58" spans="1:4" x14ac:dyDescent="0.25">
      <c r="A58" s="4" t="s">
        <v>82</v>
      </c>
      <c r="B58" s="4" t="s">
        <v>2492</v>
      </c>
      <c r="C58" s="4" t="s">
        <v>2497</v>
      </c>
      <c r="D58" s="4" t="s">
        <v>2492</v>
      </c>
    </row>
    <row r="59" spans="1:4" x14ac:dyDescent="0.25">
      <c r="A59" s="4" t="s">
        <v>83</v>
      </c>
      <c r="B59" s="4" t="s">
        <v>2492</v>
      </c>
      <c r="C59" s="4" t="s">
        <v>2492</v>
      </c>
      <c r="D59" s="4" t="s">
        <v>2492</v>
      </c>
    </row>
    <row r="60" spans="1:4" x14ac:dyDescent="0.25">
      <c r="A60" s="4" t="s">
        <v>83</v>
      </c>
      <c r="B60" s="4" t="s">
        <v>2492</v>
      </c>
      <c r="C60" s="4" t="s">
        <v>1497</v>
      </c>
      <c r="D60" s="4" t="s">
        <v>2492</v>
      </c>
    </row>
    <row r="61" spans="1:4" x14ac:dyDescent="0.25">
      <c r="A61" s="4" t="s">
        <v>83</v>
      </c>
      <c r="B61" s="4" t="s">
        <v>2492</v>
      </c>
      <c r="C61" s="4" t="s">
        <v>2497</v>
      </c>
      <c r="D61" s="4" t="s">
        <v>2492</v>
      </c>
    </row>
    <row r="62" spans="1:4" x14ac:dyDescent="0.25">
      <c r="A62" s="4" t="s">
        <v>87</v>
      </c>
      <c r="B62" s="4" t="s">
        <v>2506</v>
      </c>
      <c r="C62" s="4" t="s">
        <v>2506</v>
      </c>
      <c r="D62" s="4" t="s">
        <v>2506</v>
      </c>
    </row>
    <row r="63" spans="1:4" x14ac:dyDescent="0.25">
      <c r="A63" s="4" t="s">
        <v>90</v>
      </c>
      <c r="B63" s="4" t="s">
        <v>1497</v>
      </c>
      <c r="C63" s="4" t="s">
        <v>1497</v>
      </c>
      <c r="D63" s="4" t="s">
        <v>1497</v>
      </c>
    </row>
    <row r="64" spans="1:4" x14ac:dyDescent="0.25">
      <c r="A64" s="4" t="s">
        <v>91</v>
      </c>
      <c r="B64" s="4" t="s">
        <v>2498</v>
      </c>
      <c r="C64" s="4" t="s">
        <v>2498</v>
      </c>
      <c r="D64" s="4" t="s">
        <v>2498</v>
      </c>
    </row>
    <row r="65" spans="1:4" x14ac:dyDescent="0.25">
      <c r="A65" s="4" t="s">
        <v>92</v>
      </c>
      <c r="B65" s="4" t="s">
        <v>2492</v>
      </c>
      <c r="C65" s="4" t="s">
        <v>1497</v>
      </c>
      <c r="D65" s="4" t="s">
        <v>2492</v>
      </c>
    </row>
    <row r="66" spans="1:4" x14ac:dyDescent="0.25">
      <c r="A66" s="4" t="s">
        <v>116</v>
      </c>
      <c r="B66" s="4" t="s">
        <v>444</v>
      </c>
      <c r="C66" s="4" t="s">
        <v>1497</v>
      </c>
      <c r="D66" s="4" t="s">
        <v>444</v>
      </c>
    </row>
    <row r="67" spans="1:4" x14ac:dyDescent="0.25">
      <c r="A67" s="4" t="s">
        <v>116</v>
      </c>
      <c r="B67" s="4" t="s">
        <v>2492</v>
      </c>
      <c r="C67" s="4" t="s">
        <v>1497</v>
      </c>
      <c r="D67" s="4" t="s">
        <v>2492</v>
      </c>
    </row>
    <row r="68" spans="1:4" x14ac:dyDescent="0.25">
      <c r="A68" s="4" t="s">
        <v>117</v>
      </c>
      <c r="B68" s="4" t="s">
        <v>1497</v>
      </c>
      <c r="C68" s="4" t="s">
        <v>1497</v>
      </c>
      <c r="D68" s="4" t="s">
        <v>1497</v>
      </c>
    </row>
    <row r="69" spans="1:4" x14ac:dyDescent="0.25">
      <c r="A69" s="4" t="s">
        <v>119</v>
      </c>
      <c r="B69" s="4" t="s">
        <v>2492</v>
      </c>
      <c r="C69" s="4" t="s">
        <v>2492</v>
      </c>
      <c r="D69" s="4" t="s">
        <v>2492</v>
      </c>
    </row>
    <row r="70" spans="1:4" x14ac:dyDescent="0.25">
      <c r="A70" s="4" t="s">
        <v>119</v>
      </c>
      <c r="B70" s="4" t="s">
        <v>1497</v>
      </c>
      <c r="C70" s="4" t="s">
        <v>1497</v>
      </c>
      <c r="D70" s="4" t="s">
        <v>1497</v>
      </c>
    </row>
    <row r="71" spans="1:4" x14ac:dyDescent="0.25">
      <c r="A71" s="4" t="s">
        <v>124</v>
      </c>
      <c r="B71" s="4" t="s">
        <v>2492</v>
      </c>
      <c r="C71" s="4" t="s">
        <v>2497</v>
      </c>
      <c r="D71" s="4" t="s">
        <v>2492</v>
      </c>
    </row>
    <row r="72" spans="1:4" x14ac:dyDescent="0.25">
      <c r="A72" s="4" t="s">
        <v>126</v>
      </c>
      <c r="B72" s="4" t="s">
        <v>1497</v>
      </c>
      <c r="C72" s="4" t="s">
        <v>1497</v>
      </c>
      <c r="D72" s="4" t="s">
        <v>1497</v>
      </c>
    </row>
    <row r="73" spans="1:4" x14ac:dyDescent="0.25">
      <c r="A73" s="4" t="s">
        <v>129</v>
      </c>
      <c r="B73" s="4" t="s">
        <v>2492</v>
      </c>
      <c r="C73" s="4" t="s">
        <v>1497</v>
      </c>
      <c r="D73" s="4" t="s">
        <v>2492</v>
      </c>
    </row>
    <row r="74" spans="1:4" x14ac:dyDescent="0.25">
      <c r="A74" s="4" t="s">
        <v>130</v>
      </c>
      <c r="B74" s="4" t="s">
        <v>444</v>
      </c>
      <c r="C74" s="4" t="s">
        <v>1497</v>
      </c>
      <c r="D74" s="4" t="s">
        <v>444</v>
      </c>
    </row>
    <row r="75" spans="1:4" x14ac:dyDescent="0.25">
      <c r="A75" s="4" t="s">
        <v>130</v>
      </c>
      <c r="B75" s="4" t="s">
        <v>2492</v>
      </c>
      <c r="C75" s="4" t="s">
        <v>1497</v>
      </c>
      <c r="D75" s="4" t="s">
        <v>2492</v>
      </c>
    </row>
    <row r="76" spans="1:4" x14ac:dyDescent="0.25">
      <c r="A76" s="4" t="s">
        <v>130</v>
      </c>
      <c r="B76" s="4" t="s">
        <v>2492</v>
      </c>
      <c r="C76" s="4" t="s">
        <v>2497</v>
      </c>
      <c r="D76" s="4" t="s">
        <v>2492</v>
      </c>
    </row>
    <row r="77" spans="1:4" x14ac:dyDescent="0.25">
      <c r="A77" s="4" t="s">
        <v>142</v>
      </c>
      <c r="B77" s="4" t="s">
        <v>2492</v>
      </c>
      <c r="C77" s="4" t="s">
        <v>2492</v>
      </c>
      <c r="D77" s="4" t="s">
        <v>2492</v>
      </c>
    </row>
    <row r="78" spans="1:4" x14ac:dyDescent="0.25">
      <c r="A78" s="4" t="s">
        <v>145</v>
      </c>
      <c r="B78" s="4" t="s">
        <v>443</v>
      </c>
      <c r="C78" s="4" t="s">
        <v>1497</v>
      </c>
      <c r="D78" s="4" t="s">
        <v>443</v>
      </c>
    </row>
    <row r="79" spans="1:4" x14ac:dyDescent="0.25">
      <c r="A79" s="4" t="s">
        <v>145</v>
      </c>
      <c r="B79" s="4" t="s">
        <v>444</v>
      </c>
      <c r="C79" s="4" t="s">
        <v>1497</v>
      </c>
      <c r="D79" s="4" t="s">
        <v>444</v>
      </c>
    </row>
    <row r="80" spans="1:4" x14ac:dyDescent="0.25">
      <c r="A80" s="4" t="s">
        <v>145</v>
      </c>
      <c r="B80" s="4" t="s">
        <v>2492</v>
      </c>
      <c r="C80" s="4" t="s">
        <v>1497</v>
      </c>
      <c r="D80" s="4" t="s">
        <v>2492</v>
      </c>
    </row>
    <row r="81" spans="1:4" x14ac:dyDescent="0.25">
      <c r="A81" s="4" t="s">
        <v>145</v>
      </c>
      <c r="B81" s="4" t="s">
        <v>2492</v>
      </c>
      <c r="C81" s="4" t="s">
        <v>2497</v>
      </c>
      <c r="D81" s="4" t="s">
        <v>2492</v>
      </c>
    </row>
    <row r="82" spans="1:4" x14ac:dyDescent="0.25">
      <c r="A82" s="4" t="s">
        <v>146</v>
      </c>
      <c r="B82" s="4" t="s">
        <v>443</v>
      </c>
      <c r="C82" s="4" t="s">
        <v>1497</v>
      </c>
      <c r="D82" s="4" t="s">
        <v>443</v>
      </c>
    </row>
    <row r="83" spans="1:4" x14ac:dyDescent="0.25">
      <c r="A83" s="4" t="s">
        <v>146</v>
      </c>
      <c r="B83" s="4" t="s">
        <v>2492</v>
      </c>
      <c r="C83" s="4" t="s">
        <v>2497</v>
      </c>
      <c r="D83" s="4" t="s">
        <v>2492</v>
      </c>
    </row>
    <row r="84" spans="1:4" x14ac:dyDescent="0.25">
      <c r="A84" s="4" t="s">
        <v>147</v>
      </c>
      <c r="B84" s="4" t="s">
        <v>1497</v>
      </c>
      <c r="C84" s="4" t="s">
        <v>1497</v>
      </c>
      <c r="D84" s="4" t="s">
        <v>1497</v>
      </c>
    </row>
    <row r="85" spans="1:4" x14ac:dyDescent="0.25">
      <c r="A85" s="4" t="s">
        <v>147</v>
      </c>
      <c r="B85" s="4" t="s">
        <v>2498</v>
      </c>
      <c r="C85" s="4" t="s">
        <v>2498</v>
      </c>
      <c r="D85" s="4" t="s">
        <v>2498</v>
      </c>
    </row>
    <row r="86" spans="1:4" x14ac:dyDescent="0.25">
      <c r="A86" s="4" t="s">
        <v>150</v>
      </c>
      <c r="B86" s="4" t="s">
        <v>2493</v>
      </c>
      <c r="C86" s="4" t="s">
        <v>2493</v>
      </c>
      <c r="D86" s="4" t="s">
        <v>2493</v>
      </c>
    </row>
    <row r="87" spans="1:4" x14ac:dyDescent="0.25">
      <c r="A87" s="4" t="s">
        <v>150</v>
      </c>
      <c r="B87" s="4" t="s">
        <v>1497</v>
      </c>
      <c r="C87" s="4" t="s">
        <v>1497</v>
      </c>
      <c r="D87" s="4" t="s">
        <v>1497</v>
      </c>
    </row>
    <row r="88" spans="1:4" x14ac:dyDescent="0.25">
      <c r="A88" s="4" t="s">
        <v>155</v>
      </c>
      <c r="B88" s="4" t="s">
        <v>1497</v>
      </c>
      <c r="C88" s="4" t="s">
        <v>1497</v>
      </c>
      <c r="D88" s="4" t="s">
        <v>1497</v>
      </c>
    </row>
    <row r="89" spans="1:4" x14ac:dyDescent="0.25">
      <c r="A89" s="4" t="s">
        <v>161</v>
      </c>
      <c r="B89" s="4" t="s">
        <v>2492</v>
      </c>
      <c r="C89" s="4" t="s">
        <v>2497</v>
      </c>
      <c r="D89" s="4" t="s">
        <v>2492</v>
      </c>
    </row>
    <row r="90" spans="1:4" x14ac:dyDescent="0.25">
      <c r="A90" s="4" t="s">
        <v>164</v>
      </c>
      <c r="B90" s="4" t="s">
        <v>2492</v>
      </c>
      <c r="C90" s="4" t="s">
        <v>1497</v>
      </c>
      <c r="D90" s="4" t="s">
        <v>2492</v>
      </c>
    </row>
    <row r="91" spans="1:4" x14ac:dyDescent="0.25">
      <c r="A91" s="4" t="s">
        <v>164</v>
      </c>
      <c r="B91" s="4" t="s">
        <v>2492</v>
      </c>
      <c r="C91" s="4" t="s">
        <v>2497</v>
      </c>
      <c r="D91" s="4" t="s">
        <v>2492</v>
      </c>
    </row>
    <row r="92" spans="1:4" x14ac:dyDescent="0.25">
      <c r="A92" s="4" t="s">
        <v>167</v>
      </c>
      <c r="B92" s="4" t="s">
        <v>2492</v>
      </c>
      <c r="C92" s="4" t="s">
        <v>2492</v>
      </c>
      <c r="D92" s="4" t="s">
        <v>2492</v>
      </c>
    </row>
    <row r="93" spans="1:4" x14ac:dyDescent="0.25">
      <c r="A93" s="4" t="s">
        <v>176</v>
      </c>
      <c r="B93" s="4" t="s">
        <v>2492</v>
      </c>
      <c r="C93" s="4" t="s">
        <v>2492</v>
      </c>
      <c r="D93" s="4" t="s">
        <v>2492</v>
      </c>
    </row>
    <row r="94" spans="1:4" x14ac:dyDescent="0.25">
      <c r="A94" s="4" t="s">
        <v>177</v>
      </c>
      <c r="B94" s="4" t="s">
        <v>2494</v>
      </c>
      <c r="C94" s="4" t="s">
        <v>2494</v>
      </c>
      <c r="D94" s="4" t="s">
        <v>2494</v>
      </c>
    </row>
    <row r="95" spans="1:4" x14ac:dyDescent="0.25">
      <c r="A95" s="4" t="s">
        <v>177</v>
      </c>
      <c r="B95" s="4" t="s">
        <v>1497</v>
      </c>
      <c r="C95" s="4" t="s">
        <v>1497</v>
      </c>
      <c r="D95" s="4" t="s">
        <v>1497</v>
      </c>
    </row>
    <row r="96" spans="1:4" x14ac:dyDescent="0.25">
      <c r="A96" s="4" t="s">
        <v>178</v>
      </c>
      <c r="B96" s="4" t="s">
        <v>2492</v>
      </c>
      <c r="C96" s="4" t="s">
        <v>1497</v>
      </c>
      <c r="D96" s="4" t="s">
        <v>2492</v>
      </c>
    </row>
    <row r="97" spans="1:4" x14ac:dyDescent="0.25">
      <c r="A97" s="4" t="s">
        <v>179</v>
      </c>
      <c r="B97" s="4" t="s">
        <v>444</v>
      </c>
      <c r="C97" s="4" t="s">
        <v>1497</v>
      </c>
      <c r="D97" s="4" t="s">
        <v>444</v>
      </c>
    </row>
    <row r="98" spans="1:4" x14ac:dyDescent="0.25">
      <c r="A98" s="4" t="s">
        <v>179</v>
      </c>
      <c r="B98" s="4" t="s">
        <v>2492</v>
      </c>
      <c r="C98" s="4" t="s">
        <v>1497</v>
      </c>
      <c r="D98" s="4" t="s">
        <v>2492</v>
      </c>
    </row>
    <row r="99" spans="1:4" x14ac:dyDescent="0.25">
      <c r="A99" s="4" t="s">
        <v>183</v>
      </c>
      <c r="B99" s="4" t="s">
        <v>1497</v>
      </c>
      <c r="C99" s="4" t="s">
        <v>1497</v>
      </c>
      <c r="D99" s="4" t="s">
        <v>1497</v>
      </c>
    </row>
    <row r="100" spans="1:4" x14ac:dyDescent="0.25">
      <c r="A100" s="4" t="s">
        <v>183</v>
      </c>
      <c r="B100" s="4" t="s">
        <v>2507</v>
      </c>
      <c r="C100" s="4" t="s">
        <v>2507</v>
      </c>
      <c r="D100" s="4" t="s">
        <v>2507</v>
      </c>
    </row>
    <row r="101" spans="1:4" x14ac:dyDescent="0.25">
      <c r="A101" s="4" t="s">
        <v>187</v>
      </c>
      <c r="B101" s="4" t="s">
        <v>2492</v>
      </c>
      <c r="C101" s="4" t="s">
        <v>1497</v>
      </c>
      <c r="D101" s="4" t="s">
        <v>2492</v>
      </c>
    </row>
    <row r="102" spans="1:4" x14ac:dyDescent="0.25">
      <c r="A102" s="4" t="s">
        <v>187</v>
      </c>
      <c r="B102" s="4" t="s">
        <v>2492</v>
      </c>
      <c r="C102" s="4" t="s">
        <v>2497</v>
      </c>
      <c r="D102" s="4" t="s">
        <v>2492</v>
      </c>
    </row>
    <row r="103" spans="1:4" x14ac:dyDescent="0.25">
      <c r="A103" s="4" t="s">
        <v>189</v>
      </c>
      <c r="B103" s="4" t="s">
        <v>2492</v>
      </c>
      <c r="C103" s="4" t="s">
        <v>1497</v>
      </c>
      <c r="D103" s="4" t="s">
        <v>2492</v>
      </c>
    </row>
    <row r="104" spans="1:4" x14ac:dyDescent="0.25">
      <c r="A104" s="4" t="s">
        <v>189</v>
      </c>
      <c r="B104" s="4" t="s">
        <v>2492</v>
      </c>
      <c r="C104" s="4" t="s">
        <v>2497</v>
      </c>
      <c r="D104" s="4" t="s">
        <v>2492</v>
      </c>
    </row>
    <row r="105" spans="1:4" x14ac:dyDescent="0.25">
      <c r="A105" s="4" t="s">
        <v>190</v>
      </c>
      <c r="B105" s="4" t="s">
        <v>2493</v>
      </c>
      <c r="C105" s="4" t="s">
        <v>2493</v>
      </c>
      <c r="D105" s="4" t="s">
        <v>2493</v>
      </c>
    </row>
    <row r="106" spans="1:4" x14ac:dyDescent="0.25">
      <c r="A106" s="4" t="s">
        <v>190</v>
      </c>
      <c r="B106" s="4" t="s">
        <v>2508</v>
      </c>
      <c r="C106" s="4" t="s">
        <v>2508</v>
      </c>
      <c r="D106" s="4" t="s">
        <v>2508</v>
      </c>
    </row>
    <row r="107" spans="1:4" x14ac:dyDescent="0.25">
      <c r="A107" s="4" t="s">
        <v>190</v>
      </c>
      <c r="B107" s="4" t="s">
        <v>2509</v>
      </c>
      <c r="C107" s="4" t="s">
        <v>2509</v>
      </c>
      <c r="D107" s="4" t="s">
        <v>2509</v>
      </c>
    </row>
    <row r="108" spans="1:4" x14ac:dyDescent="0.25">
      <c r="A108" s="4" t="s">
        <v>190</v>
      </c>
      <c r="B108" s="4" t="s">
        <v>2510</v>
      </c>
      <c r="C108" s="4" t="s">
        <v>2510</v>
      </c>
      <c r="D108" s="4" t="s">
        <v>2510</v>
      </c>
    </row>
    <row r="109" spans="1:4" x14ac:dyDescent="0.25">
      <c r="A109" s="4" t="s">
        <v>190</v>
      </c>
      <c r="B109" s="4" t="s">
        <v>2511</v>
      </c>
      <c r="C109" s="4" t="s">
        <v>2511</v>
      </c>
      <c r="D109" s="4" t="s">
        <v>2511</v>
      </c>
    </row>
    <row r="110" spans="1:4" x14ac:dyDescent="0.25">
      <c r="A110" s="4" t="s">
        <v>190</v>
      </c>
      <c r="B110" s="4" t="s">
        <v>2512</v>
      </c>
      <c r="C110" s="4" t="s">
        <v>2512</v>
      </c>
      <c r="D110" s="4" t="s">
        <v>2512</v>
      </c>
    </row>
    <row r="111" spans="1:4" x14ac:dyDescent="0.25">
      <c r="A111" s="4" t="s">
        <v>190</v>
      </c>
      <c r="B111" s="4" t="s">
        <v>1497</v>
      </c>
      <c r="C111" s="4" t="s">
        <v>1497</v>
      </c>
      <c r="D111" s="4" t="s">
        <v>1497</v>
      </c>
    </row>
    <row r="112" spans="1:4" x14ac:dyDescent="0.25">
      <c r="A112" s="4" t="s">
        <v>190</v>
      </c>
      <c r="B112" s="4" t="s">
        <v>2513</v>
      </c>
      <c r="C112" s="4" t="s">
        <v>2513</v>
      </c>
      <c r="D112" s="4" t="s">
        <v>2513</v>
      </c>
    </row>
    <row r="113" spans="1:4" x14ac:dyDescent="0.25">
      <c r="A113" s="4" t="s">
        <v>190</v>
      </c>
      <c r="B113" s="4" t="s">
        <v>2514</v>
      </c>
      <c r="C113" s="4" t="s">
        <v>2514</v>
      </c>
      <c r="D113" s="4" t="s">
        <v>2514</v>
      </c>
    </row>
    <row r="114" spans="1:4" x14ac:dyDescent="0.25">
      <c r="A114" s="4" t="s">
        <v>190</v>
      </c>
      <c r="B114" s="4" t="s">
        <v>2506</v>
      </c>
      <c r="C114" s="4" t="s">
        <v>2506</v>
      </c>
      <c r="D114" s="4" t="s">
        <v>2506</v>
      </c>
    </row>
    <row r="115" spans="1:4" x14ac:dyDescent="0.25">
      <c r="A115" s="4" t="s">
        <v>190</v>
      </c>
      <c r="B115" s="4" t="s">
        <v>2515</v>
      </c>
      <c r="C115" s="4" t="s">
        <v>2515</v>
      </c>
      <c r="D115" s="4" t="s">
        <v>2515</v>
      </c>
    </row>
    <row r="116" spans="1:4" x14ac:dyDescent="0.25">
      <c r="A116" s="4" t="s">
        <v>190</v>
      </c>
      <c r="B116" s="4" t="s">
        <v>2516</v>
      </c>
      <c r="C116" s="4" t="s">
        <v>2516</v>
      </c>
      <c r="D116" s="4" t="s">
        <v>2516</v>
      </c>
    </row>
    <row r="117" spans="1:4" x14ac:dyDescent="0.25">
      <c r="A117" s="4" t="s">
        <v>190</v>
      </c>
      <c r="B117" s="4" t="s">
        <v>2517</v>
      </c>
      <c r="C117" s="4" t="s">
        <v>2517</v>
      </c>
      <c r="D117" s="4" t="s">
        <v>2517</v>
      </c>
    </row>
    <row r="118" spans="1:4" x14ac:dyDescent="0.25">
      <c r="A118" s="4" t="s">
        <v>194</v>
      </c>
      <c r="B118" s="4" t="s">
        <v>1497</v>
      </c>
      <c r="C118" s="4" t="s">
        <v>1497</v>
      </c>
      <c r="D118" s="4" t="s">
        <v>1497</v>
      </c>
    </row>
    <row r="119" spans="1:4" x14ac:dyDescent="0.25">
      <c r="A119" s="4" t="s">
        <v>194</v>
      </c>
      <c r="B119" s="4" t="s">
        <v>2514</v>
      </c>
      <c r="C119" s="4" t="s">
        <v>2514</v>
      </c>
      <c r="D119" s="4" t="s">
        <v>2514</v>
      </c>
    </row>
    <row r="120" spans="1:4" x14ac:dyDescent="0.25">
      <c r="A120" s="4" t="s">
        <v>196</v>
      </c>
      <c r="B120" s="4" t="s">
        <v>2498</v>
      </c>
      <c r="C120" s="4" t="s">
        <v>2498</v>
      </c>
      <c r="D120" s="4" t="s">
        <v>2498</v>
      </c>
    </row>
    <row r="121" spans="1:4" x14ac:dyDescent="0.25">
      <c r="A121" s="4" t="s">
        <v>199</v>
      </c>
      <c r="B121" s="4" t="s">
        <v>2492</v>
      </c>
      <c r="C121" s="4" t="s">
        <v>1497</v>
      </c>
      <c r="D121" s="4" t="s">
        <v>2492</v>
      </c>
    </row>
    <row r="122" spans="1:4" x14ac:dyDescent="0.25">
      <c r="A122" s="4" t="s">
        <v>199</v>
      </c>
      <c r="B122" s="4" t="s">
        <v>2492</v>
      </c>
      <c r="C122" s="4" t="s">
        <v>2497</v>
      </c>
      <c r="D122" s="4" t="s">
        <v>2492</v>
      </c>
    </row>
    <row r="123" spans="1:4" x14ac:dyDescent="0.25">
      <c r="A123" s="4" t="s">
        <v>202</v>
      </c>
      <c r="B123" s="4" t="s">
        <v>1497</v>
      </c>
      <c r="C123" s="4" t="s">
        <v>1497</v>
      </c>
      <c r="D123" s="4" t="s">
        <v>1497</v>
      </c>
    </row>
    <row r="124" spans="1:4" x14ac:dyDescent="0.25">
      <c r="A124" s="4" t="s">
        <v>203</v>
      </c>
      <c r="B124" s="4" t="s">
        <v>1497</v>
      </c>
      <c r="C124" s="4" t="s">
        <v>1497</v>
      </c>
      <c r="D124" s="4" t="s">
        <v>1497</v>
      </c>
    </row>
    <row r="125" spans="1:4" x14ac:dyDescent="0.25">
      <c r="A125" s="4" t="s">
        <v>207</v>
      </c>
      <c r="B125" s="4" t="s">
        <v>2492</v>
      </c>
      <c r="C125" s="4" t="s">
        <v>1497</v>
      </c>
      <c r="D125" s="4" t="s">
        <v>2492</v>
      </c>
    </row>
    <row r="126" spans="1:4" x14ac:dyDescent="0.25">
      <c r="A126" s="4" t="s">
        <v>207</v>
      </c>
      <c r="B126" s="4" t="s">
        <v>2492</v>
      </c>
      <c r="C126" s="4" t="s">
        <v>2497</v>
      </c>
      <c r="D126" s="4" t="s">
        <v>2492</v>
      </c>
    </row>
    <row r="127" spans="1:4" x14ac:dyDescent="0.25">
      <c r="A127" s="4" t="s">
        <v>208</v>
      </c>
      <c r="B127" s="4" t="s">
        <v>2492</v>
      </c>
      <c r="C127" s="4" t="s">
        <v>1497</v>
      </c>
      <c r="D127" s="4" t="s">
        <v>2492</v>
      </c>
    </row>
    <row r="128" spans="1:4" x14ac:dyDescent="0.25">
      <c r="A128" s="4" t="s">
        <v>212</v>
      </c>
      <c r="B128" s="4" t="s">
        <v>2492</v>
      </c>
      <c r="C128" s="4" t="s">
        <v>2497</v>
      </c>
      <c r="D128" s="4" t="s">
        <v>2492</v>
      </c>
    </row>
    <row r="129" spans="1:4" x14ac:dyDescent="0.25">
      <c r="A129" s="4" t="s">
        <v>216</v>
      </c>
      <c r="B129" s="4" t="s">
        <v>1497</v>
      </c>
      <c r="C129" s="4" t="s">
        <v>1497</v>
      </c>
      <c r="D129" s="4" t="s">
        <v>1497</v>
      </c>
    </row>
    <row r="130" spans="1:4" x14ac:dyDescent="0.25">
      <c r="A130" s="4" t="s">
        <v>217</v>
      </c>
      <c r="B130" s="4" t="s">
        <v>1497</v>
      </c>
      <c r="C130" s="4" t="s">
        <v>1497</v>
      </c>
      <c r="D130" s="4" t="s">
        <v>1497</v>
      </c>
    </row>
    <row r="131" spans="1:4" x14ac:dyDescent="0.25">
      <c r="A131" s="4" t="s">
        <v>218</v>
      </c>
      <c r="B131" s="4" t="s">
        <v>2518</v>
      </c>
      <c r="C131" s="4" t="s">
        <v>2518</v>
      </c>
      <c r="D131" s="4" t="s">
        <v>2518</v>
      </c>
    </row>
    <row r="132" spans="1:4" x14ac:dyDescent="0.25">
      <c r="A132" s="4" t="s">
        <v>218</v>
      </c>
      <c r="B132" s="4" t="s">
        <v>2492</v>
      </c>
      <c r="C132" s="4" t="s">
        <v>2492</v>
      </c>
      <c r="D132" s="4" t="s">
        <v>2492</v>
      </c>
    </row>
    <row r="133" spans="1:4" x14ac:dyDescent="0.25">
      <c r="A133" s="4" t="s">
        <v>222</v>
      </c>
      <c r="B133" s="4" t="s">
        <v>2492</v>
      </c>
      <c r="C133" s="4" t="s">
        <v>1497</v>
      </c>
      <c r="D133" s="4" t="s">
        <v>2492</v>
      </c>
    </row>
    <row r="134" spans="1:4" x14ac:dyDescent="0.25">
      <c r="A134" s="4" t="s">
        <v>222</v>
      </c>
      <c r="B134" s="4" t="s">
        <v>2492</v>
      </c>
      <c r="C134" s="4" t="s">
        <v>2497</v>
      </c>
      <c r="D134" s="4" t="s">
        <v>2492</v>
      </c>
    </row>
    <row r="135" spans="1:4" x14ac:dyDescent="0.25">
      <c r="A135" s="4" t="s">
        <v>232</v>
      </c>
      <c r="B135" s="4" t="s">
        <v>2492</v>
      </c>
      <c r="C135" s="4" t="s">
        <v>1497</v>
      </c>
      <c r="D135" s="4" t="s">
        <v>2492</v>
      </c>
    </row>
    <row r="136" spans="1:4" x14ac:dyDescent="0.25">
      <c r="A136" s="4" t="s">
        <v>232</v>
      </c>
      <c r="B136" s="4" t="s">
        <v>2492</v>
      </c>
      <c r="C136" s="4" t="s">
        <v>2497</v>
      </c>
      <c r="D136" s="4" t="s">
        <v>2492</v>
      </c>
    </row>
    <row r="137" spans="1:4" x14ac:dyDescent="0.25">
      <c r="A137" s="4" t="s">
        <v>233</v>
      </c>
      <c r="B137" s="4" t="s">
        <v>2492</v>
      </c>
      <c r="C137" s="4" t="s">
        <v>2497</v>
      </c>
      <c r="D137" s="4" t="s">
        <v>2492</v>
      </c>
    </row>
    <row r="138" spans="1:4" x14ac:dyDescent="0.25">
      <c r="A138" s="4" t="s">
        <v>234</v>
      </c>
      <c r="B138" s="4" t="s">
        <v>2492</v>
      </c>
      <c r="C138" s="4" t="s">
        <v>1497</v>
      </c>
      <c r="D138" s="4" t="s">
        <v>2492</v>
      </c>
    </row>
    <row r="139" spans="1:4" x14ac:dyDescent="0.25">
      <c r="A139" s="4" t="s">
        <v>234</v>
      </c>
      <c r="B139" s="4" t="s">
        <v>2492</v>
      </c>
      <c r="C139" s="4" t="s">
        <v>2497</v>
      </c>
      <c r="D139" s="4" t="s">
        <v>2492</v>
      </c>
    </row>
    <row r="140" spans="1:4" x14ac:dyDescent="0.25">
      <c r="A140" s="4" t="s">
        <v>237</v>
      </c>
      <c r="B140" s="4" t="s">
        <v>2492</v>
      </c>
      <c r="C140" s="4" t="s">
        <v>2497</v>
      </c>
      <c r="D140" s="4" t="s">
        <v>2492</v>
      </c>
    </row>
    <row r="141" spans="1:4" x14ac:dyDescent="0.25">
      <c r="A141" s="4" t="s">
        <v>238</v>
      </c>
      <c r="B141" s="4" t="s">
        <v>2492</v>
      </c>
      <c r="C141" s="4" t="s">
        <v>2492</v>
      </c>
      <c r="D141" s="4" t="s">
        <v>2492</v>
      </c>
    </row>
    <row r="142" spans="1:4" x14ac:dyDescent="0.25">
      <c r="A142" s="4" t="s">
        <v>239</v>
      </c>
      <c r="B142" s="4" t="s">
        <v>2492</v>
      </c>
      <c r="C142" s="4" t="s">
        <v>1497</v>
      </c>
      <c r="D142" s="4" t="s">
        <v>2492</v>
      </c>
    </row>
    <row r="143" spans="1:4" x14ac:dyDescent="0.25">
      <c r="A143" s="4" t="s">
        <v>239</v>
      </c>
      <c r="B143" s="4" t="s">
        <v>2492</v>
      </c>
      <c r="C143" s="4" t="s">
        <v>2497</v>
      </c>
      <c r="D143" s="4" t="s">
        <v>2492</v>
      </c>
    </row>
    <row r="144" spans="1:4" x14ac:dyDescent="0.25">
      <c r="A144" s="4" t="s">
        <v>240</v>
      </c>
      <c r="B144" s="4" t="s">
        <v>2492</v>
      </c>
      <c r="C144" s="4" t="s">
        <v>1497</v>
      </c>
      <c r="D144" s="4" t="s">
        <v>2492</v>
      </c>
    </row>
    <row r="145" spans="1:4" x14ac:dyDescent="0.25">
      <c r="A145" s="4" t="s">
        <v>240</v>
      </c>
      <c r="B145" s="4" t="s">
        <v>2492</v>
      </c>
      <c r="C145" s="4" t="s">
        <v>2497</v>
      </c>
      <c r="D145" s="4" t="s">
        <v>2492</v>
      </c>
    </row>
    <row r="146" spans="1:4" x14ac:dyDescent="0.25">
      <c r="A146" s="4" t="s">
        <v>241</v>
      </c>
      <c r="B146" s="4" t="s">
        <v>2498</v>
      </c>
      <c r="C146" s="4" t="s">
        <v>2498</v>
      </c>
      <c r="D146" s="4" t="s">
        <v>2498</v>
      </c>
    </row>
    <row r="147" spans="1:4" x14ac:dyDescent="0.25">
      <c r="A147" s="4" t="s">
        <v>248</v>
      </c>
      <c r="B147" s="4" t="s">
        <v>2498</v>
      </c>
      <c r="C147" s="4" t="s">
        <v>2498</v>
      </c>
      <c r="D147" s="4" t="s">
        <v>2498</v>
      </c>
    </row>
    <row r="148" spans="1:4" x14ac:dyDescent="0.25">
      <c r="A148" s="4" t="s">
        <v>249</v>
      </c>
      <c r="B148" s="4" t="s">
        <v>2492</v>
      </c>
      <c r="C148" s="4" t="s">
        <v>2497</v>
      </c>
      <c r="D148" s="4" t="s">
        <v>2492</v>
      </c>
    </row>
    <row r="149" spans="1:4" x14ac:dyDescent="0.25">
      <c r="A149" s="4" t="s">
        <v>252</v>
      </c>
      <c r="B149" s="4" t="s">
        <v>2492</v>
      </c>
      <c r="C149" s="4" t="s">
        <v>2497</v>
      </c>
      <c r="D149" s="4" t="s">
        <v>2492</v>
      </c>
    </row>
    <row r="150" spans="1:4" x14ac:dyDescent="0.25">
      <c r="A150" s="4" t="s">
        <v>256</v>
      </c>
      <c r="B150" s="4" t="s">
        <v>2498</v>
      </c>
      <c r="C150" s="4" t="s">
        <v>2498</v>
      </c>
      <c r="D150" s="4" t="s">
        <v>2498</v>
      </c>
    </row>
    <row r="151" spans="1:4" x14ac:dyDescent="0.25">
      <c r="A151" s="4" t="s">
        <v>257</v>
      </c>
      <c r="B151" s="4" t="s">
        <v>2492</v>
      </c>
      <c r="C151" s="4" t="s">
        <v>1497</v>
      </c>
      <c r="D151" s="4" t="s">
        <v>2492</v>
      </c>
    </row>
    <row r="152" spans="1:4" x14ac:dyDescent="0.25">
      <c r="A152" s="4" t="s">
        <v>257</v>
      </c>
      <c r="B152" s="4" t="s">
        <v>2492</v>
      </c>
      <c r="C152" s="4" t="s">
        <v>2497</v>
      </c>
      <c r="D152" s="4" t="s">
        <v>2492</v>
      </c>
    </row>
    <row r="153" spans="1:4" x14ac:dyDescent="0.25">
      <c r="A153" s="4" t="s">
        <v>260</v>
      </c>
      <c r="B153" s="4" t="s">
        <v>444</v>
      </c>
      <c r="C153" s="4" t="s">
        <v>1497</v>
      </c>
      <c r="D153" s="4" t="s">
        <v>444</v>
      </c>
    </row>
    <row r="154" spans="1:4" x14ac:dyDescent="0.25">
      <c r="A154" s="4" t="s">
        <v>260</v>
      </c>
      <c r="B154" s="4" t="s">
        <v>2492</v>
      </c>
      <c r="C154" s="4" t="s">
        <v>1497</v>
      </c>
      <c r="D154" s="4" t="s">
        <v>2492</v>
      </c>
    </row>
    <row r="155" spans="1:4" x14ac:dyDescent="0.25">
      <c r="A155" s="4" t="s">
        <v>265</v>
      </c>
      <c r="B155" s="4" t="s">
        <v>444</v>
      </c>
      <c r="C155" s="4" t="s">
        <v>1497</v>
      </c>
      <c r="D155" s="4" t="s">
        <v>444</v>
      </c>
    </row>
    <row r="156" spans="1:4" x14ac:dyDescent="0.25">
      <c r="A156" s="4" t="s">
        <v>265</v>
      </c>
      <c r="B156" s="4" t="s">
        <v>2492</v>
      </c>
      <c r="C156" s="4" t="s">
        <v>2492</v>
      </c>
      <c r="D156" s="4" t="s">
        <v>2492</v>
      </c>
    </row>
    <row r="157" spans="1:4" x14ac:dyDescent="0.25">
      <c r="A157" s="4" t="s">
        <v>265</v>
      </c>
      <c r="B157" s="4" t="s">
        <v>2492</v>
      </c>
      <c r="C157" s="4" t="s">
        <v>1497</v>
      </c>
      <c r="D157" s="4" t="s">
        <v>2492</v>
      </c>
    </row>
    <row r="158" spans="1:4" x14ac:dyDescent="0.25">
      <c r="A158" s="4" t="s">
        <v>265</v>
      </c>
      <c r="B158" s="4" t="s">
        <v>2492</v>
      </c>
      <c r="C158" s="4" t="s">
        <v>2497</v>
      </c>
      <c r="D158" s="4" t="s">
        <v>2492</v>
      </c>
    </row>
    <row r="159" spans="1:4" x14ac:dyDescent="0.25">
      <c r="A159" s="4" t="s">
        <v>271</v>
      </c>
      <c r="B159" s="4" t="s">
        <v>2492</v>
      </c>
      <c r="C159" s="4" t="s">
        <v>1497</v>
      </c>
      <c r="D159" s="4" t="s">
        <v>2492</v>
      </c>
    </row>
    <row r="160" spans="1:4" x14ac:dyDescent="0.25">
      <c r="A160" s="4" t="s">
        <v>274</v>
      </c>
      <c r="B160" s="4" t="s">
        <v>2492</v>
      </c>
      <c r="C160" s="4" t="s">
        <v>2492</v>
      </c>
      <c r="D160" s="4" t="s">
        <v>2492</v>
      </c>
    </row>
    <row r="161" spans="1:4" x14ac:dyDescent="0.25">
      <c r="A161" s="4" t="s">
        <v>276</v>
      </c>
      <c r="B161" s="4" t="s">
        <v>2492</v>
      </c>
      <c r="C161" s="4" t="s">
        <v>2497</v>
      </c>
      <c r="D161" s="4" t="s">
        <v>2492</v>
      </c>
    </row>
    <row r="162" spans="1:4" x14ac:dyDescent="0.25">
      <c r="A162" s="4" t="s">
        <v>277</v>
      </c>
      <c r="B162" s="4" t="s">
        <v>2492</v>
      </c>
      <c r="C162" s="4" t="s">
        <v>1497</v>
      </c>
      <c r="D162" s="4" t="s">
        <v>2492</v>
      </c>
    </row>
    <row r="163" spans="1:4" x14ac:dyDescent="0.25">
      <c r="A163" s="4" t="s">
        <v>278</v>
      </c>
      <c r="B163" s="4" t="s">
        <v>2501</v>
      </c>
      <c r="C163" s="4" t="s">
        <v>2501</v>
      </c>
      <c r="D163" s="4" t="s">
        <v>2501</v>
      </c>
    </row>
    <row r="164" spans="1:4" x14ac:dyDescent="0.25">
      <c r="A164" s="4" t="s">
        <v>279</v>
      </c>
      <c r="B164" s="4" t="s">
        <v>2503</v>
      </c>
      <c r="C164" s="4" t="s">
        <v>2503</v>
      </c>
      <c r="D164" s="4" t="s">
        <v>2503</v>
      </c>
    </row>
    <row r="165" spans="1:4" x14ac:dyDescent="0.25">
      <c r="A165" s="4" t="s">
        <v>293</v>
      </c>
      <c r="B165" s="4" t="s">
        <v>2519</v>
      </c>
      <c r="C165" s="4" t="s">
        <v>2519</v>
      </c>
      <c r="D165" s="4" t="s">
        <v>2519</v>
      </c>
    </row>
    <row r="166" spans="1:4" x14ac:dyDescent="0.25">
      <c r="A166" s="4" t="s">
        <v>293</v>
      </c>
      <c r="B166" s="4" t="s">
        <v>2506</v>
      </c>
      <c r="C166" s="4" t="s">
        <v>2506</v>
      </c>
      <c r="D166" s="4" t="s">
        <v>2506</v>
      </c>
    </row>
    <row r="167" spans="1:4" x14ac:dyDescent="0.25">
      <c r="A167" s="4" t="s">
        <v>293</v>
      </c>
      <c r="B167" s="4" t="s">
        <v>2498</v>
      </c>
      <c r="C167" s="4" t="s">
        <v>2498</v>
      </c>
      <c r="D167" s="4" t="s">
        <v>2498</v>
      </c>
    </row>
    <row r="168" spans="1:4" x14ac:dyDescent="0.25">
      <c r="A168" s="4" t="s">
        <v>294</v>
      </c>
      <c r="B168" s="4" t="s">
        <v>2492</v>
      </c>
      <c r="C168" s="4" t="s">
        <v>1497</v>
      </c>
      <c r="D168" s="4" t="s">
        <v>2492</v>
      </c>
    </row>
    <row r="169" spans="1:4" x14ac:dyDescent="0.25">
      <c r="A169" s="4" t="s">
        <v>300</v>
      </c>
      <c r="B169" s="4" t="s">
        <v>2492</v>
      </c>
      <c r="C169" s="4" t="s">
        <v>1497</v>
      </c>
      <c r="D169" s="4" t="s">
        <v>2492</v>
      </c>
    </row>
    <row r="170" spans="1:4" x14ac:dyDescent="0.25">
      <c r="A170" s="4" t="s">
        <v>300</v>
      </c>
      <c r="B170" s="4" t="s">
        <v>2492</v>
      </c>
      <c r="C170" s="4" t="s">
        <v>2497</v>
      </c>
      <c r="D170" s="4" t="s">
        <v>2492</v>
      </c>
    </row>
    <row r="171" spans="1:4" x14ac:dyDescent="0.25">
      <c r="A171" s="4" t="s">
        <v>306</v>
      </c>
      <c r="B171" s="4" t="s">
        <v>443</v>
      </c>
      <c r="C171" s="4" t="s">
        <v>1497</v>
      </c>
      <c r="D171" s="4" t="s">
        <v>443</v>
      </c>
    </row>
    <row r="172" spans="1:4" x14ac:dyDescent="0.25">
      <c r="A172" s="4" t="s">
        <v>309</v>
      </c>
      <c r="B172" s="4" t="s">
        <v>2492</v>
      </c>
      <c r="C172" s="4" t="s">
        <v>1497</v>
      </c>
      <c r="D172" s="4" t="s">
        <v>2492</v>
      </c>
    </row>
    <row r="173" spans="1:4" x14ac:dyDescent="0.25">
      <c r="A173" s="4" t="s">
        <v>309</v>
      </c>
      <c r="B173" s="4" t="s">
        <v>2492</v>
      </c>
      <c r="C173" s="4" t="s">
        <v>2497</v>
      </c>
      <c r="D173" s="4" t="s">
        <v>2492</v>
      </c>
    </row>
    <row r="174" spans="1:4" x14ac:dyDescent="0.25">
      <c r="A174" s="4" t="s">
        <v>310</v>
      </c>
      <c r="B174" s="4" t="s">
        <v>444</v>
      </c>
      <c r="C174" s="4" t="s">
        <v>1497</v>
      </c>
      <c r="D174" s="4" t="s">
        <v>444</v>
      </c>
    </row>
    <row r="175" spans="1:4" x14ac:dyDescent="0.25">
      <c r="A175" s="4" t="s">
        <v>310</v>
      </c>
      <c r="B175" s="4" t="s">
        <v>2492</v>
      </c>
      <c r="C175" s="4" t="s">
        <v>2492</v>
      </c>
      <c r="D175" s="4" t="s">
        <v>2492</v>
      </c>
    </row>
    <row r="176" spans="1:4" x14ac:dyDescent="0.25">
      <c r="A176" s="4" t="s">
        <v>310</v>
      </c>
      <c r="B176" s="4" t="s">
        <v>2492</v>
      </c>
      <c r="C176" s="4" t="s">
        <v>1497</v>
      </c>
      <c r="D176" s="4" t="s">
        <v>2492</v>
      </c>
    </row>
    <row r="177" spans="1:4" x14ac:dyDescent="0.25">
      <c r="A177" s="4" t="s">
        <v>310</v>
      </c>
      <c r="B177" s="4" t="s">
        <v>2492</v>
      </c>
      <c r="C177" s="4" t="s">
        <v>2497</v>
      </c>
      <c r="D177" s="4" t="s">
        <v>2492</v>
      </c>
    </row>
    <row r="178" spans="1:4" x14ac:dyDescent="0.25">
      <c r="A178" s="4" t="s">
        <v>312</v>
      </c>
      <c r="B178" s="4" t="s">
        <v>2492</v>
      </c>
      <c r="C178" s="4" t="s">
        <v>1497</v>
      </c>
      <c r="D178" s="4" t="s">
        <v>2492</v>
      </c>
    </row>
    <row r="179" spans="1:4" x14ac:dyDescent="0.25">
      <c r="A179" s="4" t="s">
        <v>312</v>
      </c>
      <c r="B179" s="4" t="s">
        <v>2492</v>
      </c>
      <c r="C179" s="4" t="s">
        <v>2497</v>
      </c>
      <c r="D179" s="4" t="s">
        <v>2492</v>
      </c>
    </row>
    <row r="180" spans="1:4" x14ac:dyDescent="0.25">
      <c r="A180" s="4" t="s">
        <v>315</v>
      </c>
      <c r="B180" s="4" t="s">
        <v>2492</v>
      </c>
      <c r="C180" s="4" t="s">
        <v>1497</v>
      </c>
      <c r="D180" s="4" t="s">
        <v>2492</v>
      </c>
    </row>
    <row r="181" spans="1:4" x14ac:dyDescent="0.25">
      <c r="A181" s="4" t="s">
        <v>315</v>
      </c>
      <c r="B181" s="4" t="s">
        <v>2492</v>
      </c>
      <c r="C181" s="4" t="s">
        <v>2497</v>
      </c>
      <c r="D181" s="4" t="s">
        <v>2492</v>
      </c>
    </row>
    <row r="182" spans="1:4" x14ac:dyDescent="0.25">
      <c r="A182" s="4" t="s">
        <v>323</v>
      </c>
      <c r="B182" s="4" t="s">
        <v>2492</v>
      </c>
      <c r="C182" s="4" t="s">
        <v>2497</v>
      </c>
      <c r="D182" s="4" t="s">
        <v>2492</v>
      </c>
    </row>
    <row r="183" spans="1:4" x14ac:dyDescent="0.25">
      <c r="A183" s="4" t="s">
        <v>327</v>
      </c>
      <c r="B183" s="4" t="s">
        <v>2493</v>
      </c>
      <c r="C183" s="4" t="s">
        <v>2493</v>
      </c>
      <c r="D183" s="4" t="s">
        <v>2493</v>
      </c>
    </row>
    <row r="184" spans="1:4" x14ac:dyDescent="0.25">
      <c r="A184" s="4" t="s">
        <v>336</v>
      </c>
      <c r="B184" s="4" t="s">
        <v>2492</v>
      </c>
      <c r="C184" s="4" t="s">
        <v>2497</v>
      </c>
      <c r="D184" s="4" t="s">
        <v>2492</v>
      </c>
    </row>
    <row r="185" spans="1:4" x14ac:dyDescent="0.25">
      <c r="A185" s="4" t="s">
        <v>339</v>
      </c>
      <c r="B185" s="4" t="s">
        <v>2492</v>
      </c>
      <c r="C185" s="4" t="s">
        <v>2497</v>
      </c>
      <c r="D185" s="4" t="s">
        <v>2492</v>
      </c>
    </row>
    <row r="186" spans="1:4" x14ac:dyDescent="0.25">
      <c r="A186" s="4" t="s">
        <v>340</v>
      </c>
      <c r="B186" s="4" t="s">
        <v>2492</v>
      </c>
      <c r="C186" s="4" t="s">
        <v>1497</v>
      </c>
      <c r="D186" s="4" t="s">
        <v>2492</v>
      </c>
    </row>
    <row r="187" spans="1:4" x14ac:dyDescent="0.25">
      <c r="A187" s="4" t="s">
        <v>340</v>
      </c>
      <c r="B187" s="4" t="s">
        <v>2492</v>
      </c>
      <c r="C187" s="4" t="s">
        <v>2497</v>
      </c>
      <c r="D187" s="4" t="s">
        <v>2492</v>
      </c>
    </row>
    <row r="188" spans="1:4" x14ac:dyDescent="0.25">
      <c r="A188" s="4" t="s">
        <v>341</v>
      </c>
      <c r="B188" s="4" t="s">
        <v>2492</v>
      </c>
      <c r="C188" s="4" t="s">
        <v>1497</v>
      </c>
      <c r="D188" s="4" t="s">
        <v>2492</v>
      </c>
    </row>
    <row r="189" spans="1:4" x14ac:dyDescent="0.25">
      <c r="A189" s="4" t="s">
        <v>341</v>
      </c>
      <c r="B189" s="4" t="s">
        <v>2492</v>
      </c>
      <c r="C189" s="4" t="s">
        <v>2497</v>
      </c>
      <c r="D189" s="4" t="s">
        <v>2492</v>
      </c>
    </row>
    <row r="190" spans="1:4" x14ac:dyDescent="0.25">
      <c r="A190" s="4" t="s">
        <v>351</v>
      </c>
      <c r="B190" s="4" t="s">
        <v>443</v>
      </c>
      <c r="C190" s="4" t="s">
        <v>1497</v>
      </c>
      <c r="D190" s="4" t="s">
        <v>443</v>
      </c>
    </row>
    <row r="191" spans="1:4" x14ac:dyDescent="0.25">
      <c r="A191" s="4" t="s">
        <v>351</v>
      </c>
      <c r="B191" s="4" t="s">
        <v>444</v>
      </c>
      <c r="C191" s="4" t="s">
        <v>1497</v>
      </c>
      <c r="D191" s="4" t="s">
        <v>444</v>
      </c>
    </row>
    <row r="192" spans="1:4" x14ac:dyDescent="0.25">
      <c r="A192" s="4" t="s">
        <v>351</v>
      </c>
      <c r="B192" s="4" t="s">
        <v>2492</v>
      </c>
      <c r="C192" s="4" t="s">
        <v>1497</v>
      </c>
      <c r="D192" s="4" t="s">
        <v>2492</v>
      </c>
    </row>
    <row r="193" spans="1:4" x14ac:dyDescent="0.25">
      <c r="A193" s="4" t="s">
        <v>351</v>
      </c>
      <c r="B193" s="4" t="s">
        <v>2492</v>
      </c>
      <c r="C193" s="4" t="s">
        <v>2497</v>
      </c>
      <c r="D193" s="4" t="s">
        <v>2492</v>
      </c>
    </row>
    <row r="194" spans="1:4" x14ac:dyDescent="0.25">
      <c r="A194" s="4" t="s">
        <v>352</v>
      </c>
      <c r="B194" s="4" t="s">
        <v>443</v>
      </c>
      <c r="C194" s="4" t="s">
        <v>1497</v>
      </c>
      <c r="D194" s="4" t="s">
        <v>443</v>
      </c>
    </row>
    <row r="195" spans="1:4" x14ac:dyDescent="0.25">
      <c r="A195" s="4" t="s">
        <v>352</v>
      </c>
      <c r="B195" s="4" t="s">
        <v>443</v>
      </c>
      <c r="C195" s="4" t="s">
        <v>1497</v>
      </c>
      <c r="D195" s="4" t="s">
        <v>2492</v>
      </c>
    </row>
    <row r="196" spans="1:4" x14ac:dyDescent="0.25">
      <c r="A196" s="4" t="s">
        <v>352</v>
      </c>
      <c r="B196" s="4" t="s">
        <v>443</v>
      </c>
      <c r="C196" s="4" t="s">
        <v>2497</v>
      </c>
      <c r="D196" s="4" t="s">
        <v>443</v>
      </c>
    </row>
    <row r="197" spans="1:4" x14ac:dyDescent="0.25">
      <c r="A197" s="4" t="s">
        <v>352</v>
      </c>
      <c r="B197" s="4" t="s">
        <v>443</v>
      </c>
      <c r="C197" s="4" t="s">
        <v>2497</v>
      </c>
      <c r="D197" s="4" t="s">
        <v>2492</v>
      </c>
    </row>
    <row r="198" spans="1:4" x14ac:dyDescent="0.25">
      <c r="A198" s="4" t="s">
        <v>352</v>
      </c>
      <c r="B198" s="4" t="s">
        <v>444</v>
      </c>
      <c r="C198" s="4" t="s">
        <v>2495</v>
      </c>
      <c r="D198" s="4" t="s">
        <v>444</v>
      </c>
    </row>
    <row r="199" spans="1:4" x14ac:dyDescent="0.25">
      <c r="A199" s="4" t="s">
        <v>352</v>
      </c>
      <c r="B199" s="4" t="s">
        <v>444</v>
      </c>
      <c r="C199" s="4" t="s">
        <v>2505</v>
      </c>
      <c r="D199" s="4" t="s">
        <v>444</v>
      </c>
    </row>
    <row r="200" spans="1:4" x14ac:dyDescent="0.25">
      <c r="A200" s="4" t="s">
        <v>352</v>
      </c>
      <c r="B200" s="4" t="s">
        <v>444</v>
      </c>
      <c r="C200" s="4" t="s">
        <v>1497</v>
      </c>
      <c r="D200" s="4" t="s">
        <v>444</v>
      </c>
    </row>
    <row r="201" spans="1:4" x14ac:dyDescent="0.25">
      <c r="A201" s="4" t="s">
        <v>352</v>
      </c>
      <c r="B201" s="4" t="s">
        <v>2492</v>
      </c>
      <c r="C201" s="4" t="s">
        <v>1497</v>
      </c>
      <c r="D201" s="4" t="s">
        <v>2492</v>
      </c>
    </row>
    <row r="202" spans="1:4" x14ac:dyDescent="0.25">
      <c r="A202" s="4" t="s">
        <v>352</v>
      </c>
      <c r="B202" s="4" t="s">
        <v>2492</v>
      </c>
      <c r="C202" s="4" t="s">
        <v>2497</v>
      </c>
      <c r="D202" s="4" t="s">
        <v>2492</v>
      </c>
    </row>
    <row r="203" spans="1:4" x14ac:dyDescent="0.25">
      <c r="A203" s="4" t="s">
        <v>361</v>
      </c>
      <c r="B203" s="4" t="s">
        <v>1497</v>
      </c>
      <c r="C203" s="4" t="s">
        <v>1497</v>
      </c>
      <c r="D203" s="4" t="s">
        <v>1497</v>
      </c>
    </row>
    <row r="204" spans="1:4" x14ac:dyDescent="0.25">
      <c r="A204" s="4" t="s">
        <v>363</v>
      </c>
      <c r="B204" s="4" t="s">
        <v>2520</v>
      </c>
      <c r="C204" s="4" t="s">
        <v>2520</v>
      </c>
      <c r="D204" s="4" t="s">
        <v>2520</v>
      </c>
    </row>
    <row r="205" spans="1:4" x14ac:dyDescent="0.25">
      <c r="A205" s="4" t="s">
        <v>364</v>
      </c>
      <c r="B205" s="4" t="s">
        <v>2521</v>
      </c>
      <c r="C205" s="4" t="s">
        <v>2521</v>
      </c>
      <c r="D205" s="4" t="s">
        <v>2521</v>
      </c>
    </row>
    <row r="206" spans="1:4" x14ac:dyDescent="0.25">
      <c r="A206" s="4" t="s">
        <v>364</v>
      </c>
      <c r="B206" s="4" t="s">
        <v>2522</v>
      </c>
      <c r="C206" s="4" t="s">
        <v>2522</v>
      </c>
      <c r="D206" s="4" t="s">
        <v>2522</v>
      </c>
    </row>
    <row r="207" spans="1:4" x14ac:dyDescent="0.25">
      <c r="A207" s="4" t="s">
        <v>364</v>
      </c>
      <c r="B207" s="4" t="s">
        <v>2510</v>
      </c>
      <c r="C207" s="4" t="s">
        <v>2510</v>
      </c>
      <c r="D207" s="4" t="s">
        <v>2510</v>
      </c>
    </row>
    <row r="208" spans="1:4" x14ac:dyDescent="0.25">
      <c r="A208" s="4" t="s">
        <v>364</v>
      </c>
      <c r="B208" s="4" t="s">
        <v>2495</v>
      </c>
      <c r="C208" s="4" t="s">
        <v>2495</v>
      </c>
      <c r="D208" s="4" t="s">
        <v>2495</v>
      </c>
    </row>
    <row r="209" spans="1:4" x14ac:dyDescent="0.25">
      <c r="A209" s="4" t="s">
        <v>364</v>
      </c>
      <c r="B209" s="4" t="s">
        <v>2513</v>
      </c>
      <c r="C209" s="4" t="s">
        <v>2513</v>
      </c>
      <c r="D209" s="4" t="s">
        <v>2513</v>
      </c>
    </row>
    <row r="210" spans="1:4" x14ac:dyDescent="0.25">
      <c r="A210" s="4" t="s">
        <v>364</v>
      </c>
      <c r="B210" s="4" t="s">
        <v>2517</v>
      </c>
      <c r="C210" s="4" t="s">
        <v>2517</v>
      </c>
      <c r="D210" s="4" t="s">
        <v>2517</v>
      </c>
    </row>
    <row r="211" spans="1:4" x14ac:dyDescent="0.25">
      <c r="A211" s="4" t="s">
        <v>364</v>
      </c>
      <c r="B211" s="4" t="s">
        <v>2523</v>
      </c>
      <c r="C211" s="4" t="s">
        <v>2523</v>
      </c>
      <c r="D211" s="4" t="s">
        <v>2523</v>
      </c>
    </row>
    <row r="212" spans="1:4" x14ac:dyDescent="0.25">
      <c r="A212" s="4" t="s">
        <v>365</v>
      </c>
      <c r="B212" s="4" t="s">
        <v>2499</v>
      </c>
      <c r="C212" s="4" t="s">
        <v>2499</v>
      </c>
      <c r="D212" s="4" t="s">
        <v>2499</v>
      </c>
    </row>
    <row r="213" spans="1:4" x14ac:dyDescent="0.25">
      <c r="A213" s="4" t="s">
        <v>365</v>
      </c>
      <c r="B213" s="4" t="s">
        <v>2500</v>
      </c>
      <c r="C213" s="4" t="s">
        <v>2500</v>
      </c>
      <c r="D213" s="4" t="s">
        <v>2500</v>
      </c>
    </row>
    <row r="214" spans="1:4" x14ac:dyDescent="0.25">
      <c r="A214" s="4" t="s">
        <v>365</v>
      </c>
      <c r="B214" s="4" t="s">
        <v>2492</v>
      </c>
      <c r="C214" s="4" t="s">
        <v>2492</v>
      </c>
      <c r="D214" s="4" t="s">
        <v>2492</v>
      </c>
    </row>
    <row r="215" spans="1:4" x14ac:dyDescent="0.25">
      <c r="A215" s="4" t="s">
        <v>365</v>
      </c>
      <c r="B215" s="4" t="s">
        <v>2524</v>
      </c>
      <c r="C215" s="4" t="s">
        <v>2524</v>
      </c>
      <c r="D215" s="4" t="s">
        <v>2524</v>
      </c>
    </row>
    <row r="216" spans="1:4" x14ac:dyDescent="0.25">
      <c r="A216" s="4" t="s">
        <v>365</v>
      </c>
      <c r="B216" s="4" t="s">
        <v>2508</v>
      </c>
      <c r="C216" s="4" t="s">
        <v>2508</v>
      </c>
      <c r="D216" s="4" t="s">
        <v>2508</v>
      </c>
    </row>
    <row r="217" spans="1:4" x14ac:dyDescent="0.25">
      <c r="A217" s="4" t="s">
        <v>365</v>
      </c>
      <c r="B217" s="4" t="s">
        <v>2525</v>
      </c>
      <c r="C217" s="4" t="s">
        <v>2525</v>
      </c>
      <c r="D217" s="4" t="s">
        <v>2525</v>
      </c>
    </row>
    <row r="218" spans="1:4" x14ac:dyDescent="0.25">
      <c r="A218" s="4" t="s">
        <v>365</v>
      </c>
      <c r="B218" s="4" t="s">
        <v>2526</v>
      </c>
      <c r="C218" s="4" t="s">
        <v>2526</v>
      </c>
      <c r="D218" s="4" t="s">
        <v>2526</v>
      </c>
    </row>
    <row r="219" spans="1:4" x14ac:dyDescent="0.25">
      <c r="A219" s="4" t="s">
        <v>365</v>
      </c>
      <c r="B219" s="4" t="s">
        <v>2527</v>
      </c>
      <c r="C219" s="4" t="s">
        <v>2527</v>
      </c>
      <c r="D219" s="4" t="s">
        <v>2527</v>
      </c>
    </row>
    <row r="220" spans="1:4" x14ac:dyDescent="0.25">
      <c r="A220" s="4" t="s">
        <v>365</v>
      </c>
      <c r="B220" s="4" t="s">
        <v>2501</v>
      </c>
      <c r="C220" s="4" t="s">
        <v>2501</v>
      </c>
      <c r="D220" s="4" t="s">
        <v>2501</v>
      </c>
    </row>
    <row r="221" spans="1:4" x14ac:dyDescent="0.25">
      <c r="A221" s="4" t="s">
        <v>365</v>
      </c>
      <c r="B221" s="4" t="s">
        <v>2509</v>
      </c>
      <c r="C221" s="4" t="s">
        <v>2509</v>
      </c>
      <c r="D221" s="4" t="s">
        <v>2509</v>
      </c>
    </row>
    <row r="222" spans="1:4" x14ac:dyDescent="0.25">
      <c r="A222" s="4" t="s">
        <v>365</v>
      </c>
      <c r="B222" s="4" t="s">
        <v>2528</v>
      </c>
      <c r="C222" s="4" t="s">
        <v>2528</v>
      </c>
      <c r="D222" s="4" t="s">
        <v>2528</v>
      </c>
    </row>
    <row r="223" spans="1:4" x14ac:dyDescent="0.25">
      <c r="A223" s="4" t="s">
        <v>365</v>
      </c>
      <c r="B223" s="4" t="s">
        <v>2529</v>
      </c>
      <c r="C223" s="4" t="s">
        <v>2529</v>
      </c>
      <c r="D223" s="4" t="s">
        <v>2529</v>
      </c>
    </row>
    <row r="224" spans="1:4" x14ac:dyDescent="0.25">
      <c r="A224" s="4" t="s">
        <v>365</v>
      </c>
      <c r="B224" s="4" t="s">
        <v>2530</v>
      </c>
      <c r="C224" s="4" t="s">
        <v>2530</v>
      </c>
      <c r="D224" s="4" t="s">
        <v>2530</v>
      </c>
    </row>
    <row r="225" spans="1:4" x14ac:dyDescent="0.25">
      <c r="A225" s="4" t="s">
        <v>365</v>
      </c>
      <c r="B225" s="4" t="s">
        <v>2531</v>
      </c>
      <c r="C225" s="4" t="s">
        <v>2531</v>
      </c>
      <c r="D225" s="4" t="s">
        <v>2531</v>
      </c>
    </row>
    <row r="226" spans="1:4" x14ac:dyDescent="0.25">
      <c r="A226" s="4" t="s">
        <v>365</v>
      </c>
      <c r="B226" s="4" t="s">
        <v>2532</v>
      </c>
      <c r="C226" s="4" t="s">
        <v>2532</v>
      </c>
      <c r="D226" s="4" t="s">
        <v>2532</v>
      </c>
    </row>
    <row r="227" spans="1:4" x14ac:dyDescent="0.25">
      <c r="A227" s="4" t="s">
        <v>365</v>
      </c>
      <c r="B227" s="4" t="s">
        <v>2533</v>
      </c>
      <c r="C227" s="4" t="s">
        <v>2533</v>
      </c>
      <c r="D227" s="4" t="s">
        <v>2533</v>
      </c>
    </row>
    <row r="228" spans="1:4" x14ac:dyDescent="0.25">
      <c r="A228" s="4" t="s">
        <v>365</v>
      </c>
      <c r="B228" s="4" t="s">
        <v>2511</v>
      </c>
      <c r="C228" s="4" t="s">
        <v>2511</v>
      </c>
      <c r="D228" s="4" t="s">
        <v>2511</v>
      </c>
    </row>
    <row r="229" spans="1:4" x14ac:dyDescent="0.25">
      <c r="A229" s="4" t="s">
        <v>365</v>
      </c>
      <c r="B229" s="4" t="s">
        <v>2512</v>
      </c>
      <c r="C229" s="4" t="s">
        <v>2512</v>
      </c>
      <c r="D229" s="4" t="s">
        <v>2512</v>
      </c>
    </row>
    <row r="230" spans="1:4" x14ac:dyDescent="0.25">
      <c r="A230" s="4" t="s">
        <v>365</v>
      </c>
      <c r="B230" s="4" t="s">
        <v>2534</v>
      </c>
      <c r="C230" s="4" t="s">
        <v>2534</v>
      </c>
      <c r="D230" s="4" t="s">
        <v>2534</v>
      </c>
    </row>
    <row r="231" spans="1:4" x14ac:dyDescent="0.25">
      <c r="A231" s="4" t="s">
        <v>365</v>
      </c>
      <c r="B231" s="4" t="s">
        <v>2535</v>
      </c>
      <c r="C231" s="4" t="s">
        <v>2535</v>
      </c>
      <c r="D231" s="4" t="s">
        <v>2535</v>
      </c>
    </row>
    <row r="232" spans="1:4" x14ac:dyDescent="0.25">
      <c r="A232" s="4" t="s">
        <v>365</v>
      </c>
      <c r="B232" s="4" t="s">
        <v>2503</v>
      </c>
      <c r="C232" s="4" t="s">
        <v>2503</v>
      </c>
      <c r="D232" s="4" t="s">
        <v>2503</v>
      </c>
    </row>
    <row r="233" spans="1:4" x14ac:dyDescent="0.25">
      <c r="A233" s="4" t="s">
        <v>365</v>
      </c>
      <c r="B233" s="4" t="s">
        <v>2504</v>
      </c>
      <c r="C233" s="4" t="s">
        <v>2504</v>
      </c>
      <c r="D233" s="4" t="s">
        <v>2504</v>
      </c>
    </row>
    <row r="234" spans="1:4" x14ac:dyDescent="0.25">
      <c r="A234" s="4" t="s">
        <v>365</v>
      </c>
      <c r="B234" s="4" t="s">
        <v>2536</v>
      </c>
      <c r="C234" s="4" t="s">
        <v>2536</v>
      </c>
      <c r="D234" s="4" t="s">
        <v>2536</v>
      </c>
    </row>
    <row r="235" spans="1:4" x14ac:dyDescent="0.25">
      <c r="A235" s="4" t="s">
        <v>365</v>
      </c>
      <c r="B235" s="4" t="s">
        <v>2515</v>
      </c>
      <c r="C235" s="4" t="s">
        <v>2515</v>
      </c>
      <c r="D235" s="4" t="s">
        <v>2515</v>
      </c>
    </row>
    <row r="236" spans="1:4" x14ac:dyDescent="0.25">
      <c r="A236" s="4" t="s">
        <v>365</v>
      </c>
      <c r="B236" s="4" t="s">
        <v>2516</v>
      </c>
      <c r="C236" s="4" t="s">
        <v>2516</v>
      </c>
      <c r="D236" s="4" t="s">
        <v>2516</v>
      </c>
    </row>
    <row r="237" spans="1:4" x14ac:dyDescent="0.25">
      <c r="A237" s="4" t="s">
        <v>365</v>
      </c>
      <c r="B237" s="4" t="s">
        <v>2537</v>
      </c>
      <c r="C237" s="4" t="s">
        <v>2537</v>
      </c>
      <c r="D237" s="4" t="s">
        <v>2537</v>
      </c>
    </row>
    <row r="238" spans="1:4" x14ac:dyDescent="0.25">
      <c r="A238" s="4" t="s">
        <v>365</v>
      </c>
      <c r="B238" s="4" t="s">
        <v>2538</v>
      </c>
      <c r="C238" s="4" t="s">
        <v>2538</v>
      </c>
      <c r="D238" s="4" t="s">
        <v>2538</v>
      </c>
    </row>
    <row r="239" spans="1:4" x14ac:dyDescent="0.25">
      <c r="A239" s="4" t="s">
        <v>365</v>
      </c>
      <c r="B239" s="4" t="s">
        <v>2539</v>
      </c>
      <c r="C239" s="4" t="s">
        <v>2539</v>
      </c>
      <c r="D239" s="4" t="s">
        <v>2539</v>
      </c>
    </row>
    <row r="240" spans="1:4" x14ac:dyDescent="0.25">
      <c r="A240" s="4" t="s">
        <v>366</v>
      </c>
      <c r="B240" s="4" t="s">
        <v>2540</v>
      </c>
      <c r="C240" s="4" t="s">
        <v>2540</v>
      </c>
      <c r="D240" s="4" t="s">
        <v>2540</v>
      </c>
    </row>
    <row r="241" spans="1:4" x14ac:dyDescent="0.25">
      <c r="A241" s="4" t="s">
        <v>366</v>
      </c>
      <c r="B241" s="4" t="s">
        <v>2541</v>
      </c>
      <c r="C241" s="4" t="s">
        <v>2541</v>
      </c>
      <c r="D241" s="4" t="s">
        <v>2541</v>
      </c>
    </row>
    <row r="242" spans="1:4" x14ac:dyDescent="0.25">
      <c r="A242" s="4" t="s">
        <v>366</v>
      </c>
      <c r="B242" s="4" t="s">
        <v>2496</v>
      </c>
      <c r="C242" s="4" t="s">
        <v>2496</v>
      </c>
      <c r="D242" s="4" t="s">
        <v>2496</v>
      </c>
    </row>
    <row r="243" spans="1:4" x14ac:dyDescent="0.25">
      <c r="A243" s="4" t="s">
        <v>366</v>
      </c>
      <c r="B243" s="4" t="s">
        <v>2542</v>
      </c>
      <c r="C243" s="4" t="s">
        <v>2542</v>
      </c>
      <c r="D243" s="4" t="s">
        <v>2542</v>
      </c>
    </row>
    <row r="244" spans="1:4" x14ac:dyDescent="0.25">
      <c r="A244" s="4" t="s">
        <v>370</v>
      </c>
      <c r="B244" s="4" t="s">
        <v>1497</v>
      </c>
      <c r="C244" s="4" t="s">
        <v>1497</v>
      </c>
      <c r="D244" s="4" t="s">
        <v>1497</v>
      </c>
    </row>
    <row r="245" spans="1:4" x14ac:dyDescent="0.25">
      <c r="A245" s="4" t="s">
        <v>375</v>
      </c>
      <c r="B245" s="4" t="s">
        <v>2493</v>
      </c>
      <c r="C245" s="4" t="s">
        <v>2493</v>
      </c>
      <c r="D245" s="4" t="s">
        <v>2493</v>
      </c>
    </row>
    <row r="246" spans="1:4" x14ac:dyDescent="0.25">
      <c r="A246" s="4" t="s">
        <v>379</v>
      </c>
      <c r="B246" s="4" t="s">
        <v>2492</v>
      </c>
      <c r="C246" s="4" t="s">
        <v>1497</v>
      </c>
      <c r="D246" s="4" t="s">
        <v>2492</v>
      </c>
    </row>
    <row r="247" spans="1:4" x14ac:dyDescent="0.25">
      <c r="A247" s="4" t="s">
        <v>382</v>
      </c>
      <c r="B247" s="4" t="s">
        <v>2493</v>
      </c>
      <c r="C247" s="4" t="s">
        <v>2493</v>
      </c>
      <c r="D247" s="4" t="s">
        <v>2493</v>
      </c>
    </row>
    <row r="248" spans="1:4" x14ac:dyDescent="0.25">
      <c r="A248" s="4" t="s">
        <v>383</v>
      </c>
      <c r="B248" s="4" t="s">
        <v>443</v>
      </c>
      <c r="C248" s="4" t="s">
        <v>1497</v>
      </c>
      <c r="D248" s="4" t="s">
        <v>443</v>
      </c>
    </row>
    <row r="249" spans="1:4" x14ac:dyDescent="0.25">
      <c r="A249" s="4" t="s">
        <v>383</v>
      </c>
      <c r="B249" s="4" t="s">
        <v>444</v>
      </c>
      <c r="C249" s="4" t="s">
        <v>1497</v>
      </c>
      <c r="D249" s="4" t="s">
        <v>444</v>
      </c>
    </row>
    <row r="250" spans="1:4" x14ac:dyDescent="0.25">
      <c r="A250" s="4" t="s">
        <v>383</v>
      </c>
      <c r="B250" s="4" t="s">
        <v>2492</v>
      </c>
      <c r="C250" s="4" t="s">
        <v>1497</v>
      </c>
      <c r="D250" s="4" t="s">
        <v>2492</v>
      </c>
    </row>
    <row r="251" spans="1:4" x14ac:dyDescent="0.25">
      <c r="A251" s="4" t="s">
        <v>383</v>
      </c>
      <c r="B251" s="4" t="s">
        <v>2492</v>
      </c>
      <c r="C251" s="4" t="s">
        <v>2497</v>
      </c>
      <c r="D251" s="4" t="s">
        <v>2492</v>
      </c>
    </row>
    <row r="252" spans="1:4" x14ac:dyDescent="0.25">
      <c r="A252" s="4" t="s">
        <v>384</v>
      </c>
      <c r="B252" s="4" t="s">
        <v>2492</v>
      </c>
      <c r="C252" s="4" t="s">
        <v>1497</v>
      </c>
      <c r="D252" s="4" t="s">
        <v>2492</v>
      </c>
    </row>
    <row r="253" spans="1:4" x14ac:dyDescent="0.25">
      <c r="A253" s="4" t="s">
        <v>384</v>
      </c>
      <c r="B253" s="4" t="s">
        <v>2492</v>
      </c>
      <c r="C253" s="4" t="s">
        <v>2497</v>
      </c>
      <c r="D253" s="4" t="s">
        <v>2492</v>
      </c>
    </row>
    <row r="254" spans="1:4" x14ac:dyDescent="0.25">
      <c r="A254" s="4" t="s">
        <v>386</v>
      </c>
      <c r="B254" s="4" t="s">
        <v>444</v>
      </c>
      <c r="C254" s="4" t="s">
        <v>1497</v>
      </c>
      <c r="D254" s="4" t="s">
        <v>444</v>
      </c>
    </row>
    <row r="255" spans="1:4" x14ac:dyDescent="0.25">
      <c r="A255" s="4" t="s">
        <v>388</v>
      </c>
      <c r="B255" s="4" t="s">
        <v>2492</v>
      </c>
      <c r="C255" s="4" t="s">
        <v>2492</v>
      </c>
      <c r="D255" s="4" t="s">
        <v>2492</v>
      </c>
    </row>
    <row r="256" spans="1:4" x14ac:dyDescent="0.25">
      <c r="A256" s="4" t="s">
        <v>389</v>
      </c>
      <c r="B256" s="4" t="s">
        <v>2543</v>
      </c>
      <c r="C256" s="4" t="s">
        <v>1497</v>
      </c>
      <c r="D256" s="4" t="s">
        <v>2492</v>
      </c>
    </row>
    <row r="257" spans="1:4" x14ac:dyDescent="0.25">
      <c r="A257" s="4" t="s">
        <v>389</v>
      </c>
      <c r="B257" s="4" t="s">
        <v>2492</v>
      </c>
      <c r="C257" s="4" t="s">
        <v>1497</v>
      </c>
      <c r="D257" s="4" t="s">
        <v>2492</v>
      </c>
    </row>
    <row r="258" spans="1:4" x14ac:dyDescent="0.25">
      <c r="A258" s="4" t="s">
        <v>389</v>
      </c>
      <c r="B258" s="4" t="s">
        <v>2492</v>
      </c>
      <c r="C258" s="4" t="s">
        <v>2497</v>
      </c>
      <c r="D258" s="4" t="s">
        <v>2492</v>
      </c>
    </row>
    <row r="259" spans="1:4" x14ac:dyDescent="0.25">
      <c r="A259" s="4" t="s">
        <v>390</v>
      </c>
      <c r="B259" s="4" t="s">
        <v>2492</v>
      </c>
      <c r="C259" s="4" t="s">
        <v>1497</v>
      </c>
      <c r="D259" s="4" t="s">
        <v>2492</v>
      </c>
    </row>
    <row r="260" spans="1:4" x14ac:dyDescent="0.25">
      <c r="A260" s="4" t="s">
        <v>390</v>
      </c>
      <c r="B260" s="4" t="s">
        <v>2492</v>
      </c>
      <c r="C260" s="4" t="s">
        <v>2497</v>
      </c>
      <c r="D260" s="4" t="s">
        <v>2492</v>
      </c>
    </row>
    <row r="261" spans="1:4" x14ac:dyDescent="0.25">
      <c r="A261" s="4" t="s">
        <v>390</v>
      </c>
      <c r="B261" s="4" t="s">
        <v>2544</v>
      </c>
      <c r="C261" s="4" t="s">
        <v>1497</v>
      </c>
      <c r="D261" s="4" t="s">
        <v>2544</v>
      </c>
    </row>
    <row r="262" spans="1:4" x14ac:dyDescent="0.25">
      <c r="A262" s="4" t="s">
        <v>390</v>
      </c>
      <c r="B262" s="4" t="s">
        <v>2545</v>
      </c>
      <c r="C262" s="4" t="s">
        <v>1497</v>
      </c>
      <c r="D262" s="4" t="s">
        <v>2545</v>
      </c>
    </row>
    <row r="263" spans="1:4" x14ac:dyDescent="0.25">
      <c r="A263" s="4" t="s">
        <v>391</v>
      </c>
      <c r="B263" s="4" t="s">
        <v>2543</v>
      </c>
      <c r="C263" s="4" t="s">
        <v>1497</v>
      </c>
      <c r="D263" s="4" t="s">
        <v>2492</v>
      </c>
    </row>
    <row r="264" spans="1:4" x14ac:dyDescent="0.25">
      <c r="A264" s="4" t="s">
        <v>391</v>
      </c>
      <c r="B264" s="4" t="s">
        <v>2492</v>
      </c>
      <c r="C264" s="4" t="s">
        <v>1497</v>
      </c>
      <c r="D264" s="4" t="s">
        <v>2492</v>
      </c>
    </row>
    <row r="265" spans="1:4" x14ac:dyDescent="0.25">
      <c r="A265" s="4" t="s">
        <v>391</v>
      </c>
      <c r="B265" s="4" t="s">
        <v>2492</v>
      </c>
      <c r="C265" s="4" t="s">
        <v>2497</v>
      </c>
      <c r="D265" s="4" t="s">
        <v>2492</v>
      </c>
    </row>
    <row r="266" spans="1:4" x14ac:dyDescent="0.25">
      <c r="A266" s="4" t="s">
        <v>392</v>
      </c>
      <c r="B266" s="4" t="s">
        <v>443</v>
      </c>
      <c r="C266" s="4" t="s">
        <v>2492</v>
      </c>
      <c r="D266" s="4" t="s">
        <v>443</v>
      </c>
    </row>
    <row r="267" spans="1:4" x14ac:dyDescent="0.25">
      <c r="A267" s="4" t="s">
        <v>392</v>
      </c>
      <c r="B267" s="4" t="s">
        <v>443</v>
      </c>
      <c r="C267" s="4" t="s">
        <v>1497</v>
      </c>
      <c r="D267" s="4" t="s">
        <v>443</v>
      </c>
    </row>
    <row r="268" spans="1:4" x14ac:dyDescent="0.25">
      <c r="A268" s="4" t="s">
        <v>392</v>
      </c>
      <c r="B268" s="4" t="s">
        <v>443</v>
      </c>
      <c r="C268" s="4" t="s">
        <v>1497</v>
      </c>
      <c r="D268" s="4" t="s">
        <v>2492</v>
      </c>
    </row>
    <row r="269" spans="1:4" x14ac:dyDescent="0.25">
      <c r="A269" s="4" t="s">
        <v>392</v>
      </c>
      <c r="B269" s="4" t="s">
        <v>2543</v>
      </c>
      <c r="C269" s="4" t="s">
        <v>2492</v>
      </c>
      <c r="D269" s="4" t="s">
        <v>2492</v>
      </c>
    </row>
    <row r="270" spans="1:4" x14ac:dyDescent="0.25">
      <c r="A270" s="4" t="s">
        <v>392</v>
      </c>
      <c r="B270" s="4" t="s">
        <v>2543</v>
      </c>
      <c r="C270" s="4" t="s">
        <v>2492</v>
      </c>
      <c r="D270" s="4" t="s">
        <v>1497</v>
      </c>
    </row>
    <row r="271" spans="1:4" x14ac:dyDescent="0.25">
      <c r="A271" s="4" t="s">
        <v>392</v>
      </c>
      <c r="B271" s="4" t="s">
        <v>2543</v>
      </c>
      <c r="C271" s="4" t="s">
        <v>1497</v>
      </c>
      <c r="D271" s="4" t="s">
        <v>2543</v>
      </c>
    </row>
    <row r="272" spans="1:4" x14ac:dyDescent="0.25">
      <c r="A272" s="4" t="s">
        <v>392</v>
      </c>
      <c r="B272" s="4" t="s">
        <v>2543</v>
      </c>
      <c r="C272" s="4" t="s">
        <v>1497</v>
      </c>
      <c r="D272" s="4" t="s">
        <v>2492</v>
      </c>
    </row>
    <row r="273" spans="1:4" x14ac:dyDescent="0.25">
      <c r="A273" s="4" t="s">
        <v>392</v>
      </c>
      <c r="B273" s="4" t="s">
        <v>2543</v>
      </c>
      <c r="C273" s="4" t="s">
        <v>2497</v>
      </c>
      <c r="D273" s="4" t="s">
        <v>2492</v>
      </c>
    </row>
    <row r="274" spans="1:4" x14ac:dyDescent="0.25">
      <c r="A274" s="4" t="s">
        <v>392</v>
      </c>
      <c r="B274" s="4" t="s">
        <v>2492</v>
      </c>
      <c r="C274" s="4" t="s">
        <v>2492</v>
      </c>
      <c r="D274" s="4" t="s">
        <v>443</v>
      </c>
    </row>
    <row r="275" spans="1:4" x14ac:dyDescent="0.25">
      <c r="A275" s="4" t="s">
        <v>392</v>
      </c>
      <c r="B275" s="4" t="s">
        <v>2492</v>
      </c>
      <c r="C275" s="4" t="s">
        <v>2492</v>
      </c>
      <c r="D275" s="4" t="s">
        <v>2492</v>
      </c>
    </row>
    <row r="276" spans="1:4" x14ac:dyDescent="0.25">
      <c r="A276" s="4" t="s">
        <v>392</v>
      </c>
      <c r="B276" s="4" t="s">
        <v>2492</v>
      </c>
      <c r="C276" s="4" t="s">
        <v>1497</v>
      </c>
      <c r="D276" s="4" t="s">
        <v>2492</v>
      </c>
    </row>
    <row r="277" spans="1:4" x14ac:dyDescent="0.25">
      <c r="A277" s="4" t="s">
        <v>392</v>
      </c>
      <c r="B277" s="4" t="s">
        <v>2492</v>
      </c>
      <c r="C277" s="4" t="s">
        <v>1497</v>
      </c>
      <c r="D277" s="4" t="s">
        <v>2496</v>
      </c>
    </row>
    <row r="278" spans="1:4" x14ac:dyDescent="0.25">
      <c r="A278" s="4" t="s">
        <v>392</v>
      </c>
      <c r="B278" s="4" t="s">
        <v>2492</v>
      </c>
      <c r="C278" s="4" t="s">
        <v>2497</v>
      </c>
      <c r="D278" s="4" t="s">
        <v>2492</v>
      </c>
    </row>
    <row r="279" spans="1:4" x14ac:dyDescent="0.25">
      <c r="A279" s="4" t="s">
        <v>392</v>
      </c>
      <c r="B279" s="4" t="s">
        <v>2546</v>
      </c>
      <c r="C279" s="4" t="s">
        <v>1497</v>
      </c>
      <c r="D279" s="4" t="s">
        <v>2546</v>
      </c>
    </row>
    <row r="280" spans="1:4" x14ac:dyDescent="0.25">
      <c r="A280" s="4" t="s">
        <v>392</v>
      </c>
      <c r="B280" s="4" t="s">
        <v>2544</v>
      </c>
      <c r="C280" s="4" t="s">
        <v>2505</v>
      </c>
      <c r="D280" s="4" t="s">
        <v>444</v>
      </c>
    </row>
    <row r="281" spans="1:4" x14ac:dyDescent="0.25">
      <c r="A281" s="4" t="s">
        <v>392</v>
      </c>
      <c r="B281" s="4" t="s">
        <v>2544</v>
      </c>
      <c r="C281" s="4" t="s">
        <v>2505</v>
      </c>
      <c r="D281" s="4" t="s">
        <v>2544</v>
      </c>
    </row>
    <row r="282" spans="1:4" x14ac:dyDescent="0.25">
      <c r="A282" s="4" t="s">
        <v>392</v>
      </c>
      <c r="B282" s="4" t="s">
        <v>2544</v>
      </c>
      <c r="C282" s="4" t="s">
        <v>1497</v>
      </c>
      <c r="D282" s="4" t="s">
        <v>444</v>
      </c>
    </row>
    <row r="283" spans="1:4" x14ac:dyDescent="0.25">
      <c r="A283" s="4" t="s">
        <v>392</v>
      </c>
      <c r="B283" s="4" t="s">
        <v>2544</v>
      </c>
      <c r="C283" s="4" t="s">
        <v>1497</v>
      </c>
      <c r="D283" s="4" t="s">
        <v>2492</v>
      </c>
    </row>
    <row r="284" spans="1:4" x14ac:dyDescent="0.25">
      <c r="A284" s="4" t="s">
        <v>392</v>
      </c>
      <c r="B284" s="4" t="s">
        <v>2544</v>
      </c>
      <c r="C284" s="4" t="s">
        <v>1497</v>
      </c>
      <c r="D284" s="4" t="s">
        <v>2546</v>
      </c>
    </row>
    <row r="285" spans="1:4" x14ac:dyDescent="0.25">
      <c r="A285" s="4" t="s">
        <v>392</v>
      </c>
      <c r="B285" s="4" t="s">
        <v>2544</v>
      </c>
      <c r="C285" s="4" t="s">
        <v>1497</v>
      </c>
      <c r="D285" s="4" t="s">
        <v>2544</v>
      </c>
    </row>
    <row r="286" spans="1:4" x14ac:dyDescent="0.25">
      <c r="A286" s="4" t="s">
        <v>392</v>
      </c>
      <c r="B286" s="4" t="s">
        <v>2544</v>
      </c>
      <c r="C286" s="4" t="s">
        <v>2534</v>
      </c>
      <c r="D286" s="4" t="s">
        <v>2544</v>
      </c>
    </row>
    <row r="287" spans="1:4" x14ac:dyDescent="0.25">
      <c r="A287" s="4" t="s">
        <v>392</v>
      </c>
      <c r="B287" s="4" t="s">
        <v>2544</v>
      </c>
      <c r="C287" s="4" t="s">
        <v>2544</v>
      </c>
      <c r="D287" s="4" t="s">
        <v>2544</v>
      </c>
    </row>
    <row r="288" spans="1:4" x14ac:dyDescent="0.25">
      <c r="A288" s="4" t="s">
        <v>395</v>
      </c>
      <c r="B288" s="4" t="s">
        <v>2492</v>
      </c>
      <c r="C288" s="4" t="s">
        <v>1497</v>
      </c>
      <c r="D288" s="4" t="s">
        <v>2492</v>
      </c>
    </row>
    <row r="289" spans="1:4" x14ac:dyDescent="0.25">
      <c r="A289" s="4" t="s">
        <v>395</v>
      </c>
      <c r="B289" s="4" t="s">
        <v>2492</v>
      </c>
      <c r="C289" s="4" t="s">
        <v>2497</v>
      </c>
      <c r="D289" s="4" t="s">
        <v>2492</v>
      </c>
    </row>
    <row r="290" spans="1:4" x14ac:dyDescent="0.25">
      <c r="A290" s="4" t="s">
        <v>400</v>
      </c>
      <c r="B290" s="4" t="s">
        <v>2498</v>
      </c>
      <c r="C290" s="4" t="s">
        <v>2498</v>
      </c>
      <c r="D290" s="4" t="s">
        <v>2498</v>
      </c>
    </row>
    <row r="291" spans="1:4" x14ac:dyDescent="0.25">
      <c r="A291" s="4" t="s">
        <v>411</v>
      </c>
      <c r="B291" s="4" t="s">
        <v>444</v>
      </c>
      <c r="C291" s="4" t="s">
        <v>1497</v>
      </c>
      <c r="D291" s="4" t="s">
        <v>444</v>
      </c>
    </row>
    <row r="292" spans="1:4" x14ac:dyDescent="0.25">
      <c r="A292" s="4" t="s">
        <v>411</v>
      </c>
      <c r="B292" s="4" t="s">
        <v>2492</v>
      </c>
      <c r="C292" s="4" t="s">
        <v>1497</v>
      </c>
      <c r="D292" s="4" t="s">
        <v>2492</v>
      </c>
    </row>
    <row r="293" spans="1:4" x14ac:dyDescent="0.25">
      <c r="A293" s="4" t="s">
        <v>411</v>
      </c>
      <c r="B293" s="4" t="s">
        <v>2492</v>
      </c>
      <c r="C293" s="4" t="s">
        <v>2497</v>
      </c>
      <c r="D293" s="4" t="s">
        <v>2492</v>
      </c>
    </row>
    <row r="294" spans="1:4" x14ac:dyDescent="0.25">
      <c r="A294" s="4" t="s">
        <v>414</v>
      </c>
      <c r="B294" s="4" t="s">
        <v>444</v>
      </c>
      <c r="C294" s="4" t="s">
        <v>1497</v>
      </c>
      <c r="D294" s="4" t="s">
        <v>444</v>
      </c>
    </row>
    <row r="295" spans="1:4" x14ac:dyDescent="0.25">
      <c r="A295" s="4" t="s">
        <v>415</v>
      </c>
      <c r="B295" s="4" t="s">
        <v>2492</v>
      </c>
      <c r="C295" s="4" t="s">
        <v>2497</v>
      </c>
      <c r="D295" s="4" t="s">
        <v>2492</v>
      </c>
    </row>
    <row r="296" spans="1:4" x14ac:dyDescent="0.25">
      <c r="A296" s="4" t="s">
        <v>420</v>
      </c>
      <c r="B296" s="4" t="s">
        <v>2492</v>
      </c>
      <c r="C296" s="4" t="s">
        <v>1497</v>
      </c>
      <c r="D296" s="4" t="s">
        <v>2492</v>
      </c>
    </row>
    <row r="297" spans="1:4" x14ac:dyDescent="0.25">
      <c r="A297" s="4" t="s">
        <v>420</v>
      </c>
      <c r="B297" s="4" t="s">
        <v>2492</v>
      </c>
      <c r="C297" s="4" t="s">
        <v>2497</v>
      </c>
      <c r="D297" s="4" t="s">
        <v>2492</v>
      </c>
    </row>
    <row r="298" spans="1:4" x14ac:dyDescent="0.25">
      <c r="A298" s="4" t="s">
        <v>424</v>
      </c>
      <c r="B298" s="4" t="s">
        <v>2492</v>
      </c>
      <c r="C298" s="4" t="s">
        <v>2492</v>
      </c>
      <c r="D298" s="4" t="s">
        <v>2492</v>
      </c>
    </row>
    <row r="299" spans="1:4" x14ac:dyDescent="0.25">
      <c r="A299" s="4" t="s">
        <v>424</v>
      </c>
      <c r="B299" s="4" t="s">
        <v>2516</v>
      </c>
      <c r="C299" s="4" t="s">
        <v>2516</v>
      </c>
      <c r="D299" s="4" t="s">
        <v>2516</v>
      </c>
    </row>
    <row r="300" spans="1:4" x14ac:dyDescent="0.25">
      <c r="A300" s="4" t="s">
        <v>431</v>
      </c>
      <c r="B300" s="4" t="s">
        <v>2492</v>
      </c>
      <c r="C300" s="4" t="s">
        <v>1497</v>
      </c>
      <c r="D300" s="4" t="s">
        <v>2492</v>
      </c>
    </row>
    <row r="301" spans="1:4" x14ac:dyDescent="0.25">
      <c r="A301" s="4" t="s">
        <v>434</v>
      </c>
      <c r="B301" s="4" t="s">
        <v>2492</v>
      </c>
      <c r="C301" s="4" t="s">
        <v>1497</v>
      </c>
      <c r="D301" s="4" t="s">
        <v>2492</v>
      </c>
    </row>
    <row r="302" spans="1:4" x14ac:dyDescent="0.25">
      <c r="A302" s="4" t="s">
        <v>436</v>
      </c>
      <c r="B302" s="4" t="s">
        <v>2492</v>
      </c>
      <c r="C302" s="4" t="s">
        <v>1497</v>
      </c>
      <c r="D302" s="4" t="s">
        <v>2492</v>
      </c>
    </row>
    <row r="303" spans="1:4" x14ac:dyDescent="0.25">
      <c r="A303" s="4" t="s">
        <v>436</v>
      </c>
      <c r="B303" s="4" t="s">
        <v>2492</v>
      </c>
      <c r="C303" s="4" t="s">
        <v>2497</v>
      </c>
      <c r="D303" s="4" t="s">
        <v>2492</v>
      </c>
    </row>
    <row r="304" spans="1:4" x14ac:dyDescent="0.25">
      <c r="A304" s="4" t="s">
        <v>437</v>
      </c>
      <c r="B304" s="4" t="s">
        <v>444</v>
      </c>
      <c r="C304" s="4" t="s">
        <v>1497</v>
      </c>
      <c r="D304" s="4" t="s">
        <v>444</v>
      </c>
    </row>
    <row r="305" spans="1:4" x14ac:dyDescent="0.25">
      <c r="A305" s="4" t="s">
        <v>438</v>
      </c>
      <c r="B305" s="4" t="s">
        <v>2492</v>
      </c>
      <c r="C305" s="4" t="s">
        <v>1497</v>
      </c>
      <c r="D305" s="4" t="s">
        <v>2492</v>
      </c>
    </row>
    <row r="306" spans="1:4" x14ac:dyDescent="0.25">
      <c r="A306" s="4" t="s">
        <v>440</v>
      </c>
      <c r="B306" s="4" t="s">
        <v>2492</v>
      </c>
      <c r="C306" s="4" t="s">
        <v>2497</v>
      </c>
      <c r="D306" s="4" t="s">
        <v>2492</v>
      </c>
    </row>
    <row r="307" spans="1:4" x14ac:dyDescent="0.25">
      <c r="A307" s="4" t="s">
        <v>443</v>
      </c>
      <c r="B307" s="4" t="s">
        <v>2543</v>
      </c>
      <c r="C307" s="4" t="s">
        <v>2492</v>
      </c>
      <c r="D307" s="4" t="s">
        <v>2543</v>
      </c>
    </row>
    <row r="308" spans="1:4" x14ac:dyDescent="0.25">
      <c r="A308" s="4" t="s">
        <v>443</v>
      </c>
      <c r="B308" s="4" t="s">
        <v>2543</v>
      </c>
      <c r="C308" s="4" t="s">
        <v>2492</v>
      </c>
      <c r="D308" s="4" t="s">
        <v>2492</v>
      </c>
    </row>
    <row r="309" spans="1:4" x14ac:dyDescent="0.25">
      <c r="A309" s="4" t="s">
        <v>443</v>
      </c>
      <c r="B309" s="4" t="s">
        <v>2543</v>
      </c>
      <c r="C309" s="4" t="s">
        <v>1497</v>
      </c>
      <c r="D309" s="4" t="s">
        <v>2492</v>
      </c>
    </row>
    <row r="310" spans="1:4" x14ac:dyDescent="0.25">
      <c r="A310" s="4" t="s">
        <v>443</v>
      </c>
      <c r="B310" s="4" t="s">
        <v>2492</v>
      </c>
      <c r="C310" s="4" t="s">
        <v>2497</v>
      </c>
      <c r="D310" s="4" t="s">
        <v>2492</v>
      </c>
    </row>
    <row r="311" spans="1:4" x14ac:dyDescent="0.25">
      <c r="A311" s="4" t="s">
        <v>444</v>
      </c>
      <c r="B311" s="4" t="s">
        <v>444</v>
      </c>
      <c r="C311" s="4" t="s">
        <v>2492</v>
      </c>
      <c r="D311" s="4" t="s">
        <v>2492</v>
      </c>
    </row>
    <row r="312" spans="1:4" x14ac:dyDescent="0.25">
      <c r="A312" s="4" t="s">
        <v>445</v>
      </c>
      <c r="B312" s="4" t="s">
        <v>1497</v>
      </c>
      <c r="C312" s="4" t="s">
        <v>1497</v>
      </c>
      <c r="D312" s="4" t="s">
        <v>1497</v>
      </c>
    </row>
    <row r="313" spans="1:4" x14ac:dyDescent="0.25">
      <c r="A313" s="4" t="s">
        <v>447</v>
      </c>
      <c r="B313" s="4" t="s">
        <v>443</v>
      </c>
      <c r="C313" s="4" t="s">
        <v>1497</v>
      </c>
      <c r="D313" s="4" t="s">
        <v>443</v>
      </c>
    </row>
    <row r="314" spans="1:4" x14ac:dyDescent="0.25">
      <c r="A314" s="4" t="s">
        <v>447</v>
      </c>
      <c r="B314" s="4" t="s">
        <v>443</v>
      </c>
      <c r="C314" s="4" t="s">
        <v>1497</v>
      </c>
      <c r="D314" s="4" t="s">
        <v>2492</v>
      </c>
    </row>
    <row r="315" spans="1:4" x14ac:dyDescent="0.25">
      <c r="A315" s="4" t="s">
        <v>447</v>
      </c>
      <c r="B315" s="4" t="s">
        <v>444</v>
      </c>
      <c r="C315" s="4" t="s">
        <v>1497</v>
      </c>
      <c r="D315" s="4" t="s">
        <v>444</v>
      </c>
    </row>
    <row r="316" spans="1:4" x14ac:dyDescent="0.25">
      <c r="A316" s="4" t="s">
        <v>447</v>
      </c>
      <c r="B316" s="4" t="s">
        <v>444</v>
      </c>
      <c r="C316" s="4" t="s">
        <v>1497</v>
      </c>
      <c r="D316" s="4" t="s">
        <v>2492</v>
      </c>
    </row>
    <row r="317" spans="1:4" x14ac:dyDescent="0.25">
      <c r="A317" s="4" t="s">
        <v>447</v>
      </c>
      <c r="B317" s="4" t="s">
        <v>2492</v>
      </c>
      <c r="C317" s="4" t="s">
        <v>1497</v>
      </c>
      <c r="D317" s="4" t="s">
        <v>2492</v>
      </c>
    </row>
    <row r="318" spans="1:4" x14ac:dyDescent="0.25">
      <c r="A318" s="4" t="s">
        <v>447</v>
      </c>
      <c r="B318" s="4" t="s">
        <v>2492</v>
      </c>
      <c r="C318" s="4" t="s">
        <v>2497</v>
      </c>
      <c r="D318" s="4" t="s">
        <v>2492</v>
      </c>
    </row>
    <row r="319" spans="1:4" x14ac:dyDescent="0.25">
      <c r="A319" s="4" t="s">
        <v>449</v>
      </c>
      <c r="B319" s="4" t="s">
        <v>2494</v>
      </c>
      <c r="C319" s="4" t="s">
        <v>2494</v>
      </c>
      <c r="D319" s="4" t="s">
        <v>2494</v>
      </c>
    </row>
    <row r="320" spans="1:4" x14ac:dyDescent="0.25">
      <c r="A320" s="4" t="s">
        <v>452</v>
      </c>
      <c r="B320" s="4" t="s">
        <v>1497</v>
      </c>
      <c r="C320" s="4" t="s">
        <v>1497</v>
      </c>
      <c r="D320" s="4" t="s">
        <v>1497</v>
      </c>
    </row>
    <row r="321" spans="1:4" x14ac:dyDescent="0.25">
      <c r="A321" s="4" t="s">
        <v>453</v>
      </c>
      <c r="B321" s="4" t="s">
        <v>2492</v>
      </c>
      <c r="C321" s="4" t="s">
        <v>2497</v>
      </c>
      <c r="D321" s="4" t="s">
        <v>2492</v>
      </c>
    </row>
    <row r="322" spans="1:4" x14ac:dyDescent="0.25">
      <c r="A322" s="4" t="s">
        <v>454</v>
      </c>
      <c r="B322" s="4" t="s">
        <v>2531</v>
      </c>
      <c r="C322" s="4" t="s">
        <v>2531</v>
      </c>
      <c r="D322" s="4" t="s">
        <v>2531</v>
      </c>
    </row>
    <row r="323" spans="1:4" x14ac:dyDescent="0.25">
      <c r="A323" s="4" t="s">
        <v>454</v>
      </c>
      <c r="B323" s="4" t="s">
        <v>1497</v>
      </c>
      <c r="C323" s="4" t="s">
        <v>1497</v>
      </c>
      <c r="D323" s="4" t="s">
        <v>1497</v>
      </c>
    </row>
    <row r="324" spans="1:4" x14ac:dyDescent="0.25">
      <c r="A324" s="4" t="s">
        <v>454</v>
      </c>
      <c r="B324" s="4" t="s">
        <v>2504</v>
      </c>
      <c r="C324" s="4" t="s">
        <v>2504</v>
      </c>
      <c r="D324" s="4" t="s">
        <v>2504</v>
      </c>
    </row>
    <row r="325" spans="1:4" x14ac:dyDescent="0.25">
      <c r="A325" s="4" t="s">
        <v>455</v>
      </c>
      <c r="B325" s="4" t="s">
        <v>2495</v>
      </c>
      <c r="C325" s="4" t="s">
        <v>2495</v>
      </c>
      <c r="D325" s="4" t="s">
        <v>2495</v>
      </c>
    </row>
    <row r="326" spans="1:4" x14ac:dyDescent="0.25">
      <c r="A326" s="4" t="s">
        <v>460</v>
      </c>
      <c r="B326" s="4" t="s">
        <v>2493</v>
      </c>
      <c r="C326" s="4" t="s">
        <v>2493</v>
      </c>
      <c r="D326" s="4" t="s">
        <v>2493</v>
      </c>
    </row>
    <row r="327" spans="1:4" x14ac:dyDescent="0.25">
      <c r="A327" s="4" t="s">
        <v>461</v>
      </c>
      <c r="B327" s="4" t="s">
        <v>2492</v>
      </c>
      <c r="C327" s="4" t="s">
        <v>2497</v>
      </c>
      <c r="D327" s="4" t="s">
        <v>2492</v>
      </c>
    </row>
    <row r="328" spans="1:4" x14ac:dyDescent="0.25">
      <c r="A328" s="4" t="s">
        <v>462</v>
      </c>
      <c r="B328" s="4" t="s">
        <v>443</v>
      </c>
      <c r="C328" s="4" t="s">
        <v>1497</v>
      </c>
      <c r="D328" s="4" t="s">
        <v>443</v>
      </c>
    </row>
    <row r="329" spans="1:4" x14ac:dyDescent="0.25">
      <c r="A329" s="4" t="s">
        <v>462</v>
      </c>
      <c r="B329" s="4" t="s">
        <v>443</v>
      </c>
      <c r="C329" s="4" t="s">
        <v>2497</v>
      </c>
      <c r="D329" s="4" t="s">
        <v>443</v>
      </c>
    </row>
    <row r="330" spans="1:4" x14ac:dyDescent="0.25">
      <c r="A330" s="4" t="s">
        <v>462</v>
      </c>
      <c r="B330" s="4" t="s">
        <v>443</v>
      </c>
      <c r="C330" s="4" t="s">
        <v>2497</v>
      </c>
      <c r="D330" s="4" t="s">
        <v>2492</v>
      </c>
    </row>
    <row r="331" spans="1:4" x14ac:dyDescent="0.25">
      <c r="A331" s="4" t="s">
        <v>462</v>
      </c>
      <c r="B331" s="4" t="s">
        <v>444</v>
      </c>
      <c r="C331" s="4" t="s">
        <v>1497</v>
      </c>
      <c r="D331" s="4" t="s">
        <v>444</v>
      </c>
    </row>
    <row r="332" spans="1:4" x14ac:dyDescent="0.25">
      <c r="A332" s="4" t="s">
        <v>462</v>
      </c>
      <c r="B332" s="4" t="s">
        <v>2492</v>
      </c>
      <c r="C332" s="4" t="s">
        <v>1497</v>
      </c>
      <c r="D332" s="4" t="s">
        <v>2492</v>
      </c>
    </row>
    <row r="333" spans="1:4" x14ac:dyDescent="0.25">
      <c r="A333" s="4" t="s">
        <v>462</v>
      </c>
      <c r="B333" s="4" t="s">
        <v>2492</v>
      </c>
      <c r="C333" s="4" t="s">
        <v>2497</v>
      </c>
      <c r="D333" s="4" t="s">
        <v>2492</v>
      </c>
    </row>
    <row r="334" spans="1:4" x14ac:dyDescent="0.25">
      <c r="A334" s="4" t="s">
        <v>467</v>
      </c>
      <c r="B334" s="4" t="s">
        <v>2492</v>
      </c>
      <c r="C334" s="4" t="s">
        <v>1497</v>
      </c>
      <c r="D334" s="4" t="s">
        <v>2492</v>
      </c>
    </row>
    <row r="335" spans="1:4" x14ac:dyDescent="0.25">
      <c r="A335" s="4" t="s">
        <v>468</v>
      </c>
      <c r="B335" s="4" t="s">
        <v>2492</v>
      </c>
      <c r="C335" s="4" t="s">
        <v>1497</v>
      </c>
      <c r="D335" s="4" t="s">
        <v>2492</v>
      </c>
    </row>
    <row r="336" spans="1:4" x14ac:dyDescent="0.25">
      <c r="A336" s="4" t="s">
        <v>468</v>
      </c>
      <c r="B336" s="4" t="s">
        <v>2492</v>
      </c>
      <c r="C336" s="4" t="s">
        <v>2497</v>
      </c>
      <c r="D336" s="4" t="s">
        <v>2492</v>
      </c>
    </row>
    <row r="337" spans="1:4" x14ac:dyDescent="0.25">
      <c r="A337" s="4" t="s">
        <v>469</v>
      </c>
      <c r="B337" s="4" t="s">
        <v>2492</v>
      </c>
      <c r="C337" s="4" t="s">
        <v>2492</v>
      </c>
      <c r="D337" s="4" t="s">
        <v>2492</v>
      </c>
    </row>
    <row r="338" spans="1:4" x14ac:dyDescent="0.25">
      <c r="A338" s="4" t="s">
        <v>469</v>
      </c>
      <c r="B338" s="4" t="s">
        <v>2492</v>
      </c>
      <c r="C338" s="4" t="s">
        <v>1497</v>
      </c>
      <c r="D338" s="4" t="s">
        <v>2492</v>
      </c>
    </row>
    <row r="339" spans="1:4" x14ac:dyDescent="0.25">
      <c r="A339" s="4" t="s">
        <v>469</v>
      </c>
      <c r="B339" s="4" t="s">
        <v>2492</v>
      </c>
      <c r="C339" s="4" t="s">
        <v>2497</v>
      </c>
      <c r="D339" s="4" t="s">
        <v>2492</v>
      </c>
    </row>
    <row r="340" spans="1:4" x14ac:dyDescent="0.25">
      <c r="A340" s="4" t="s">
        <v>472</v>
      </c>
      <c r="B340" s="4" t="s">
        <v>2492</v>
      </c>
      <c r="C340" s="4" t="s">
        <v>2497</v>
      </c>
      <c r="D340" s="4" t="s">
        <v>2492</v>
      </c>
    </row>
    <row r="341" spans="1:4" x14ac:dyDescent="0.25">
      <c r="A341" s="4" t="s">
        <v>473</v>
      </c>
      <c r="B341" s="4" t="s">
        <v>2492</v>
      </c>
      <c r="C341" s="4" t="s">
        <v>2497</v>
      </c>
      <c r="D341" s="4" t="s">
        <v>2492</v>
      </c>
    </row>
    <row r="342" spans="1:4" x14ac:dyDescent="0.25">
      <c r="A342" s="4" t="s">
        <v>475</v>
      </c>
      <c r="B342" s="4" t="s">
        <v>2492</v>
      </c>
      <c r="C342" s="4" t="s">
        <v>1497</v>
      </c>
      <c r="D342" s="4" t="s">
        <v>2492</v>
      </c>
    </row>
    <row r="343" spans="1:4" x14ac:dyDescent="0.25">
      <c r="A343" s="4" t="s">
        <v>475</v>
      </c>
      <c r="B343" s="4" t="s">
        <v>2492</v>
      </c>
      <c r="C343" s="4" t="s">
        <v>2497</v>
      </c>
      <c r="D343" s="4" t="s">
        <v>2492</v>
      </c>
    </row>
    <row r="344" spans="1:4" x14ac:dyDescent="0.25">
      <c r="A344" s="4" t="s">
        <v>479</v>
      </c>
      <c r="B344" s="4" t="s">
        <v>2492</v>
      </c>
      <c r="C344" s="4" t="s">
        <v>2497</v>
      </c>
      <c r="D344" s="4" t="s">
        <v>2492</v>
      </c>
    </row>
    <row r="345" spans="1:4" x14ac:dyDescent="0.25">
      <c r="A345" s="4" t="s">
        <v>483</v>
      </c>
      <c r="B345" s="4" t="s">
        <v>2529</v>
      </c>
      <c r="C345" s="4" t="s">
        <v>2529</v>
      </c>
      <c r="D345" s="4" t="s">
        <v>2529</v>
      </c>
    </row>
    <row r="346" spans="1:4" x14ac:dyDescent="0.25">
      <c r="A346" s="4" t="s">
        <v>484</v>
      </c>
      <c r="B346" s="4" t="s">
        <v>1497</v>
      </c>
      <c r="C346" s="4" t="s">
        <v>1497</v>
      </c>
      <c r="D346" s="4" t="s">
        <v>1497</v>
      </c>
    </row>
    <row r="347" spans="1:4" x14ac:dyDescent="0.25">
      <c r="A347" s="4" t="s">
        <v>488</v>
      </c>
      <c r="B347" s="4" t="s">
        <v>2493</v>
      </c>
      <c r="C347" s="4" t="s">
        <v>2493</v>
      </c>
      <c r="D347" s="4" t="s">
        <v>2493</v>
      </c>
    </row>
    <row r="348" spans="1:4" x14ac:dyDescent="0.25">
      <c r="A348" s="4" t="s">
        <v>488</v>
      </c>
      <c r="B348" s="4" t="s">
        <v>1497</v>
      </c>
      <c r="C348" s="4" t="s">
        <v>1497</v>
      </c>
      <c r="D348" s="4" t="s">
        <v>1497</v>
      </c>
    </row>
    <row r="349" spans="1:4" x14ac:dyDescent="0.25">
      <c r="A349" s="4" t="s">
        <v>490</v>
      </c>
      <c r="B349" s="4" t="s">
        <v>2492</v>
      </c>
      <c r="C349" s="4" t="s">
        <v>1497</v>
      </c>
      <c r="D349" s="4" t="s">
        <v>2492</v>
      </c>
    </row>
    <row r="350" spans="1:4" x14ac:dyDescent="0.25">
      <c r="A350" s="4" t="s">
        <v>490</v>
      </c>
      <c r="B350" s="4" t="s">
        <v>2492</v>
      </c>
      <c r="C350" s="4" t="s">
        <v>2497</v>
      </c>
      <c r="D350" s="4" t="s">
        <v>2492</v>
      </c>
    </row>
    <row r="351" spans="1:4" x14ac:dyDescent="0.25">
      <c r="A351" s="4" t="s">
        <v>491</v>
      </c>
      <c r="B351" s="4" t="s">
        <v>2526</v>
      </c>
      <c r="C351" s="4" t="s">
        <v>2526</v>
      </c>
      <c r="D351" s="4" t="s">
        <v>2526</v>
      </c>
    </row>
    <row r="352" spans="1:4" x14ac:dyDescent="0.25">
      <c r="A352" s="4" t="s">
        <v>491</v>
      </c>
      <c r="B352" s="4" t="s">
        <v>2527</v>
      </c>
      <c r="C352" s="4" t="s">
        <v>2527</v>
      </c>
      <c r="D352" s="4" t="s">
        <v>2527</v>
      </c>
    </row>
    <row r="353" spans="1:4" x14ac:dyDescent="0.25">
      <c r="A353" s="4" t="s">
        <v>491</v>
      </c>
      <c r="B353" s="4" t="s">
        <v>2495</v>
      </c>
      <c r="C353" s="4" t="s">
        <v>2495</v>
      </c>
      <c r="D353" s="4" t="s">
        <v>2495</v>
      </c>
    </row>
    <row r="354" spans="1:4" x14ac:dyDescent="0.25">
      <c r="A354" s="4" t="s">
        <v>491</v>
      </c>
      <c r="B354" s="4" t="s">
        <v>1497</v>
      </c>
      <c r="C354" s="4" t="s">
        <v>1497</v>
      </c>
      <c r="D354" s="4" t="s">
        <v>1497</v>
      </c>
    </row>
    <row r="355" spans="1:4" x14ac:dyDescent="0.25">
      <c r="A355" s="4" t="s">
        <v>491</v>
      </c>
      <c r="B355" s="4" t="s">
        <v>2541</v>
      </c>
      <c r="C355" s="4" t="s">
        <v>2541</v>
      </c>
      <c r="D355" s="4" t="s">
        <v>2541</v>
      </c>
    </row>
    <row r="356" spans="1:4" x14ac:dyDescent="0.25">
      <c r="A356" s="4" t="s">
        <v>492</v>
      </c>
      <c r="B356" s="4" t="s">
        <v>444</v>
      </c>
      <c r="C356" s="4" t="s">
        <v>1497</v>
      </c>
      <c r="D356" s="4" t="s">
        <v>444</v>
      </c>
    </row>
    <row r="357" spans="1:4" x14ac:dyDescent="0.25">
      <c r="A357" s="4" t="s">
        <v>492</v>
      </c>
      <c r="B357" s="4" t="s">
        <v>2492</v>
      </c>
      <c r="C357" s="4" t="s">
        <v>1497</v>
      </c>
      <c r="D357" s="4" t="s">
        <v>2492</v>
      </c>
    </row>
    <row r="358" spans="1:4" x14ac:dyDescent="0.25">
      <c r="A358" s="4" t="s">
        <v>493</v>
      </c>
      <c r="B358" s="4" t="s">
        <v>2492</v>
      </c>
      <c r="C358" s="4" t="s">
        <v>1497</v>
      </c>
      <c r="D358" s="4" t="s">
        <v>2492</v>
      </c>
    </row>
    <row r="359" spans="1:4" x14ac:dyDescent="0.25">
      <c r="A359" s="4" t="s">
        <v>494</v>
      </c>
      <c r="B359" s="4" t="s">
        <v>1497</v>
      </c>
      <c r="C359" s="4" t="s">
        <v>1497</v>
      </c>
      <c r="D359" s="4" t="s">
        <v>1497</v>
      </c>
    </row>
    <row r="360" spans="1:4" x14ac:dyDescent="0.25">
      <c r="A360" s="4" t="s">
        <v>500</v>
      </c>
      <c r="B360" s="4" t="s">
        <v>443</v>
      </c>
      <c r="C360" s="4" t="s">
        <v>1497</v>
      </c>
      <c r="D360" s="4" t="s">
        <v>443</v>
      </c>
    </row>
    <row r="361" spans="1:4" x14ac:dyDescent="0.25">
      <c r="A361" s="4" t="s">
        <v>500</v>
      </c>
      <c r="B361" s="4" t="s">
        <v>444</v>
      </c>
      <c r="C361" s="4" t="s">
        <v>1497</v>
      </c>
      <c r="D361" s="4" t="s">
        <v>444</v>
      </c>
    </row>
    <row r="362" spans="1:4" x14ac:dyDescent="0.25">
      <c r="A362" s="4" t="s">
        <v>501</v>
      </c>
      <c r="B362" s="4" t="s">
        <v>2492</v>
      </c>
      <c r="C362" s="4" t="s">
        <v>2497</v>
      </c>
      <c r="D362" s="4" t="s">
        <v>2492</v>
      </c>
    </row>
    <row r="363" spans="1:4" x14ac:dyDescent="0.25">
      <c r="A363" s="4" t="s">
        <v>509</v>
      </c>
      <c r="B363" s="4" t="s">
        <v>2500</v>
      </c>
      <c r="C363" s="4" t="s">
        <v>2500</v>
      </c>
      <c r="D363" s="4" t="s">
        <v>2500</v>
      </c>
    </row>
    <row r="364" spans="1:4" x14ac:dyDescent="0.25">
      <c r="A364" s="4" t="s">
        <v>509</v>
      </c>
      <c r="B364" s="4" t="s">
        <v>2536</v>
      </c>
      <c r="C364" s="4" t="s">
        <v>2536</v>
      </c>
      <c r="D364" s="4" t="s">
        <v>2536</v>
      </c>
    </row>
    <row r="365" spans="1:4" x14ac:dyDescent="0.25">
      <c r="A365" s="4" t="s">
        <v>509</v>
      </c>
      <c r="B365" s="4" t="s">
        <v>2498</v>
      </c>
      <c r="C365" s="4" t="s">
        <v>2498</v>
      </c>
      <c r="D365" s="4" t="s">
        <v>2498</v>
      </c>
    </row>
    <row r="366" spans="1:4" x14ac:dyDescent="0.25">
      <c r="A366" s="4" t="s">
        <v>509</v>
      </c>
      <c r="B366" s="4" t="s">
        <v>2507</v>
      </c>
      <c r="C366" s="4" t="s">
        <v>2507</v>
      </c>
      <c r="D366" s="4" t="s">
        <v>2507</v>
      </c>
    </row>
    <row r="367" spans="1:4" x14ac:dyDescent="0.25">
      <c r="A367" s="4" t="s">
        <v>510</v>
      </c>
      <c r="B367" s="4" t="s">
        <v>2494</v>
      </c>
      <c r="C367" s="4" t="s">
        <v>2494</v>
      </c>
      <c r="D367" s="4" t="s">
        <v>2494</v>
      </c>
    </row>
    <row r="368" spans="1:4" x14ac:dyDescent="0.25">
      <c r="A368" s="4" t="s">
        <v>510</v>
      </c>
      <c r="B368" s="4" t="s">
        <v>2540</v>
      </c>
      <c r="C368" s="4" t="s">
        <v>2540</v>
      </c>
      <c r="D368" s="4" t="s">
        <v>2540</v>
      </c>
    </row>
    <row r="369" spans="1:4" x14ac:dyDescent="0.25">
      <c r="A369" s="4" t="s">
        <v>510</v>
      </c>
      <c r="B369" s="4" t="s">
        <v>2522</v>
      </c>
      <c r="C369" s="4" t="s">
        <v>2522</v>
      </c>
      <c r="D369" s="4" t="s">
        <v>2522</v>
      </c>
    </row>
    <row r="370" spans="1:4" x14ac:dyDescent="0.25">
      <c r="A370" s="4" t="s">
        <v>510</v>
      </c>
      <c r="B370" s="4" t="s">
        <v>2510</v>
      </c>
      <c r="C370" s="4" t="s">
        <v>2510</v>
      </c>
      <c r="D370" s="4" t="s">
        <v>2510</v>
      </c>
    </row>
    <row r="371" spans="1:4" x14ac:dyDescent="0.25">
      <c r="A371" s="4" t="s">
        <v>510</v>
      </c>
      <c r="B371" s="4" t="s">
        <v>2495</v>
      </c>
      <c r="C371" s="4" t="s">
        <v>2495</v>
      </c>
      <c r="D371" s="4" t="s">
        <v>2495</v>
      </c>
    </row>
    <row r="372" spans="1:4" x14ac:dyDescent="0.25">
      <c r="A372" s="4" t="s">
        <v>510</v>
      </c>
      <c r="B372" s="4" t="s">
        <v>1497</v>
      </c>
      <c r="C372" s="4" t="s">
        <v>1497</v>
      </c>
      <c r="D372" s="4" t="s">
        <v>1497</v>
      </c>
    </row>
    <row r="373" spans="1:4" x14ac:dyDescent="0.25">
      <c r="A373" s="4" t="s">
        <v>510</v>
      </c>
      <c r="B373" s="4" t="s">
        <v>2541</v>
      </c>
      <c r="C373" s="4" t="s">
        <v>2541</v>
      </c>
      <c r="D373" s="4" t="s">
        <v>2541</v>
      </c>
    </row>
    <row r="374" spans="1:4" x14ac:dyDescent="0.25">
      <c r="A374" s="4" t="s">
        <v>510</v>
      </c>
      <c r="B374" s="4" t="s">
        <v>2523</v>
      </c>
      <c r="C374" s="4" t="s">
        <v>2523</v>
      </c>
      <c r="D374" s="4" t="s">
        <v>2523</v>
      </c>
    </row>
    <row r="375" spans="1:4" x14ac:dyDescent="0.25">
      <c r="A375" s="4" t="s">
        <v>510</v>
      </c>
      <c r="B375" s="4" t="s">
        <v>2542</v>
      </c>
      <c r="C375" s="4" t="s">
        <v>2542</v>
      </c>
      <c r="D375" s="4" t="s">
        <v>2542</v>
      </c>
    </row>
    <row r="376" spans="1:4" x14ac:dyDescent="0.25">
      <c r="A376" s="4" t="s">
        <v>512</v>
      </c>
      <c r="B376" s="4" t="s">
        <v>1497</v>
      </c>
      <c r="C376" s="4" t="s">
        <v>1497</v>
      </c>
      <c r="D376" s="4" t="s">
        <v>1497</v>
      </c>
    </row>
    <row r="377" spans="1:4" x14ac:dyDescent="0.25">
      <c r="A377" s="4" t="s">
        <v>514</v>
      </c>
      <c r="B377" s="4" t="s">
        <v>1497</v>
      </c>
      <c r="C377" s="4" t="s">
        <v>1497</v>
      </c>
      <c r="D377" s="4" t="s">
        <v>1497</v>
      </c>
    </row>
    <row r="378" spans="1:4" x14ac:dyDescent="0.25">
      <c r="A378" s="4" t="s">
        <v>515</v>
      </c>
      <c r="B378" s="4" t="s">
        <v>2493</v>
      </c>
      <c r="C378" s="4" t="s">
        <v>2493</v>
      </c>
      <c r="D378" s="4" t="s">
        <v>2493</v>
      </c>
    </row>
    <row r="379" spans="1:4" x14ac:dyDescent="0.25">
      <c r="A379" s="4" t="s">
        <v>517</v>
      </c>
      <c r="B379" s="4" t="s">
        <v>2540</v>
      </c>
      <c r="C379" s="4" t="s">
        <v>2540</v>
      </c>
      <c r="D379" s="4" t="s">
        <v>2540</v>
      </c>
    </row>
    <row r="380" spans="1:4" x14ac:dyDescent="0.25">
      <c r="A380" s="4" t="s">
        <v>517</v>
      </c>
      <c r="B380" s="4" t="s">
        <v>2517</v>
      </c>
      <c r="C380" s="4" t="s">
        <v>2517</v>
      </c>
      <c r="D380" s="4" t="s">
        <v>2517</v>
      </c>
    </row>
    <row r="381" spans="1:4" x14ac:dyDescent="0.25">
      <c r="A381" s="4" t="s">
        <v>517</v>
      </c>
      <c r="B381" s="4" t="s">
        <v>2538</v>
      </c>
      <c r="C381" s="4" t="s">
        <v>2538</v>
      </c>
      <c r="D381" s="4" t="s">
        <v>2538</v>
      </c>
    </row>
    <row r="382" spans="1:4" x14ac:dyDescent="0.25">
      <c r="A382" s="4" t="s">
        <v>518</v>
      </c>
      <c r="B382" s="4" t="s">
        <v>2493</v>
      </c>
      <c r="C382" s="4" t="s">
        <v>2493</v>
      </c>
      <c r="D382" s="4" t="s">
        <v>2493</v>
      </c>
    </row>
    <row r="383" spans="1:4" x14ac:dyDescent="0.25">
      <c r="A383" s="4" t="s">
        <v>522</v>
      </c>
      <c r="B383" s="4" t="s">
        <v>443</v>
      </c>
      <c r="C383" s="4" t="s">
        <v>1497</v>
      </c>
      <c r="D383" s="4" t="s">
        <v>443</v>
      </c>
    </row>
    <row r="384" spans="1:4" x14ac:dyDescent="0.25">
      <c r="A384" s="4" t="s">
        <v>522</v>
      </c>
      <c r="B384" s="4" t="s">
        <v>444</v>
      </c>
      <c r="C384" s="4" t="s">
        <v>2505</v>
      </c>
      <c r="D384" s="4" t="s">
        <v>444</v>
      </c>
    </row>
    <row r="385" spans="1:4" x14ac:dyDescent="0.25">
      <c r="A385" s="4" t="s">
        <v>522</v>
      </c>
      <c r="B385" s="4" t="s">
        <v>444</v>
      </c>
      <c r="C385" s="4" t="s">
        <v>1497</v>
      </c>
      <c r="D385" s="4" t="s">
        <v>444</v>
      </c>
    </row>
    <row r="386" spans="1:4" x14ac:dyDescent="0.25">
      <c r="A386" s="4" t="s">
        <v>523</v>
      </c>
      <c r="B386" s="4" t="s">
        <v>2492</v>
      </c>
      <c r="C386" s="4" t="s">
        <v>1497</v>
      </c>
      <c r="D386" s="4" t="s">
        <v>2492</v>
      </c>
    </row>
    <row r="387" spans="1:4" x14ac:dyDescent="0.25">
      <c r="A387" s="4" t="s">
        <v>523</v>
      </c>
      <c r="B387" s="4" t="s">
        <v>2492</v>
      </c>
      <c r="C387" s="4" t="s">
        <v>2497</v>
      </c>
      <c r="D387" s="4" t="s">
        <v>2492</v>
      </c>
    </row>
    <row r="388" spans="1:4" x14ac:dyDescent="0.25">
      <c r="A388" s="4" t="s">
        <v>526</v>
      </c>
      <c r="B388" s="4" t="s">
        <v>443</v>
      </c>
      <c r="C388" s="4" t="s">
        <v>1497</v>
      </c>
      <c r="D388" s="4" t="s">
        <v>443</v>
      </c>
    </row>
    <row r="389" spans="1:4" x14ac:dyDescent="0.25">
      <c r="A389" s="4" t="s">
        <v>526</v>
      </c>
      <c r="B389" s="4" t="s">
        <v>443</v>
      </c>
      <c r="C389" s="4" t="s">
        <v>1497</v>
      </c>
      <c r="D389" s="4" t="s">
        <v>2543</v>
      </c>
    </row>
    <row r="390" spans="1:4" x14ac:dyDescent="0.25">
      <c r="A390" s="4" t="s">
        <v>526</v>
      </c>
      <c r="B390" s="4" t="s">
        <v>443</v>
      </c>
      <c r="C390" s="4" t="s">
        <v>1497</v>
      </c>
      <c r="D390" s="4" t="s">
        <v>2492</v>
      </c>
    </row>
    <row r="391" spans="1:4" x14ac:dyDescent="0.25">
      <c r="A391" s="4" t="s">
        <v>526</v>
      </c>
      <c r="B391" s="4" t="s">
        <v>444</v>
      </c>
      <c r="C391" s="4" t="s">
        <v>1497</v>
      </c>
      <c r="D391" s="4" t="s">
        <v>444</v>
      </c>
    </row>
    <row r="392" spans="1:4" x14ac:dyDescent="0.25">
      <c r="A392" s="4" t="s">
        <v>526</v>
      </c>
      <c r="B392" s="4" t="s">
        <v>2492</v>
      </c>
      <c r="C392" s="4" t="s">
        <v>1497</v>
      </c>
      <c r="D392" s="4" t="s">
        <v>2492</v>
      </c>
    </row>
    <row r="393" spans="1:4" x14ac:dyDescent="0.25">
      <c r="A393" s="4" t="s">
        <v>526</v>
      </c>
      <c r="B393" s="4" t="s">
        <v>2492</v>
      </c>
      <c r="C393" s="4" t="s">
        <v>2497</v>
      </c>
      <c r="D393" s="4" t="s">
        <v>2492</v>
      </c>
    </row>
    <row r="394" spans="1:4" x14ac:dyDescent="0.25">
      <c r="A394" s="4" t="s">
        <v>529</v>
      </c>
      <c r="B394" s="4" t="s">
        <v>2492</v>
      </c>
      <c r="C394" s="4" t="s">
        <v>2497</v>
      </c>
      <c r="D394" s="4" t="s">
        <v>2492</v>
      </c>
    </row>
    <row r="395" spans="1:4" x14ac:dyDescent="0.25">
      <c r="A395" s="4" t="s">
        <v>531</v>
      </c>
      <c r="B395" s="4" t="s">
        <v>2498</v>
      </c>
      <c r="C395" s="4" t="s">
        <v>2498</v>
      </c>
      <c r="D395" s="4" t="s">
        <v>2498</v>
      </c>
    </row>
    <row r="396" spans="1:4" x14ac:dyDescent="0.25">
      <c r="A396" s="4" t="s">
        <v>535</v>
      </c>
      <c r="B396" s="4" t="s">
        <v>2498</v>
      </c>
      <c r="C396" s="4" t="s">
        <v>2498</v>
      </c>
      <c r="D396" s="4" t="s">
        <v>2498</v>
      </c>
    </row>
    <row r="397" spans="1:4" x14ac:dyDescent="0.25">
      <c r="A397" s="4" t="s">
        <v>536</v>
      </c>
      <c r="B397" s="4" t="s">
        <v>2516</v>
      </c>
      <c r="C397" s="4" t="s">
        <v>2516</v>
      </c>
      <c r="D397" s="4" t="s">
        <v>2516</v>
      </c>
    </row>
    <row r="398" spans="1:4" x14ac:dyDescent="0.25">
      <c r="A398" s="4" t="s">
        <v>540</v>
      </c>
      <c r="B398" s="4" t="s">
        <v>1497</v>
      </c>
      <c r="C398" s="4" t="s">
        <v>1497</v>
      </c>
      <c r="D398" s="4" t="s">
        <v>1497</v>
      </c>
    </row>
    <row r="399" spans="1:4" x14ac:dyDescent="0.25">
      <c r="A399" s="4" t="s">
        <v>543</v>
      </c>
      <c r="B399" s="4" t="s">
        <v>2494</v>
      </c>
      <c r="C399" s="4" t="s">
        <v>2494</v>
      </c>
      <c r="D399" s="4" t="s">
        <v>2494</v>
      </c>
    </row>
    <row r="400" spans="1:4" x14ac:dyDescent="0.25">
      <c r="A400" s="4" t="s">
        <v>546</v>
      </c>
      <c r="B400" s="4" t="s">
        <v>1497</v>
      </c>
      <c r="C400" s="4" t="s">
        <v>1497</v>
      </c>
      <c r="D400" s="4" t="s">
        <v>1497</v>
      </c>
    </row>
    <row r="401" spans="1:4" x14ac:dyDescent="0.25">
      <c r="A401" s="4" t="s">
        <v>550</v>
      </c>
      <c r="B401" s="4" t="s">
        <v>444</v>
      </c>
      <c r="C401" s="4" t="s">
        <v>1497</v>
      </c>
      <c r="D401" s="4" t="s">
        <v>444</v>
      </c>
    </row>
    <row r="402" spans="1:4" x14ac:dyDescent="0.25">
      <c r="A402" s="4" t="s">
        <v>552</v>
      </c>
      <c r="B402" s="4" t="s">
        <v>2492</v>
      </c>
      <c r="C402" s="4" t="s">
        <v>2492</v>
      </c>
      <c r="D402" s="4" t="s">
        <v>2492</v>
      </c>
    </row>
    <row r="403" spans="1:4" x14ac:dyDescent="0.25">
      <c r="A403" s="4" t="s">
        <v>552</v>
      </c>
      <c r="B403" s="4" t="s">
        <v>2492</v>
      </c>
      <c r="C403" s="4" t="s">
        <v>1497</v>
      </c>
      <c r="D403" s="4" t="s">
        <v>2492</v>
      </c>
    </row>
    <row r="404" spans="1:4" x14ac:dyDescent="0.25">
      <c r="A404" s="4" t="s">
        <v>552</v>
      </c>
      <c r="B404" s="4" t="s">
        <v>2492</v>
      </c>
      <c r="C404" s="4" t="s">
        <v>2497</v>
      </c>
      <c r="D404" s="4" t="s">
        <v>2492</v>
      </c>
    </row>
    <row r="405" spans="1:4" x14ac:dyDescent="0.25">
      <c r="A405" s="4" t="s">
        <v>557</v>
      </c>
      <c r="B405" s="4" t="s">
        <v>2495</v>
      </c>
      <c r="C405" s="4" t="s">
        <v>2495</v>
      </c>
      <c r="D405" s="4" t="s">
        <v>2495</v>
      </c>
    </row>
    <row r="406" spans="1:4" x14ac:dyDescent="0.25">
      <c r="A406" s="4" t="s">
        <v>557</v>
      </c>
      <c r="B406" s="4" t="s">
        <v>1497</v>
      </c>
      <c r="C406" s="4" t="s">
        <v>1497</v>
      </c>
      <c r="D406" s="4" t="s">
        <v>1497</v>
      </c>
    </row>
    <row r="407" spans="1:4" x14ac:dyDescent="0.25">
      <c r="A407" s="4" t="s">
        <v>558</v>
      </c>
      <c r="B407" s="4" t="s">
        <v>2514</v>
      </c>
      <c r="C407" s="4" t="s">
        <v>2514</v>
      </c>
      <c r="D407" s="4" t="s">
        <v>2514</v>
      </c>
    </row>
    <row r="408" spans="1:4" x14ac:dyDescent="0.25">
      <c r="A408" s="4" t="s">
        <v>563</v>
      </c>
      <c r="B408" s="4" t="s">
        <v>2492</v>
      </c>
      <c r="C408" s="4" t="s">
        <v>1497</v>
      </c>
      <c r="D408" s="4" t="s">
        <v>2492</v>
      </c>
    </row>
    <row r="409" spans="1:4" x14ac:dyDescent="0.25">
      <c r="A409" s="4" t="s">
        <v>563</v>
      </c>
      <c r="B409" s="4" t="s">
        <v>2492</v>
      </c>
      <c r="C409" s="4" t="s">
        <v>2497</v>
      </c>
      <c r="D409" s="4" t="s">
        <v>2492</v>
      </c>
    </row>
    <row r="410" spans="1:4" x14ac:dyDescent="0.25">
      <c r="A410" s="4" t="s">
        <v>564</v>
      </c>
      <c r="B410" s="4" t="s">
        <v>2492</v>
      </c>
      <c r="C410" s="4" t="s">
        <v>1497</v>
      </c>
      <c r="D410" s="4" t="s">
        <v>2492</v>
      </c>
    </row>
    <row r="411" spans="1:4" x14ac:dyDescent="0.25">
      <c r="A411" s="4" t="s">
        <v>566</v>
      </c>
      <c r="B411" s="4" t="s">
        <v>2492</v>
      </c>
      <c r="C411" s="4" t="s">
        <v>1497</v>
      </c>
      <c r="D411" s="4" t="s">
        <v>2492</v>
      </c>
    </row>
    <row r="412" spans="1:4" x14ac:dyDescent="0.25">
      <c r="A412" s="4" t="s">
        <v>566</v>
      </c>
      <c r="B412" s="4" t="s">
        <v>2492</v>
      </c>
      <c r="C412" s="4" t="s">
        <v>2497</v>
      </c>
      <c r="D412" s="4" t="s">
        <v>2492</v>
      </c>
    </row>
    <row r="413" spans="1:4" x14ac:dyDescent="0.25">
      <c r="A413" s="4" t="s">
        <v>573</v>
      </c>
      <c r="B413" s="4" t="s">
        <v>2492</v>
      </c>
      <c r="C413" s="4" t="s">
        <v>1497</v>
      </c>
      <c r="D413" s="4" t="s">
        <v>2492</v>
      </c>
    </row>
    <row r="414" spans="1:4" x14ac:dyDescent="0.25">
      <c r="A414" s="4" t="s">
        <v>573</v>
      </c>
      <c r="B414" s="4" t="s">
        <v>2492</v>
      </c>
      <c r="C414" s="4" t="s">
        <v>2497</v>
      </c>
      <c r="D414" s="4" t="s">
        <v>2492</v>
      </c>
    </row>
    <row r="415" spans="1:4" x14ac:dyDescent="0.25">
      <c r="A415" s="4" t="s">
        <v>576</v>
      </c>
      <c r="B415" s="4" t="s">
        <v>2492</v>
      </c>
      <c r="C415" s="4" t="s">
        <v>2492</v>
      </c>
      <c r="D415" s="4" t="s">
        <v>2492</v>
      </c>
    </row>
    <row r="416" spans="1:4" x14ac:dyDescent="0.25">
      <c r="A416" s="4" t="s">
        <v>581</v>
      </c>
      <c r="B416" s="4" t="s">
        <v>2492</v>
      </c>
      <c r="C416" s="4" t="s">
        <v>1497</v>
      </c>
      <c r="D416" s="4" t="s">
        <v>2492</v>
      </c>
    </row>
    <row r="417" spans="1:4" x14ac:dyDescent="0.25">
      <c r="A417" s="4" t="s">
        <v>582</v>
      </c>
      <c r="B417" s="4" t="s">
        <v>2494</v>
      </c>
      <c r="C417" s="4" t="s">
        <v>2494</v>
      </c>
      <c r="D417" s="4" t="s">
        <v>2494</v>
      </c>
    </row>
    <row r="418" spans="1:4" x14ac:dyDescent="0.25">
      <c r="A418" s="4" t="s">
        <v>583</v>
      </c>
      <c r="B418" s="4" t="s">
        <v>2492</v>
      </c>
      <c r="C418" s="4" t="s">
        <v>1497</v>
      </c>
      <c r="D418" s="4" t="s">
        <v>2492</v>
      </c>
    </row>
    <row r="419" spans="1:4" x14ac:dyDescent="0.25">
      <c r="A419" s="4" t="s">
        <v>584</v>
      </c>
      <c r="B419" s="4" t="s">
        <v>2492</v>
      </c>
      <c r="C419" s="4" t="s">
        <v>1497</v>
      </c>
      <c r="D419" s="4" t="s">
        <v>2492</v>
      </c>
    </row>
    <row r="420" spans="1:4" x14ac:dyDescent="0.25">
      <c r="A420" s="4" t="s">
        <v>584</v>
      </c>
      <c r="B420" s="4" t="s">
        <v>2492</v>
      </c>
      <c r="C420" s="4" t="s">
        <v>2497</v>
      </c>
      <c r="D420" s="4" t="s">
        <v>2492</v>
      </c>
    </row>
    <row r="421" spans="1:4" x14ac:dyDescent="0.25">
      <c r="A421" s="4" t="s">
        <v>585</v>
      </c>
      <c r="B421" s="4" t="s">
        <v>2492</v>
      </c>
      <c r="C421" s="4" t="s">
        <v>1497</v>
      </c>
      <c r="D421" s="4" t="s">
        <v>2492</v>
      </c>
    </row>
    <row r="422" spans="1:4" x14ac:dyDescent="0.25">
      <c r="A422" s="4" t="s">
        <v>589</v>
      </c>
      <c r="B422" s="4" t="s">
        <v>2498</v>
      </c>
      <c r="C422" s="4" t="s">
        <v>2498</v>
      </c>
      <c r="D422" s="4" t="s">
        <v>2498</v>
      </c>
    </row>
    <row r="423" spans="1:4" x14ac:dyDescent="0.25">
      <c r="A423" s="4" t="s">
        <v>602</v>
      </c>
      <c r="B423" s="4" t="s">
        <v>443</v>
      </c>
      <c r="C423" s="4" t="s">
        <v>1497</v>
      </c>
      <c r="D423" s="4" t="s">
        <v>443</v>
      </c>
    </row>
    <row r="424" spans="1:4" x14ac:dyDescent="0.25">
      <c r="A424" s="4" t="s">
        <v>602</v>
      </c>
      <c r="B424" s="4" t="s">
        <v>444</v>
      </c>
      <c r="C424" s="4" t="s">
        <v>1497</v>
      </c>
      <c r="D424" s="4" t="s">
        <v>444</v>
      </c>
    </row>
    <row r="425" spans="1:4" x14ac:dyDescent="0.25">
      <c r="A425" s="4" t="s">
        <v>606</v>
      </c>
      <c r="B425" s="4" t="s">
        <v>2494</v>
      </c>
      <c r="C425" s="4" t="s">
        <v>2494</v>
      </c>
      <c r="D425" s="4" t="s">
        <v>2494</v>
      </c>
    </row>
    <row r="426" spans="1:4" x14ac:dyDescent="0.25">
      <c r="A426" s="4" t="s">
        <v>608</v>
      </c>
      <c r="B426" s="4" t="s">
        <v>1497</v>
      </c>
      <c r="C426" s="4" t="s">
        <v>1497</v>
      </c>
      <c r="D426" s="4" t="s">
        <v>1497</v>
      </c>
    </row>
    <row r="427" spans="1:4" x14ac:dyDescent="0.25">
      <c r="A427" s="4" t="s">
        <v>611</v>
      </c>
      <c r="B427" s="4" t="s">
        <v>2492</v>
      </c>
      <c r="C427" s="4" t="s">
        <v>1497</v>
      </c>
      <c r="D427" s="4" t="s">
        <v>2492</v>
      </c>
    </row>
    <row r="428" spans="1:4" x14ac:dyDescent="0.25">
      <c r="A428" s="4" t="s">
        <v>613</v>
      </c>
      <c r="B428" s="4" t="s">
        <v>2492</v>
      </c>
      <c r="C428" s="4" t="s">
        <v>1497</v>
      </c>
      <c r="D428" s="4" t="s">
        <v>2492</v>
      </c>
    </row>
    <row r="429" spans="1:4" x14ac:dyDescent="0.25">
      <c r="A429" s="4" t="s">
        <v>614</v>
      </c>
      <c r="B429" s="4" t="s">
        <v>2492</v>
      </c>
      <c r="C429" s="4" t="s">
        <v>2497</v>
      </c>
      <c r="D429" s="4" t="s">
        <v>2492</v>
      </c>
    </row>
    <row r="430" spans="1:4" x14ac:dyDescent="0.25">
      <c r="A430" s="4" t="s">
        <v>619</v>
      </c>
      <c r="B430" s="4" t="s">
        <v>2492</v>
      </c>
      <c r="C430" s="4" t="s">
        <v>1497</v>
      </c>
      <c r="D430" s="4" t="s">
        <v>2492</v>
      </c>
    </row>
    <row r="431" spans="1:4" x14ac:dyDescent="0.25">
      <c r="A431" s="4" t="s">
        <v>631</v>
      </c>
      <c r="B431" s="4" t="s">
        <v>2494</v>
      </c>
      <c r="C431" s="4" t="s">
        <v>2494</v>
      </c>
      <c r="D431" s="4" t="s">
        <v>2494</v>
      </c>
    </row>
    <row r="432" spans="1:4" x14ac:dyDescent="0.25">
      <c r="A432" s="4" t="s">
        <v>633</v>
      </c>
      <c r="B432" s="4" t="s">
        <v>2492</v>
      </c>
      <c r="C432" s="4" t="s">
        <v>2497</v>
      </c>
      <c r="D432" s="4" t="s">
        <v>2492</v>
      </c>
    </row>
    <row r="433" spans="1:4" x14ac:dyDescent="0.25">
      <c r="A433" s="4" t="s">
        <v>634</v>
      </c>
      <c r="B433" s="4" t="s">
        <v>2492</v>
      </c>
      <c r="C433" s="4" t="s">
        <v>2497</v>
      </c>
      <c r="D433" s="4" t="s">
        <v>2492</v>
      </c>
    </row>
    <row r="434" spans="1:4" x14ac:dyDescent="0.25">
      <c r="A434" s="4" t="s">
        <v>638</v>
      </c>
      <c r="B434" s="4" t="s">
        <v>2509</v>
      </c>
      <c r="C434" s="4" t="s">
        <v>2509</v>
      </c>
      <c r="D434" s="4" t="s">
        <v>2509</v>
      </c>
    </row>
    <row r="435" spans="1:4" x14ac:dyDescent="0.25">
      <c r="A435" s="4" t="s">
        <v>638</v>
      </c>
      <c r="B435" s="4" t="s">
        <v>2514</v>
      </c>
      <c r="C435" s="4" t="s">
        <v>2514</v>
      </c>
      <c r="D435" s="4" t="s">
        <v>2514</v>
      </c>
    </row>
    <row r="436" spans="1:4" x14ac:dyDescent="0.25">
      <c r="A436" s="4" t="s">
        <v>638</v>
      </c>
      <c r="B436" s="4" t="s">
        <v>2536</v>
      </c>
      <c r="C436" s="4" t="s">
        <v>2536</v>
      </c>
      <c r="D436" s="4" t="s">
        <v>2536</v>
      </c>
    </row>
    <row r="437" spans="1:4" x14ac:dyDescent="0.25">
      <c r="A437" s="4" t="s">
        <v>638</v>
      </c>
      <c r="B437" s="4" t="s">
        <v>2523</v>
      </c>
      <c r="C437" s="4" t="s">
        <v>2523</v>
      </c>
      <c r="D437" s="4" t="s">
        <v>2523</v>
      </c>
    </row>
    <row r="438" spans="1:4" x14ac:dyDescent="0.25">
      <c r="A438" s="4" t="s">
        <v>638</v>
      </c>
      <c r="B438" s="4" t="s">
        <v>2539</v>
      </c>
      <c r="C438" s="4" t="s">
        <v>2539</v>
      </c>
      <c r="D438" s="4" t="s">
        <v>2539</v>
      </c>
    </row>
    <row r="439" spans="1:4" x14ac:dyDescent="0.25">
      <c r="A439" s="4" t="s">
        <v>642</v>
      </c>
      <c r="B439" s="4" t="s">
        <v>2492</v>
      </c>
      <c r="C439" s="4" t="s">
        <v>2492</v>
      </c>
      <c r="D439" s="4" t="s">
        <v>2492</v>
      </c>
    </row>
    <row r="440" spans="1:4" x14ac:dyDescent="0.25">
      <c r="A440" s="4" t="s">
        <v>644</v>
      </c>
      <c r="B440" s="4" t="s">
        <v>2492</v>
      </c>
      <c r="C440" s="4" t="s">
        <v>2492</v>
      </c>
      <c r="D440" s="4" t="s">
        <v>2492</v>
      </c>
    </row>
    <row r="441" spans="1:4" x14ac:dyDescent="0.25">
      <c r="A441" s="4" t="s">
        <v>644</v>
      </c>
      <c r="B441" s="4" t="s">
        <v>1497</v>
      </c>
      <c r="C441" s="4" t="s">
        <v>1497</v>
      </c>
      <c r="D441" s="4" t="s">
        <v>1497</v>
      </c>
    </row>
    <row r="442" spans="1:4" x14ac:dyDescent="0.25">
      <c r="A442" s="4" t="s">
        <v>644</v>
      </c>
      <c r="B442" s="4" t="s">
        <v>2498</v>
      </c>
      <c r="C442" s="4" t="s">
        <v>2498</v>
      </c>
      <c r="D442" s="4" t="s">
        <v>2498</v>
      </c>
    </row>
    <row r="443" spans="1:4" x14ac:dyDescent="0.25">
      <c r="A443" s="4" t="s">
        <v>648</v>
      </c>
      <c r="B443" s="4" t="s">
        <v>1497</v>
      </c>
      <c r="C443" s="4" t="s">
        <v>1497</v>
      </c>
      <c r="D443" s="4" t="s">
        <v>1497</v>
      </c>
    </row>
    <row r="444" spans="1:4" x14ac:dyDescent="0.25">
      <c r="A444" s="4" t="s">
        <v>649</v>
      </c>
      <c r="B444" s="4" t="s">
        <v>2492</v>
      </c>
      <c r="C444" s="4" t="s">
        <v>2497</v>
      </c>
      <c r="D444" s="4" t="s">
        <v>2492</v>
      </c>
    </row>
    <row r="445" spans="1:4" x14ac:dyDescent="0.25">
      <c r="A445" s="4" t="s">
        <v>654</v>
      </c>
      <c r="B445" s="4" t="s">
        <v>1497</v>
      </c>
      <c r="C445" s="4" t="s">
        <v>1497</v>
      </c>
      <c r="D445" s="4" t="s">
        <v>1497</v>
      </c>
    </row>
    <row r="446" spans="1:4" x14ac:dyDescent="0.25">
      <c r="A446" s="4" t="s">
        <v>658</v>
      </c>
      <c r="B446" s="4" t="s">
        <v>2492</v>
      </c>
      <c r="C446" s="4" t="s">
        <v>1497</v>
      </c>
      <c r="D446" s="4" t="s">
        <v>2492</v>
      </c>
    </row>
    <row r="447" spans="1:4" x14ac:dyDescent="0.25">
      <c r="A447" s="4" t="s">
        <v>658</v>
      </c>
      <c r="B447" s="4" t="s">
        <v>2492</v>
      </c>
      <c r="C447" s="4" t="s">
        <v>2497</v>
      </c>
      <c r="D447" s="4" t="s">
        <v>2492</v>
      </c>
    </row>
    <row r="448" spans="1:4" x14ac:dyDescent="0.25">
      <c r="A448" s="4" t="s">
        <v>660</v>
      </c>
      <c r="B448" s="4" t="s">
        <v>2492</v>
      </c>
      <c r="C448" s="4" t="s">
        <v>1497</v>
      </c>
      <c r="D448" s="4" t="s">
        <v>2492</v>
      </c>
    </row>
    <row r="449" spans="1:4" x14ac:dyDescent="0.25">
      <c r="A449" s="4" t="s">
        <v>661</v>
      </c>
      <c r="B449" s="4" t="s">
        <v>2492</v>
      </c>
      <c r="C449" s="4" t="s">
        <v>2492</v>
      </c>
      <c r="D449" s="4" t="s">
        <v>2492</v>
      </c>
    </row>
    <row r="450" spans="1:4" x14ac:dyDescent="0.25">
      <c r="A450" s="4" t="s">
        <v>668</v>
      </c>
      <c r="B450" s="4" t="s">
        <v>443</v>
      </c>
      <c r="C450" s="4" t="s">
        <v>1497</v>
      </c>
      <c r="D450" s="4" t="s">
        <v>443</v>
      </c>
    </row>
    <row r="451" spans="1:4" x14ac:dyDescent="0.25">
      <c r="A451" s="4" t="s">
        <v>668</v>
      </c>
      <c r="B451" s="4" t="s">
        <v>444</v>
      </c>
      <c r="C451" s="4" t="s">
        <v>1497</v>
      </c>
      <c r="D451" s="4" t="s">
        <v>444</v>
      </c>
    </row>
    <row r="452" spans="1:4" x14ac:dyDescent="0.25">
      <c r="A452" s="4" t="s">
        <v>675</v>
      </c>
      <c r="B452" s="4" t="s">
        <v>1497</v>
      </c>
      <c r="C452" s="4" t="s">
        <v>1497</v>
      </c>
      <c r="D452" s="4" t="s">
        <v>1497</v>
      </c>
    </row>
    <row r="453" spans="1:4" x14ac:dyDescent="0.25">
      <c r="A453" s="4" t="s">
        <v>676</v>
      </c>
      <c r="B453" s="4" t="s">
        <v>443</v>
      </c>
      <c r="C453" s="4" t="s">
        <v>1497</v>
      </c>
      <c r="D453" s="4" t="s">
        <v>443</v>
      </c>
    </row>
    <row r="454" spans="1:4" x14ac:dyDescent="0.25">
      <c r="A454" s="4" t="s">
        <v>676</v>
      </c>
      <c r="B454" s="4" t="s">
        <v>443</v>
      </c>
      <c r="C454" s="4" t="s">
        <v>2497</v>
      </c>
      <c r="D454" s="4" t="s">
        <v>443</v>
      </c>
    </row>
    <row r="455" spans="1:4" x14ac:dyDescent="0.25">
      <c r="A455" s="4" t="s">
        <v>676</v>
      </c>
      <c r="B455" s="4" t="s">
        <v>443</v>
      </c>
      <c r="C455" s="4" t="s">
        <v>2497</v>
      </c>
      <c r="D455" s="4" t="s">
        <v>2492</v>
      </c>
    </row>
    <row r="456" spans="1:4" x14ac:dyDescent="0.25">
      <c r="A456" s="4" t="s">
        <v>676</v>
      </c>
      <c r="B456" s="4" t="s">
        <v>444</v>
      </c>
      <c r="C456" s="4" t="s">
        <v>1497</v>
      </c>
      <c r="D456" s="4" t="s">
        <v>444</v>
      </c>
    </row>
    <row r="457" spans="1:4" x14ac:dyDescent="0.25">
      <c r="A457" s="4" t="s">
        <v>676</v>
      </c>
      <c r="B457" s="4" t="s">
        <v>2492</v>
      </c>
      <c r="C457" s="4" t="s">
        <v>1497</v>
      </c>
      <c r="D457" s="4" t="s">
        <v>2492</v>
      </c>
    </row>
    <row r="458" spans="1:4" x14ac:dyDescent="0.25">
      <c r="A458" s="4" t="s">
        <v>676</v>
      </c>
      <c r="B458" s="4" t="s">
        <v>2492</v>
      </c>
      <c r="C458" s="4" t="s">
        <v>2497</v>
      </c>
      <c r="D458" s="4" t="s">
        <v>2492</v>
      </c>
    </row>
    <row r="459" spans="1:4" x14ac:dyDescent="0.25">
      <c r="A459" s="4" t="s">
        <v>678</v>
      </c>
      <c r="B459" s="4" t="s">
        <v>2492</v>
      </c>
      <c r="C459" s="4" t="s">
        <v>1497</v>
      </c>
      <c r="D459" s="4" t="s">
        <v>2492</v>
      </c>
    </row>
    <row r="460" spans="1:4" x14ac:dyDescent="0.25">
      <c r="A460" s="4" t="s">
        <v>678</v>
      </c>
      <c r="B460" s="4" t="s">
        <v>2492</v>
      </c>
      <c r="C460" s="4" t="s">
        <v>2497</v>
      </c>
      <c r="D460" s="4" t="s">
        <v>2492</v>
      </c>
    </row>
    <row r="461" spans="1:4" x14ac:dyDescent="0.25">
      <c r="A461" s="4" t="s">
        <v>680</v>
      </c>
      <c r="B461" s="4" t="s">
        <v>1497</v>
      </c>
      <c r="C461" s="4" t="s">
        <v>1497</v>
      </c>
      <c r="D461" s="4" t="s">
        <v>1497</v>
      </c>
    </row>
    <row r="462" spans="1:4" x14ac:dyDescent="0.25">
      <c r="A462" s="4" t="s">
        <v>690</v>
      </c>
      <c r="B462" s="4" t="s">
        <v>443</v>
      </c>
      <c r="C462" s="4" t="s">
        <v>1497</v>
      </c>
      <c r="D462" s="4" t="s">
        <v>443</v>
      </c>
    </row>
    <row r="463" spans="1:4" x14ac:dyDescent="0.25">
      <c r="A463" s="4" t="s">
        <v>690</v>
      </c>
      <c r="B463" s="4" t="s">
        <v>444</v>
      </c>
      <c r="C463" s="4" t="s">
        <v>1497</v>
      </c>
      <c r="D463" s="4" t="s">
        <v>444</v>
      </c>
    </row>
    <row r="464" spans="1:4" x14ac:dyDescent="0.25">
      <c r="A464" s="4" t="s">
        <v>705</v>
      </c>
      <c r="B464" s="4" t="s">
        <v>2499</v>
      </c>
      <c r="C464" s="4" t="s">
        <v>2499</v>
      </c>
      <c r="D464" s="4" t="s">
        <v>2499</v>
      </c>
    </row>
    <row r="465" spans="1:4" x14ac:dyDescent="0.25">
      <c r="A465" s="4" t="s">
        <v>705</v>
      </c>
      <c r="B465" s="4" t="s">
        <v>2492</v>
      </c>
      <c r="C465" s="4" t="s">
        <v>2492</v>
      </c>
      <c r="D465" s="4" t="s">
        <v>2492</v>
      </c>
    </row>
    <row r="466" spans="1:4" x14ac:dyDescent="0.25">
      <c r="A466" s="4" t="s">
        <v>705</v>
      </c>
      <c r="B466" s="4" t="s">
        <v>2547</v>
      </c>
      <c r="C466" s="4" t="s">
        <v>2547</v>
      </c>
      <c r="D466" s="4" t="s">
        <v>2547</v>
      </c>
    </row>
    <row r="467" spans="1:4" x14ac:dyDescent="0.25">
      <c r="A467" s="4" t="s">
        <v>705</v>
      </c>
      <c r="B467" s="4" t="s">
        <v>2525</v>
      </c>
      <c r="C467" s="4" t="s">
        <v>2525</v>
      </c>
      <c r="D467" s="4" t="s">
        <v>2525</v>
      </c>
    </row>
    <row r="468" spans="1:4" x14ac:dyDescent="0.25">
      <c r="A468" s="4" t="s">
        <v>705</v>
      </c>
      <c r="B468" s="4" t="s">
        <v>2548</v>
      </c>
      <c r="C468" s="4" t="s">
        <v>2548</v>
      </c>
      <c r="D468" s="4" t="s">
        <v>2548</v>
      </c>
    </row>
    <row r="469" spans="1:4" x14ac:dyDescent="0.25">
      <c r="A469" s="4" t="s">
        <v>705</v>
      </c>
      <c r="B469" s="4" t="s">
        <v>2522</v>
      </c>
      <c r="C469" s="4" t="s">
        <v>2522</v>
      </c>
      <c r="D469" s="4" t="s">
        <v>2522</v>
      </c>
    </row>
    <row r="470" spans="1:4" x14ac:dyDescent="0.25">
      <c r="A470" s="4" t="s">
        <v>705</v>
      </c>
      <c r="B470" s="4" t="s">
        <v>2495</v>
      </c>
      <c r="C470" s="4" t="s">
        <v>2495</v>
      </c>
      <c r="D470" s="4" t="s">
        <v>2495</v>
      </c>
    </row>
    <row r="471" spans="1:4" x14ac:dyDescent="0.25">
      <c r="A471" s="4" t="s">
        <v>705</v>
      </c>
      <c r="B471" s="4" t="s">
        <v>1497</v>
      </c>
      <c r="C471" s="4" t="s">
        <v>1497</v>
      </c>
      <c r="D471" s="4" t="s">
        <v>1497</v>
      </c>
    </row>
    <row r="472" spans="1:4" x14ac:dyDescent="0.25">
      <c r="A472" s="4" t="s">
        <v>705</v>
      </c>
      <c r="B472" s="4" t="s">
        <v>2541</v>
      </c>
      <c r="C472" s="4" t="s">
        <v>2541</v>
      </c>
      <c r="D472" s="4" t="s">
        <v>2541</v>
      </c>
    </row>
    <row r="473" spans="1:4" x14ac:dyDescent="0.25">
      <c r="A473" s="4" t="s">
        <v>706</v>
      </c>
      <c r="B473" s="4" t="s">
        <v>2494</v>
      </c>
      <c r="C473" s="4" t="s">
        <v>2494</v>
      </c>
      <c r="D473" s="4" t="s">
        <v>2494</v>
      </c>
    </row>
    <row r="474" spans="1:4" x14ac:dyDescent="0.25">
      <c r="A474" s="4" t="s">
        <v>708</v>
      </c>
      <c r="B474" s="4" t="s">
        <v>2494</v>
      </c>
      <c r="C474" s="4" t="s">
        <v>2494</v>
      </c>
      <c r="D474" s="4" t="s">
        <v>2494</v>
      </c>
    </row>
    <row r="475" spans="1:4" x14ac:dyDescent="0.25">
      <c r="A475" s="4" t="s">
        <v>714</v>
      </c>
      <c r="B475" s="4" t="s">
        <v>2520</v>
      </c>
      <c r="C475" s="4" t="s">
        <v>2520</v>
      </c>
      <c r="D475" s="4" t="s">
        <v>2520</v>
      </c>
    </row>
    <row r="476" spans="1:4" x14ac:dyDescent="0.25">
      <c r="A476" s="4" t="s">
        <v>714</v>
      </c>
      <c r="B476" s="4" t="s">
        <v>2547</v>
      </c>
      <c r="C476" s="4" t="s">
        <v>2547</v>
      </c>
      <c r="D476" s="4" t="s">
        <v>2547</v>
      </c>
    </row>
    <row r="477" spans="1:4" x14ac:dyDescent="0.25">
      <c r="A477" s="4" t="s">
        <v>714</v>
      </c>
      <c r="B477" s="4" t="s">
        <v>2525</v>
      </c>
      <c r="C477" s="4" t="s">
        <v>2525</v>
      </c>
      <c r="D477" s="4" t="s">
        <v>2525</v>
      </c>
    </row>
    <row r="478" spans="1:4" x14ac:dyDescent="0.25">
      <c r="A478" s="4" t="s">
        <v>714</v>
      </c>
      <c r="B478" s="4" t="s">
        <v>2530</v>
      </c>
      <c r="C478" s="4" t="s">
        <v>2530</v>
      </c>
      <c r="D478" s="4" t="s">
        <v>2530</v>
      </c>
    </row>
    <row r="479" spans="1:4" x14ac:dyDescent="0.25">
      <c r="A479" s="4" t="s">
        <v>714</v>
      </c>
      <c r="B479" s="4" t="s">
        <v>1497</v>
      </c>
      <c r="C479" s="4" t="s">
        <v>1497</v>
      </c>
      <c r="D479" s="4" t="s">
        <v>1497</v>
      </c>
    </row>
    <row r="480" spans="1:4" x14ac:dyDescent="0.25">
      <c r="A480" s="4" t="s">
        <v>714</v>
      </c>
      <c r="B480" s="4" t="s">
        <v>2534</v>
      </c>
      <c r="C480" s="4" t="s">
        <v>2534</v>
      </c>
      <c r="D480" s="4" t="s">
        <v>2534</v>
      </c>
    </row>
    <row r="481" spans="1:4" x14ac:dyDescent="0.25">
      <c r="A481" s="4" t="s">
        <v>716</v>
      </c>
      <c r="B481" s="4" t="s">
        <v>2499</v>
      </c>
      <c r="C481" s="4" t="s">
        <v>2499</v>
      </c>
      <c r="D481" s="4" t="s">
        <v>2499</v>
      </c>
    </row>
    <row r="482" spans="1:4" x14ac:dyDescent="0.25">
      <c r="A482" s="4" t="s">
        <v>716</v>
      </c>
      <c r="B482" s="4" t="s">
        <v>1497</v>
      </c>
      <c r="C482" s="4" t="s">
        <v>1497</v>
      </c>
      <c r="D482" s="4" t="s">
        <v>1497</v>
      </c>
    </row>
    <row r="483" spans="1:4" x14ac:dyDescent="0.25">
      <c r="A483" s="4" t="s">
        <v>716</v>
      </c>
      <c r="B483" s="4" t="s">
        <v>2534</v>
      </c>
      <c r="C483" s="4" t="s">
        <v>2534</v>
      </c>
      <c r="D483" s="4" t="s">
        <v>2534</v>
      </c>
    </row>
    <row r="484" spans="1:4" x14ac:dyDescent="0.25">
      <c r="A484" s="4" t="s">
        <v>716</v>
      </c>
      <c r="B484" s="4" t="s">
        <v>2504</v>
      </c>
      <c r="C484" s="4" t="s">
        <v>2504</v>
      </c>
      <c r="D484" s="4" t="s">
        <v>2504</v>
      </c>
    </row>
    <row r="485" spans="1:4" x14ac:dyDescent="0.25">
      <c r="A485" s="4" t="s">
        <v>718</v>
      </c>
      <c r="B485" s="4" t="s">
        <v>2492</v>
      </c>
      <c r="C485" s="4" t="s">
        <v>2497</v>
      </c>
      <c r="D485" s="4" t="s">
        <v>2492</v>
      </c>
    </row>
    <row r="486" spans="1:4" x14ac:dyDescent="0.25">
      <c r="A486" s="4" t="s">
        <v>721</v>
      </c>
      <c r="B486" s="4" t="s">
        <v>2492</v>
      </c>
      <c r="C486" s="4" t="s">
        <v>1497</v>
      </c>
      <c r="D486" s="4" t="s">
        <v>2492</v>
      </c>
    </row>
    <row r="487" spans="1:4" x14ac:dyDescent="0.25">
      <c r="A487" s="4" t="s">
        <v>721</v>
      </c>
      <c r="B487" s="4" t="s">
        <v>2492</v>
      </c>
      <c r="C487" s="4" t="s">
        <v>2497</v>
      </c>
      <c r="D487" s="4" t="s">
        <v>2492</v>
      </c>
    </row>
    <row r="488" spans="1:4" x14ac:dyDescent="0.25">
      <c r="A488" s="4" t="s">
        <v>722</v>
      </c>
      <c r="B488" s="4" t="s">
        <v>2492</v>
      </c>
      <c r="C488" s="4" t="s">
        <v>2497</v>
      </c>
      <c r="D488" s="4" t="s">
        <v>2492</v>
      </c>
    </row>
    <row r="489" spans="1:4" x14ac:dyDescent="0.25">
      <c r="A489" s="4" t="s">
        <v>723</v>
      </c>
      <c r="B489" s="4" t="s">
        <v>2492</v>
      </c>
      <c r="C489" s="4" t="s">
        <v>2492</v>
      </c>
      <c r="D489" s="4" t="s">
        <v>2492</v>
      </c>
    </row>
    <row r="490" spans="1:4" x14ac:dyDescent="0.25">
      <c r="A490" s="4" t="s">
        <v>724</v>
      </c>
      <c r="B490" s="4" t="s">
        <v>2494</v>
      </c>
      <c r="C490" s="4" t="s">
        <v>2494</v>
      </c>
      <c r="D490" s="4" t="s">
        <v>2494</v>
      </c>
    </row>
    <row r="491" spans="1:4" x14ac:dyDescent="0.25">
      <c r="A491" s="4" t="s">
        <v>725</v>
      </c>
      <c r="B491" s="4" t="s">
        <v>2494</v>
      </c>
      <c r="C491" s="4" t="s">
        <v>2494</v>
      </c>
      <c r="D491" s="4" t="s">
        <v>2494</v>
      </c>
    </row>
    <row r="492" spans="1:4" x14ac:dyDescent="0.25">
      <c r="A492" s="4" t="s">
        <v>725</v>
      </c>
      <c r="B492" s="4" t="s">
        <v>2526</v>
      </c>
      <c r="C492" s="4" t="s">
        <v>2526</v>
      </c>
      <c r="D492" s="4" t="s">
        <v>2526</v>
      </c>
    </row>
    <row r="493" spans="1:4" x14ac:dyDescent="0.25">
      <c r="A493" s="4" t="s">
        <v>725</v>
      </c>
      <c r="B493" s="4" t="s">
        <v>1497</v>
      </c>
      <c r="C493" s="4" t="s">
        <v>1497</v>
      </c>
      <c r="D493" s="4" t="s">
        <v>1497</v>
      </c>
    </row>
    <row r="494" spans="1:4" x14ac:dyDescent="0.25">
      <c r="A494" s="4" t="s">
        <v>725</v>
      </c>
      <c r="B494" s="4" t="s">
        <v>2496</v>
      </c>
      <c r="C494" s="4" t="s">
        <v>2496</v>
      </c>
      <c r="D494" s="4" t="s">
        <v>2496</v>
      </c>
    </row>
    <row r="495" spans="1:4" x14ac:dyDescent="0.25">
      <c r="A495" s="4" t="s">
        <v>726</v>
      </c>
      <c r="B495" s="4" t="s">
        <v>2534</v>
      </c>
      <c r="C495" s="4" t="s">
        <v>2534</v>
      </c>
      <c r="D495" s="4" t="s">
        <v>2534</v>
      </c>
    </row>
    <row r="496" spans="1:4" x14ac:dyDescent="0.25">
      <c r="A496" s="4" t="s">
        <v>726</v>
      </c>
      <c r="B496" s="4" t="s">
        <v>2502</v>
      </c>
      <c r="C496" s="4" t="s">
        <v>2502</v>
      </c>
      <c r="D496" s="4" t="s">
        <v>2502</v>
      </c>
    </row>
    <row r="497" spans="1:4" x14ac:dyDescent="0.25">
      <c r="A497" s="4" t="s">
        <v>726</v>
      </c>
      <c r="B497" s="4" t="s">
        <v>2503</v>
      </c>
      <c r="C497" s="4" t="s">
        <v>2503</v>
      </c>
      <c r="D497" s="4" t="s">
        <v>2503</v>
      </c>
    </row>
    <row r="498" spans="1:4" x14ac:dyDescent="0.25">
      <c r="A498" s="4" t="s">
        <v>727</v>
      </c>
      <c r="B498" s="4" t="s">
        <v>2493</v>
      </c>
      <c r="C498" s="4" t="s">
        <v>2493</v>
      </c>
      <c r="D498" s="4" t="s">
        <v>2493</v>
      </c>
    </row>
    <row r="499" spans="1:4" x14ac:dyDescent="0.25">
      <c r="A499" s="4" t="s">
        <v>727</v>
      </c>
      <c r="B499" s="4" t="s">
        <v>2492</v>
      </c>
      <c r="C499" s="4" t="s">
        <v>2492</v>
      </c>
      <c r="D499" s="4" t="s">
        <v>2492</v>
      </c>
    </row>
    <row r="500" spans="1:4" x14ac:dyDescent="0.25">
      <c r="A500" s="4" t="s">
        <v>728</v>
      </c>
      <c r="B500" s="4" t="s">
        <v>2492</v>
      </c>
      <c r="C500" s="4" t="s">
        <v>2497</v>
      </c>
      <c r="D500" s="4" t="s">
        <v>2492</v>
      </c>
    </row>
    <row r="501" spans="1:4" x14ac:dyDescent="0.25">
      <c r="A501" s="4" t="s">
        <v>729</v>
      </c>
      <c r="B501" s="4" t="s">
        <v>2549</v>
      </c>
      <c r="C501" s="4" t="s">
        <v>2549</v>
      </c>
      <c r="D501" s="4" t="s">
        <v>2549</v>
      </c>
    </row>
    <row r="502" spans="1:4" x14ac:dyDescent="0.25">
      <c r="A502" s="4" t="s">
        <v>730</v>
      </c>
      <c r="B502" s="4" t="s">
        <v>2534</v>
      </c>
      <c r="C502" s="4" t="s">
        <v>2534</v>
      </c>
      <c r="D502" s="4" t="s">
        <v>2534</v>
      </c>
    </row>
    <row r="503" spans="1:4" x14ac:dyDescent="0.25">
      <c r="A503" s="4" t="s">
        <v>731</v>
      </c>
      <c r="B503" s="4" t="s">
        <v>2508</v>
      </c>
      <c r="C503" s="4" t="s">
        <v>2508</v>
      </c>
      <c r="D503" s="4" t="s">
        <v>2508</v>
      </c>
    </row>
    <row r="504" spans="1:4" x14ac:dyDescent="0.25">
      <c r="A504" s="4" t="s">
        <v>731</v>
      </c>
      <c r="B504" s="4" t="s">
        <v>2526</v>
      </c>
      <c r="C504" s="4" t="s">
        <v>2526</v>
      </c>
      <c r="D504" s="4" t="s">
        <v>2526</v>
      </c>
    </row>
    <row r="505" spans="1:4" x14ac:dyDescent="0.25">
      <c r="A505" s="4" t="s">
        <v>731</v>
      </c>
      <c r="B505" s="4" t="s">
        <v>1497</v>
      </c>
      <c r="C505" s="4" t="s">
        <v>1497</v>
      </c>
      <c r="D505" s="4" t="s">
        <v>1497</v>
      </c>
    </row>
    <row r="506" spans="1:4" x14ac:dyDescent="0.25">
      <c r="A506" s="4" t="s">
        <v>731</v>
      </c>
      <c r="B506" s="4" t="s">
        <v>2498</v>
      </c>
      <c r="C506" s="4" t="s">
        <v>2498</v>
      </c>
      <c r="D506" s="4" t="s">
        <v>2498</v>
      </c>
    </row>
    <row r="507" spans="1:4" x14ac:dyDescent="0.25">
      <c r="A507" s="4" t="s">
        <v>732</v>
      </c>
      <c r="B507" s="4" t="s">
        <v>2498</v>
      </c>
      <c r="C507" s="4" t="s">
        <v>2498</v>
      </c>
      <c r="D507" s="4" t="s">
        <v>2498</v>
      </c>
    </row>
    <row r="508" spans="1:4" x14ac:dyDescent="0.25">
      <c r="A508" s="4" t="s">
        <v>738</v>
      </c>
      <c r="B508" s="4" t="s">
        <v>2492</v>
      </c>
      <c r="C508" s="4" t="s">
        <v>1497</v>
      </c>
      <c r="D508" s="4" t="s">
        <v>2492</v>
      </c>
    </row>
    <row r="509" spans="1:4" x14ac:dyDescent="0.25">
      <c r="A509" s="4" t="s">
        <v>738</v>
      </c>
      <c r="B509" s="4" t="s">
        <v>2492</v>
      </c>
      <c r="C509" s="4" t="s">
        <v>2497</v>
      </c>
      <c r="D509" s="4" t="s">
        <v>2492</v>
      </c>
    </row>
    <row r="510" spans="1:4" x14ac:dyDescent="0.25">
      <c r="A510" s="4" t="s">
        <v>751</v>
      </c>
      <c r="B510" s="4" t="s">
        <v>1497</v>
      </c>
      <c r="C510" s="4" t="s">
        <v>1497</v>
      </c>
      <c r="D510" s="4" t="s">
        <v>1497</v>
      </c>
    </row>
    <row r="511" spans="1:4" x14ac:dyDescent="0.25">
      <c r="A511" s="4" t="s">
        <v>752</v>
      </c>
      <c r="B511" s="4" t="s">
        <v>2498</v>
      </c>
      <c r="C511" s="4" t="s">
        <v>2498</v>
      </c>
      <c r="D511" s="4" t="s">
        <v>2498</v>
      </c>
    </row>
    <row r="512" spans="1:4" x14ac:dyDescent="0.25">
      <c r="A512" s="4" t="s">
        <v>753</v>
      </c>
      <c r="B512" s="4" t="s">
        <v>2498</v>
      </c>
      <c r="C512" s="4" t="s">
        <v>2498</v>
      </c>
      <c r="D512" s="4" t="s">
        <v>2498</v>
      </c>
    </row>
    <row r="513" spans="1:4" x14ac:dyDescent="0.25">
      <c r="A513" s="4" t="s">
        <v>761</v>
      </c>
      <c r="B513" s="4" t="s">
        <v>2492</v>
      </c>
      <c r="C513" s="4" t="s">
        <v>2492</v>
      </c>
      <c r="D513" s="4" t="s">
        <v>2492</v>
      </c>
    </row>
    <row r="514" spans="1:4" x14ac:dyDescent="0.25">
      <c r="A514" s="4" t="s">
        <v>761</v>
      </c>
      <c r="B514" s="4" t="s">
        <v>2524</v>
      </c>
      <c r="C514" s="4" t="s">
        <v>2524</v>
      </c>
      <c r="D514" s="4" t="s">
        <v>2524</v>
      </c>
    </row>
    <row r="515" spans="1:4" x14ac:dyDescent="0.25">
      <c r="A515" s="4" t="s">
        <v>761</v>
      </c>
      <c r="B515" s="4" t="s">
        <v>1497</v>
      </c>
      <c r="C515" s="4" t="s">
        <v>1497</v>
      </c>
      <c r="D515" s="4" t="s">
        <v>1497</v>
      </c>
    </row>
    <row r="516" spans="1:4" x14ac:dyDescent="0.25">
      <c r="A516" s="4" t="s">
        <v>763</v>
      </c>
      <c r="B516" s="4" t="s">
        <v>2498</v>
      </c>
      <c r="C516" s="4" t="s">
        <v>2498</v>
      </c>
      <c r="D516" s="4" t="s">
        <v>2498</v>
      </c>
    </row>
    <row r="517" spans="1:4" x14ac:dyDescent="0.25">
      <c r="A517" s="4" t="s">
        <v>765</v>
      </c>
      <c r="B517" s="4" t="s">
        <v>2494</v>
      </c>
      <c r="C517" s="4" t="s">
        <v>2494</v>
      </c>
      <c r="D517" s="4" t="s">
        <v>2494</v>
      </c>
    </row>
    <row r="518" spans="1:4" x14ac:dyDescent="0.25">
      <c r="A518" s="4" t="s">
        <v>769</v>
      </c>
      <c r="B518" s="4" t="s">
        <v>2492</v>
      </c>
      <c r="C518" s="4" t="s">
        <v>2492</v>
      </c>
      <c r="D518" s="4" t="s">
        <v>2492</v>
      </c>
    </row>
    <row r="519" spans="1:4" x14ac:dyDescent="0.25">
      <c r="A519" s="4" t="s">
        <v>776</v>
      </c>
      <c r="B519" s="4" t="s">
        <v>1497</v>
      </c>
      <c r="C519" s="4" t="s">
        <v>1497</v>
      </c>
      <c r="D519" s="4" t="s">
        <v>1497</v>
      </c>
    </row>
    <row r="520" spans="1:4" x14ac:dyDescent="0.25">
      <c r="A520" s="4" t="s">
        <v>776</v>
      </c>
      <c r="B520" s="4" t="s">
        <v>2507</v>
      </c>
      <c r="C520" s="4" t="s">
        <v>2507</v>
      </c>
      <c r="D520" s="4" t="s">
        <v>2507</v>
      </c>
    </row>
    <row r="521" spans="1:4" x14ac:dyDescent="0.25">
      <c r="A521" s="4" t="s">
        <v>777</v>
      </c>
      <c r="B521" s="4" t="s">
        <v>444</v>
      </c>
      <c r="C521" s="4" t="s">
        <v>1497</v>
      </c>
      <c r="D521" s="4" t="s">
        <v>444</v>
      </c>
    </row>
    <row r="522" spans="1:4" x14ac:dyDescent="0.25">
      <c r="A522" s="4" t="s">
        <v>783</v>
      </c>
      <c r="B522" s="4" t="s">
        <v>2492</v>
      </c>
      <c r="C522" s="4" t="s">
        <v>2492</v>
      </c>
      <c r="D522" s="4" t="s">
        <v>2492</v>
      </c>
    </row>
    <row r="523" spans="1:4" x14ac:dyDescent="0.25">
      <c r="A523" s="4" t="s">
        <v>783</v>
      </c>
      <c r="B523" s="4" t="s">
        <v>2498</v>
      </c>
      <c r="C523" s="4" t="s">
        <v>2498</v>
      </c>
      <c r="D523" s="4" t="s">
        <v>2498</v>
      </c>
    </row>
    <row r="524" spans="1:4" x14ac:dyDescent="0.25">
      <c r="A524" s="4" t="s">
        <v>784</v>
      </c>
      <c r="B524" s="4" t="s">
        <v>2498</v>
      </c>
      <c r="C524" s="4" t="s">
        <v>2498</v>
      </c>
      <c r="D524" s="4" t="s">
        <v>2498</v>
      </c>
    </row>
    <row r="525" spans="1:4" x14ac:dyDescent="0.25">
      <c r="A525" s="4" t="s">
        <v>785</v>
      </c>
      <c r="B525" s="4" t="s">
        <v>2492</v>
      </c>
      <c r="C525" s="4" t="s">
        <v>2492</v>
      </c>
      <c r="D525" s="4" t="s">
        <v>2492</v>
      </c>
    </row>
    <row r="526" spans="1:4" x14ac:dyDescent="0.25">
      <c r="A526" s="4" t="s">
        <v>786</v>
      </c>
      <c r="B526" s="4" t="s">
        <v>1497</v>
      </c>
      <c r="C526" s="4" t="s">
        <v>1497</v>
      </c>
      <c r="D526" s="4" t="s">
        <v>1497</v>
      </c>
    </row>
    <row r="527" spans="1:4" x14ac:dyDescent="0.25">
      <c r="A527" s="4" t="s">
        <v>789</v>
      </c>
      <c r="B527" s="4" t="s">
        <v>1497</v>
      </c>
      <c r="C527" s="4" t="s">
        <v>1497</v>
      </c>
      <c r="D527" s="4" t="s">
        <v>1497</v>
      </c>
    </row>
    <row r="528" spans="1:4" x14ac:dyDescent="0.25">
      <c r="A528" s="4" t="s">
        <v>792</v>
      </c>
      <c r="B528" s="4" t="s">
        <v>443</v>
      </c>
      <c r="C528" s="4" t="s">
        <v>1497</v>
      </c>
      <c r="D528" s="4" t="s">
        <v>443</v>
      </c>
    </row>
    <row r="529" spans="1:4" x14ac:dyDescent="0.25">
      <c r="A529" s="4" t="s">
        <v>792</v>
      </c>
      <c r="B529" s="4" t="s">
        <v>444</v>
      </c>
      <c r="C529" s="4" t="s">
        <v>1497</v>
      </c>
      <c r="D529" s="4" t="s">
        <v>444</v>
      </c>
    </row>
    <row r="530" spans="1:4" x14ac:dyDescent="0.25">
      <c r="A530" s="4" t="s">
        <v>796</v>
      </c>
      <c r="B530" s="4" t="s">
        <v>443</v>
      </c>
      <c r="C530" s="4" t="s">
        <v>1497</v>
      </c>
      <c r="D530" s="4" t="s">
        <v>443</v>
      </c>
    </row>
    <row r="531" spans="1:4" x14ac:dyDescent="0.25">
      <c r="A531" s="4" t="s">
        <v>796</v>
      </c>
      <c r="B531" s="4" t="s">
        <v>444</v>
      </c>
      <c r="C531" s="4" t="s">
        <v>1497</v>
      </c>
      <c r="D531" s="4" t="s">
        <v>444</v>
      </c>
    </row>
    <row r="532" spans="1:4" x14ac:dyDescent="0.25">
      <c r="A532" s="4" t="s">
        <v>796</v>
      </c>
      <c r="B532" s="4" t="s">
        <v>2492</v>
      </c>
      <c r="C532" s="4" t="s">
        <v>1497</v>
      </c>
      <c r="D532" s="4" t="s">
        <v>2492</v>
      </c>
    </row>
    <row r="533" spans="1:4" x14ac:dyDescent="0.25">
      <c r="A533" s="4" t="s">
        <v>796</v>
      </c>
      <c r="B533" s="4" t="s">
        <v>2492</v>
      </c>
      <c r="C533" s="4" t="s">
        <v>2497</v>
      </c>
      <c r="D533" s="4" t="s">
        <v>2492</v>
      </c>
    </row>
    <row r="534" spans="1:4" x14ac:dyDescent="0.25">
      <c r="A534" s="4" t="s">
        <v>800</v>
      </c>
      <c r="B534" s="4" t="s">
        <v>2492</v>
      </c>
      <c r="C534" s="4" t="s">
        <v>1497</v>
      </c>
      <c r="D534" s="4" t="s">
        <v>2492</v>
      </c>
    </row>
    <row r="535" spans="1:4" x14ac:dyDescent="0.25">
      <c r="A535" s="4" t="s">
        <v>800</v>
      </c>
      <c r="B535" s="4" t="s">
        <v>2492</v>
      </c>
      <c r="C535" s="4" t="s">
        <v>2497</v>
      </c>
      <c r="D535" s="4" t="s">
        <v>2492</v>
      </c>
    </row>
    <row r="536" spans="1:4" x14ac:dyDescent="0.25">
      <c r="A536" s="4" t="s">
        <v>802</v>
      </c>
      <c r="B536" s="4" t="s">
        <v>2492</v>
      </c>
      <c r="C536" s="4" t="s">
        <v>1497</v>
      </c>
      <c r="D536" s="4" t="s">
        <v>2492</v>
      </c>
    </row>
    <row r="537" spans="1:4" x14ac:dyDescent="0.25">
      <c r="A537" s="4" t="s">
        <v>802</v>
      </c>
      <c r="B537" s="4" t="s">
        <v>2492</v>
      </c>
      <c r="C537" s="4" t="s">
        <v>2497</v>
      </c>
      <c r="D537" s="4" t="s">
        <v>2492</v>
      </c>
    </row>
    <row r="538" spans="1:4" x14ac:dyDescent="0.25">
      <c r="A538" s="4" t="s">
        <v>807</v>
      </c>
      <c r="B538" s="4" t="s">
        <v>1497</v>
      </c>
      <c r="C538" s="4" t="s">
        <v>1497</v>
      </c>
      <c r="D538" s="4" t="s">
        <v>1497</v>
      </c>
    </row>
    <row r="539" spans="1:4" x14ac:dyDescent="0.25">
      <c r="A539" s="4" t="s">
        <v>809</v>
      </c>
      <c r="B539" s="4" t="s">
        <v>2492</v>
      </c>
      <c r="C539" s="4" t="s">
        <v>2497</v>
      </c>
      <c r="D539" s="4" t="s">
        <v>2492</v>
      </c>
    </row>
    <row r="540" spans="1:4" x14ac:dyDescent="0.25">
      <c r="A540" s="4" t="s">
        <v>811</v>
      </c>
      <c r="B540" s="4" t="s">
        <v>2492</v>
      </c>
      <c r="C540" s="4" t="s">
        <v>2492</v>
      </c>
      <c r="D540" s="4" t="s">
        <v>2492</v>
      </c>
    </row>
    <row r="541" spans="1:4" x14ac:dyDescent="0.25">
      <c r="A541" s="4" t="s">
        <v>811</v>
      </c>
      <c r="B541" s="4" t="s">
        <v>2492</v>
      </c>
      <c r="C541" s="4" t="s">
        <v>1497</v>
      </c>
      <c r="D541" s="4" t="s">
        <v>2492</v>
      </c>
    </row>
    <row r="542" spans="1:4" x14ac:dyDescent="0.25">
      <c r="A542" s="4" t="s">
        <v>811</v>
      </c>
      <c r="B542" s="4" t="s">
        <v>2492</v>
      </c>
      <c r="C542" s="4" t="s">
        <v>2497</v>
      </c>
      <c r="D542" s="4" t="s">
        <v>2492</v>
      </c>
    </row>
    <row r="543" spans="1:4" x14ac:dyDescent="0.25">
      <c r="A543" s="4" t="s">
        <v>816</v>
      </c>
      <c r="B543" s="4" t="s">
        <v>443</v>
      </c>
      <c r="C543" s="4" t="s">
        <v>1497</v>
      </c>
      <c r="D543" s="4" t="s">
        <v>443</v>
      </c>
    </row>
    <row r="544" spans="1:4" x14ac:dyDescent="0.25">
      <c r="A544" s="4" t="s">
        <v>816</v>
      </c>
      <c r="B544" s="4" t="s">
        <v>443</v>
      </c>
      <c r="C544" s="4" t="s">
        <v>2497</v>
      </c>
      <c r="D544" s="4" t="s">
        <v>443</v>
      </c>
    </row>
    <row r="545" spans="1:4" x14ac:dyDescent="0.25">
      <c r="A545" s="4" t="s">
        <v>816</v>
      </c>
      <c r="B545" s="4" t="s">
        <v>2492</v>
      </c>
      <c r="C545" s="4" t="s">
        <v>1497</v>
      </c>
      <c r="D545" s="4" t="s">
        <v>2492</v>
      </c>
    </row>
    <row r="546" spans="1:4" x14ac:dyDescent="0.25">
      <c r="A546" s="4" t="s">
        <v>816</v>
      </c>
      <c r="B546" s="4" t="s">
        <v>2492</v>
      </c>
      <c r="C546" s="4" t="s">
        <v>2497</v>
      </c>
      <c r="D546" s="4" t="s">
        <v>2492</v>
      </c>
    </row>
    <row r="547" spans="1:4" x14ac:dyDescent="0.25">
      <c r="A547" s="4" t="s">
        <v>818</v>
      </c>
      <c r="B547" s="4" t="s">
        <v>2492</v>
      </c>
      <c r="C547" s="4" t="s">
        <v>1497</v>
      </c>
      <c r="D547" s="4" t="s">
        <v>2492</v>
      </c>
    </row>
    <row r="548" spans="1:4" x14ac:dyDescent="0.25">
      <c r="A548" s="4" t="s">
        <v>819</v>
      </c>
      <c r="B548" s="4" t="s">
        <v>2492</v>
      </c>
      <c r="C548" s="4" t="s">
        <v>1497</v>
      </c>
      <c r="D548" s="4" t="s">
        <v>2492</v>
      </c>
    </row>
    <row r="549" spans="1:4" x14ac:dyDescent="0.25">
      <c r="A549" s="4" t="s">
        <v>819</v>
      </c>
      <c r="B549" s="4" t="s">
        <v>2492</v>
      </c>
      <c r="C549" s="4" t="s">
        <v>2497</v>
      </c>
      <c r="D549" s="4" t="s">
        <v>2492</v>
      </c>
    </row>
    <row r="550" spans="1:4" x14ac:dyDescent="0.25">
      <c r="A550" s="4" t="s">
        <v>820</v>
      </c>
      <c r="B550" s="4" t="s">
        <v>2492</v>
      </c>
      <c r="C550" s="4" t="s">
        <v>2497</v>
      </c>
      <c r="D550" s="4" t="s">
        <v>2492</v>
      </c>
    </row>
    <row r="551" spans="1:4" x14ac:dyDescent="0.25">
      <c r="A551" s="4" t="s">
        <v>821</v>
      </c>
      <c r="B551" s="4" t="s">
        <v>2498</v>
      </c>
      <c r="C551" s="4" t="s">
        <v>2498</v>
      </c>
      <c r="D551" s="4" t="s">
        <v>2498</v>
      </c>
    </row>
    <row r="552" spans="1:4" x14ac:dyDescent="0.25">
      <c r="A552" s="4" t="s">
        <v>822</v>
      </c>
      <c r="B552" s="4" t="s">
        <v>2492</v>
      </c>
      <c r="C552" s="4" t="s">
        <v>2492</v>
      </c>
      <c r="D552" s="4" t="s">
        <v>2492</v>
      </c>
    </row>
    <row r="553" spans="1:4" x14ac:dyDescent="0.25">
      <c r="A553" s="4" t="s">
        <v>822</v>
      </c>
      <c r="B553" s="4" t="s">
        <v>2526</v>
      </c>
      <c r="C553" s="4" t="s">
        <v>2526</v>
      </c>
      <c r="D553" s="4" t="s">
        <v>2526</v>
      </c>
    </row>
    <row r="554" spans="1:4" x14ac:dyDescent="0.25">
      <c r="A554" s="4" t="s">
        <v>825</v>
      </c>
      <c r="B554" s="4" t="s">
        <v>2494</v>
      </c>
      <c r="C554" s="4" t="s">
        <v>2494</v>
      </c>
      <c r="D554" s="4" t="s">
        <v>2494</v>
      </c>
    </row>
    <row r="555" spans="1:4" x14ac:dyDescent="0.25">
      <c r="A555" s="4" t="s">
        <v>825</v>
      </c>
      <c r="B555" s="4" t="s">
        <v>2498</v>
      </c>
      <c r="C555" s="4" t="s">
        <v>2498</v>
      </c>
      <c r="D555" s="4" t="s">
        <v>2498</v>
      </c>
    </row>
    <row r="556" spans="1:4" x14ac:dyDescent="0.25">
      <c r="A556" s="4" t="s">
        <v>830</v>
      </c>
      <c r="B556" s="4" t="s">
        <v>1497</v>
      </c>
      <c r="C556" s="4" t="s">
        <v>1497</v>
      </c>
      <c r="D556" s="4" t="s">
        <v>1497</v>
      </c>
    </row>
    <row r="557" spans="1:4" x14ac:dyDescent="0.25">
      <c r="A557" s="4" t="s">
        <v>830</v>
      </c>
      <c r="B557" s="4" t="s">
        <v>2498</v>
      </c>
      <c r="C557" s="4" t="s">
        <v>2498</v>
      </c>
      <c r="D557" s="4" t="s">
        <v>2498</v>
      </c>
    </row>
    <row r="558" spans="1:4" x14ac:dyDescent="0.25">
      <c r="A558" s="4" t="s">
        <v>831</v>
      </c>
      <c r="B558" s="4" t="s">
        <v>2492</v>
      </c>
      <c r="C558" s="4" t="s">
        <v>1497</v>
      </c>
      <c r="D558" s="4" t="s">
        <v>2492</v>
      </c>
    </row>
    <row r="559" spans="1:4" x14ac:dyDescent="0.25">
      <c r="A559" s="4" t="s">
        <v>831</v>
      </c>
      <c r="B559" s="4" t="s">
        <v>2492</v>
      </c>
      <c r="C559" s="4" t="s">
        <v>2497</v>
      </c>
      <c r="D559" s="4" t="s">
        <v>2492</v>
      </c>
    </row>
    <row r="560" spans="1:4" x14ac:dyDescent="0.25">
      <c r="A560" s="4" t="s">
        <v>837</v>
      </c>
      <c r="B560" s="4" t="s">
        <v>444</v>
      </c>
      <c r="C560" s="4" t="s">
        <v>1497</v>
      </c>
      <c r="D560" s="4" t="s">
        <v>444</v>
      </c>
    </row>
    <row r="561" spans="1:4" x14ac:dyDescent="0.25">
      <c r="A561" s="4" t="s">
        <v>838</v>
      </c>
      <c r="B561" s="4" t="s">
        <v>2492</v>
      </c>
      <c r="C561" s="4" t="s">
        <v>1497</v>
      </c>
      <c r="D561" s="4" t="s">
        <v>2492</v>
      </c>
    </row>
    <row r="562" spans="1:4" x14ac:dyDescent="0.25">
      <c r="A562" s="4" t="s">
        <v>838</v>
      </c>
      <c r="B562" s="4" t="s">
        <v>2492</v>
      </c>
      <c r="C562" s="4" t="s">
        <v>2497</v>
      </c>
      <c r="D562" s="4" t="s">
        <v>2492</v>
      </c>
    </row>
    <row r="563" spans="1:4" x14ac:dyDescent="0.25">
      <c r="A563" s="4" t="s">
        <v>843</v>
      </c>
      <c r="B563" s="4" t="s">
        <v>2492</v>
      </c>
      <c r="C563" s="4" t="s">
        <v>2497</v>
      </c>
      <c r="D563" s="4" t="s">
        <v>2492</v>
      </c>
    </row>
    <row r="564" spans="1:4" x14ac:dyDescent="0.25">
      <c r="A564" s="4" t="s">
        <v>848</v>
      </c>
      <c r="B564" s="4" t="s">
        <v>2492</v>
      </c>
      <c r="C564" s="4" t="s">
        <v>1497</v>
      </c>
      <c r="D564" s="4" t="s">
        <v>2492</v>
      </c>
    </row>
    <row r="565" spans="1:4" x14ac:dyDescent="0.25">
      <c r="A565" s="4" t="s">
        <v>854</v>
      </c>
      <c r="B565" s="4" t="s">
        <v>2492</v>
      </c>
      <c r="C565" s="4" t="s">
        <v>1497</v>
      </c>
      <c r="D565" s="4" t="s">
        <v>2492</v>
      </c>
    </row>
    <row r="566" spans="1:4" x14ac:dyDescent="0.25">
      <c r="A566" s="4" t="s">
        <v>864</v>
      </c>
      <c r="B566" s="4" t="s">
        <v>2492</v>
      </c>
      <c r="C566" s="4" t="s">
        <v>2492</v>
      </c>
      <c r="D566" s="4" t="s">
        <v>2492</v>
      </c>
    </row>
    <row r="567" spans="1:4" x14ac:dyDescent="0.25">
      <c r="A567" s="4" t="s">
        <v>867</v>
      </c>
      <c r="B567" s="4" t="s">
        <v>444</v>
      </c>
      <c r="C567" s="4" t="s">
        <v>2505</v>
      </c>
      <c r="D567" s="4" t="s">
        <v>444</v>
      </c>
    </row>
    <row r="568" spans="1:4" x14ac:dyDescent="0.25">
      <c r="A568" s="4" t="s">
        <v>867</v>
      </c>
      <c r="B568" s="4" t="s">
        <v>444</v>
      </c>
      <c r="C568" s="4" t="s">
        <v>1497</v>
      </c>
      <c r="D568" s="4" t="s">
        <v>444</v>
      </c>
    </row>
    <row r="569" spans="1:4" x14ac:dyDescent="0.25">
      <c r="A569" s="4" t="s">
        <v>867</v>
      </c>
      <c r="B569" s="4" t="s">
        <v>2492</v>
      </c>
      <c r="C569" s="4" t="s">
        <v>1497</v>
      </c>
      <c r="D569" s="4" t="s">
        <v>2492</v>
      </c>
    </row>
    <row r="570" spans="1:4" x14ac:dyDescent="0.25">
      <c r="A570" s="4" t="s">
        <v>868</v>
      </c>
      <c r="B570" s="4" t="s">
        <v>1497</v>
      </c>
      <c r="C570" s="4" t="s">
        <v>1497</v>
      </c>
      <c r="D570" s="4" t="s">
        <v>1497</v>
      </c>
    </row>
    <row r="571" spans="1:4" x14ac:dyDescent="0.25">
      <c r="A571" s="4" t="s">
        <v>874</v>
      </c>
      <c r="B571" s="4" t="s">
        <v>2492</v>
      </c>
      <c r="C571" s="4" t="s">
        <v>2492</v>
      </c>
      <c r="D571" s="4" t="s">
        <v>2492</v>
      </c>
    </row>
    <row r="572" spans="1:4" x14ac:dyDescent="0.25">
      <c r="A572" s="4" t="s">
        <v>887</v>
      </c>
      <c r="B572" s="4" t="s">
        <v>2492</v>
      </c>
      <c r="C572" s="4" t="s">
        <v>2492</v>
      </c>
      <c r="D572" s="4" t="s">
        <v>2492</v>
      </c>
    </row>
    <row r="573" spans="1:4" x14ac:dyDescent="0.25">
      <c r="A573" s="4" t="s">
        <v>887</v>
      </c>
      <c r="B573" s="4" t="s">
        <v>1497</v>
      </c>
      <c r="C573" s="4" t="s">
        <v>1497</v>
      </c>
      <c r="D573" s="4" t="s">
        <v>1497</v>
      </c>
    </row>
    <row r="574" spans="1:4" x14ac:dyDescent="0.25">
      <c r="A574" s="4" t="s">
        <v>890</v>
      </c>
      <c r="B574" s="4" t="s">
        <v>1497</v>
      </c>
      <c r="C574" s="4" t="s">
        <v>1497</v>
      </c>
      <c r="D574" s="4" t="s">
        <v>1497</v>
      </c>
    </row>
    <row r="575" spans="1:4" x14ac:dyDescent="0.25">
      <c r="A575" s="4" t="s">
        <v>897</v>
      </c>
      <c r="B575" s="4" t="s">
        <v>2492</v>
      </c>
      <c r="C575" s="4" t="s">
        <v>2492</v>
      </c>
      <c r="D575" s="4" t="s">
        <v>2492</v>
      </c>
    </row>
    <row r="576" spans="1:4" x14ac:dyDescent="0.25">
      <c r="A576" s="4" t="s">
        <v>901</v>
      </c>
      <c r="B576" s="4" t="s">
        <v>443</v>
      </c>
      <c r="C576" s="4" t="s">
        <v>1497</v>
      </c>
      <c r="D576" s="4" t="s">
        <v>443</v>
      </c>
    </row>
    <row r="577" spans="1:4" x14ac:dyDescent="0.25">
      <c r="A577" s="4" t="s">
        <v>901</v>
      </c>
      <c r="B577" s="4" t="s">
        <v>444</v>
      </c>
      <c r="C577" s="4" t="s">
        <v>1497</v>
      </c>
      <c r="D577" s="4" t="s">
        <v>444</v>
      </c>
    </row>
    <row r="578" spans="1:4" x14ac:dyDescent="0.25">
      <c r="A578" s="4" t="s">
        <v>902</v>
      </c>
      <c r="B578" s="4" t="s">
        <v>2492</v>
      </c>
      <c r="C578" s="4" t="s">
        <v>1497</v>
      </c>
      <c r="D578" s="4" t="s">
        <v>2492</v>
      </c>
    </row>
    <row r="579" spans="1:4" x14ac:dyDescent="0.25">
      <c r="A579" s="4" t="s">
        <v>902</v>
      </c>
      <c r="B579" s="4" t="s">
        <v>2492</v>
      </c>
      <c r="C579" s="4" t="s">
        <v>2497</v>
      </c>
      <c r="D579" s="4" t="s">
        <v>2492</v>
      </c>
    </row>
    <row r="580" spans="1:4" x14ac:dyDescent="0.25">
      <c r="A580" s="4" t="s">
        <v>905</v>
      </c>
      <c r="B580" s="4" t="s">
        <v>2492</v>
      </c>
      <c r="C580" s="4" t="s">
        <v>1497</v>
      </c>
      <c r="D580" s="4" t="s">
        <v>2492</v>
      </c>
    </row>
    <row r="581" spans="1:4" x14ac:dyDescent="0.25">
      <c r="A581" s="4" t="s">
        <v>905</v>
      </c>
      <c r="B581" s="4" t="s">
        <v>2492</v>
      </c>
      <c r="C581" s="4" t="s">
        <v>2497</v>
      </c>
      <c r="D581" s="4" t="s">
        <v>2492</v>
      </c>
    </row>
    <row r="582" spans="1:4" x14ac:dyDescent="0.25">
      <c r="A582" s="4" t="s">
        <v>910</v>
      </c>
      <c r="B582" s="4" t="s">
        <v>2492</v>
      </c>
      <c r="C582" s="4" t="s">
        <v>1497</v>
      </c>
      <c r="D582" s="4" t="s">
        <v>2492</v>
      </c>
    </row>
    <row r="583" spans="1:4" x14ac:dyDescent="0.25">
      <c r="A583" s="4" t="s">
        <v>910</v>
      </c>
      <c r="B583" s="4" t="s">
        <v>2492</v>
      </c>
      <c r="C583" s="4" t="s">
        <v>2497</v>
      </c>
      <c r="D583" s="4" t="s">
        <v>2492</v>
      </c>
    </row>
    <row r="584" spans="1:4" x14ac:dyDescent="0.25">
      <c r="A584" s="4" t="s">
        <v>911</v>
      </c>
      <c r="B584" s="4" t="s">
        <v>2492</v>
      </c>
      <c r="C584" s="4" t="s">
        <v>1497</v>
      </c>
      <c r="D584" s="4" t="s">
        <v>2492</v>
      </c>
    </row>
    <row r="585" spans="1:4" x14ac:dyDescent="0.25">
      <c r="A585" s="4" t="s">
        <v>911</v>
      </c>
      <c r="B585" s="4" t="s">
        <v>2492</v>
      </c>
      <c r="C585" s="4" t="s">
        <v>2497</v>
      </c>
      <c r="D585" s="4" t="s">
        <v>2492</v>
      </c>
    </row>
    <row r="586" spans="1:4" x14ac:dyDescent="0.25">
      <c r="A586" s="4" t="s">
        <v>915</v>
      </c>
      <c r="B586" s="4" t="s">
        <v>443</v>
      </c>
      <c r="C586" s="4" t="s">
        <v>1497</v>
      </c>
      <c r="D586" s="4" t="s">
        <v>443</v>
      </c>
    </row>
    <row r="587" spans="1:4" x14ac:dyDescent="0.25">
      <c r="A587" s="4" t="s">
        <v>915</v>
      </c>
      <c r="B587" s="4" t="s">
        <v>443</v>
      </c>
      <c r="C587" s="4" t="s">
        <v>2497</v>
      </c>
      <c r="D587" s="4" t="s">
        <v>443</v>
      </c>
    </row>
    <row r="588" spans="1:4" x14ac:dyDescent="0.25">
      <c r="A588" s="4" t="s">
        <v>915</v>
      </c>
      <c r="B588" s="4" t="s">
        <v>444</v>
      </c>
      <c r="C588" s="4" t="s">
        <v>1497</v>
      </c>
      <c r="D588" s="4" t="s">
        <v>444</v>
      </c>
    </row>
    <row r="589" spans="1:4" x14ac:dyDescent="0.25">
      <c r="A589" s="4" t="s">
        <v>916</v>
      </c>
      <c r="B589" s="4" t="s">
        <v>2492</v>
      </c>
      <c r="C589" s="4" t="s">
        <v>2492</v>
      </c>
      <c r="D589" s="4" t="s">
        <v>2492</v>
      </c>
    </row>
    <row r="590" spans="1:4" x14ac:dyDescent="0.25">
      <c r="A590" s="4" t="s">
        <v>916</v>
      </c>
      <c r="B590" s="4" t="s">
        <v>2535</v>
      </c>
      <c r="C590" s="4" t="s">
        <v>2535</v>
      </c>
      <c r="D590" s="4" t="s">
        <v>2535</v>
      </c>
    </row>
    <row r="591" spans="1:4" x14ac:dyDescent="0.25">
      <c r="A591" s="4" t="s">
        <v>916</v>
      </c>
      <c r="B591" s="4" t="s">
        <v>2503</v>
      </c>
      <c r="C591" s="4" t="s">
        <v>2503</v>
      </c>
      <c r="D591" s="4" t="s">
        <v>2503</v>
      </c>
    </row>
    <row r="592" spans="1:4" x14ac:dyDescent="0.25">
      <c r="A592" s="4" t="s">
        <v>916</v>
      </c>
      <c r="B592" s="4" t="s">
        <v>2516</v>
      </c>
      <c r="C592" s="4" t="s">
        <v>2516</v>
      </c>
      <c r="D592" s="4" t="s">
        <v>2516</v>
      </c>
    </row>
    <row r="593" spans="1:4" x14ac:dyDescent="0.25">
      <c r="A593" s="4" t="s">
        <v>916</v>
      </c>
      <c r="B593" s="4" t="s">
        <v>2523</v>
      </c>
      <c r="C593" s="4" t="s">
        <v>2523</v>
      </c>
      <c r="D593" s="4" t="s">
        <v>2523</v>
      </c>
    </row>
    <row r="594" spans="1:4" x14ac:dyDescent="0.25">
      <c r="A594" s="4" t="s">
        <v>917</v>
      </c>
      <c r="B594" s="4" t="s">
        <v>2494</v>
      </c>
      <c r="C594" s="4" t="s">
        <v>2494</v>
      </c>
      <c r="D594" s="4" t="s">
        <v>2494</v>
      </c>
    </row>
    <row r="595" spans="1:4" x14ac:dyDescent="0.25">
      <c r="A595" s="4" t="s">
        <v>919</v>
      </c>
      <c r="B595" s="4" t="s">
        <v>2492</v>
      </c>
      <c r="C595" s="4" t="s">
        <v>1497</v>
      </c>
      <c r="D595" s="4" t="s">
        <v>2492</v>
      </c>
    </row>
    <row r="596" spans="1:4" x14ac:dyDescent="0.25">
      <c r="A596" s="4" t="s">
        <v>919</v>
      </c>
      <c r="B596" s="4" t="s">
        <v>2492</v>
      </c>
      <c r="C596" s="4" t="s">
        <v>2497</v>
      </c>
      <c r="D596" s="4" t="s">
        <v>2492</v>
      </c>
    </row>
    <row r="597" spans="1:4" x14ac:dyDescent="0.25">
      <c r="A597" s="4" t="s">
        <v>922</v>
      </c>
      <c r="B597" s="4" t="s">
        <v>2498</v>
      </c>
      <c r="C597" s="4" t="s">
        <v>2498</v>
      </c>
      <c r="D597" s="4" t="s">
        <v>2498</v>
      </c>
    </row>
    <row r="598" spans="1:4" x14ac:dyDescent="0.25">
      <c r="A598" s="4" t="s">
        <v>924</v>
      </c>
      <c r="B598" s="4" t="s">
        <v>2494</v>
      </c>
      <c r="C598" s="4" t="s">
        <v>2494</v>
      </c>
      <c r="D598" s="4" t="s">
        <v>2494</v>
      </c>
    </row>
    <row r="599" spans="1:4" x14ac:dyDescent="0.25">
      <c r="A599" s="4" t="s">
        <v>928</v>
      </c>
      <c r="B599" s="4" t="s">
        <v>2492</v>
      </c>
      <c r="C599" s="4" t="s">
        <v>2497</v>
      </c>
      <c r="D599" s="4" t="s">
        <v>2492</v>
      </c>
    </row>
    <row r="600" spans="1:4" x14ac:dyDescent="0.25">
      <c r="A600" s="4" t="s">
        <v>929</v>
      </c>
      <c r="B600" s="4" t="s">
        <v>2550</v>
      </c>
      <c r="C600" s="4" t="s">
        <v>2550</v>
      </c>
      <c r="D600" s="4" t="s">
        <v>2550</v>
      </c>
    </row>
    <row r="601" spans="1:4" x14ac:dyDescent="0.25">
      <c r="A601" s="4" t="s">
        <v>930</v>
      </c>
      <c r="B601" s="4" t="s">
        <v>2492</v>
      </c>
      <c r="C601" s="4" t="s">
        <v>2492</v>
      </c>
      <c r="D601" s="4" t="s">
        <v>2492</v>
      </c>
    </row>
    <row r="602" spans="1:4" x14ac:dyDescent="0.25">
      <c r="A602" s="4" t="s">
        <v>932</v>
      </c>
      <c r="B602" s="4" t="s">
        <v>1497</v>
      </c>
      <c r="C602" s="4" t="s">
        <v>1497</v>
      </c>
      <c r="D602" s="4" t="s">
        <v>1497</v>
      </c>
    </row>
    <row r="603" spans="1:4" x14ac:dyDescent="0.25">
      <c r="A603" s="4" t="s">
        <v>938</v>
      </c>
      <c r="B603" s="4" t="s">
        <v>2492</v>
      </c>
      <c r="C603" s="4" t="s">
        <v>2492</v>
      </c>
      <c r="D603" s="4" t="s">
        <v>2492</v>
      </c>
    </row>
    <row r="604" spans="1:4" x14ac:dyDescent="0.25">
      <c r="A604" s="4" t="s">
        <v>939</v>
      </c>
      <c r="B604" s="4" t="s">
        <v>444</v>
      </c>
      <c r="C604" s="4" t="s">
        <v>1497</v>
      </c>
      <c r="D604" s="4" t="s">
        <v>444</v>
      </c>
    </row>
    <row r="605" spans="1:4" x14ac:dyDescent="0.25">
      <c r="A605" s="4" t="s">
        <v>940</v>
      </c>
      <c r="B605" s="4" t="s">
        <v>2492</v>
      </c>
      <c r="C605" s="4" t="s">
        <v>2492</v>
      </c>
      <c r="D605" s="4" t="s">
        <v>2492</v>
      </c>
    </row>
    <row r="606" spans="1:4" x14ac:dyDescent="0.25">
      <c r="A606" s="4" t="s">
        <v>944</v>
      </c>
      <c r="B606" s="4" t="s">
        <v>1497</v>
      </c>
      <c r="C606" s="4" t="s">
        <v>1497</v>
      </c>
      <c r="D606" s="4" t="s">
        <v>1497</v>
      </c>
    </row>
    <row r="607" spans="1:4" x14ac:dyDescent="0.25">
      <c r="A607" s="4" t="s">
        <v>945</v>
      </c>
      <c r="B607" s="4" t="s">
        <v>1497</v>
      </c>
      <c r="C607" s="4" t="s">
        <v>1497</v>
      </c>
      <c r="D607" s="4" t="s">
        <v>1497</v>
      </c>
    </row>
    <row r="608" spans="1:4" x14ac:dyDescent="0.25">
      <c r="A608" s="4" t="s">
        <v>945</v>
      </c>
      <c r="B608" s="4" t="s">
        <v>2498</v>
      </c>
      <c r="C608" s="4" t="s">
        <v>2498</v>
      </c>
      <c r="D608" s="4" t="s">
        <v>2498</v>
      </c>
    </row>
    <row r="609" spans="1:4" x14ac:dyDescent="0.25">
      <c r="A609" s="4" t="s">
        <v>946</v>
      </c>
      <c r="B609" s="4" t="s">
        <v>2492</v>
      </c>
      <c r="C609" s="4" t="s">
        <v>2492</v>
      </c>
      <c r="D609" s="4" t="s">
        <v>2492</v>
      </c>
    </row>
    <row r="610" spans="1:4" x14ac:dyDescent="0.25">
      <c r="A610" s="4" t="s">
        <v>946</v>
      </c>
      <c r="B610" s="4" t="s">
        <v>2526</v>
      </c>
      <c r="C610" s="4" t="s">
        <v>2526</v>
      </c>
      <c r="D610" s="4" t="s">
        <v>2526</v>
      </c>
    </row>
    <row r="611" spans="1:4" x14ac:dyDescent="0.25">
      <c r="A611" s="4" t="s">
        <v>951</v>
      </c>
      <c r="B611" s="4" t="s">
        <v>2492</v>
      </c>
      <c r="C611" s="4" t="s">
        <v>2492</v>
      </c>
      <c r="D611" s="4" t="s">
        <v>2492</v>
      </c>
    </row>
    <row r="612" spans="1:4" x14ac:dyDescent="0.25">
      <c r="A612" s="4" t="s">
        <v>954</v>
      </c>
      <c r="B612" s="4" t="s">
        <v>2493</v>
      </c>
      <c r="C612" s="4" t="s">
        <v>2493</v>
      </c>
      <c r="D612" s="4" t="s">
        <v>2493</v>
      </c>
    </row>
    <row r="613" spans="1:4" x14ac:dyDescent="0.25">
      <c r="A613" s="4" t="s">
        <v>962</v>
      </c>
      <c r="B613" s="4" t="s">
        <v>2492</v>
      </c>
      <c r="C613" s="4" t="s">
        <v>1497</v>
      </c>
      <c r="D613" s="4" t="s">
        <v>2492</v>
      </c>
    </row>
    <row r="614" spans="1:4" x14ac:dyDescent="0.25">
      <c r="A614" s="4" t="s">
        <v>962</v>
      </c>
      <c r="B614" s="4" t="s">
        <v>2492</v>
      </c>
      <c r="C614" s="4" t="s">
        <v>2497</v>
      </c>
      <c r="D614" s="4" t="s">
        <v>2492</v>
      </c>
    </row>
    <row r="615" spans="1:4" x14ac:dyDescent="0.25">
      <c r="A615" s="4" t="s">
        <v>977</v>
      </c>
      <c r="B615" s="4" t="s">
        <v>2492</v>
      </c>
      <c r="C615" s="4" t="s">
        <v>2497</v>
      </c>
      <c r="D615" s="4" t="s">
        <v>2492</v>
      </c>
    </row>
    <row r="616" spans="1:4" x14ac:dyDescent="0.25">
      <c r="A616" s="4" t="s">
        <v>987</v>
      </c>
      <c r="B616" s="4" t="s">
        <v>2534</v>
      </c>
      <c r="C616" s="4" t="s">
        <v>2534</v>
      </c>
      <c r="D616" s="4" t="s">
        <v>2534</v>
      </c>
    </row>
    <row r="617" spans="1:4" x14ac:dyDescent="0.25">
      <c r="A617" s="4" t="s">
        <v>987</v>
      </c>
      <c r="B617" s="4" t="s">
        <v>2514</v>
      </c>
      <c r="C617" s="4" t="s">
        <v>2514</v>
      </c>
      <c r="D617" s="4" t="s">
        <v>2514</v>
      </c>
    </row>
    <row r="618" spans="1:4" x14ac:dyDescent="0.25">
      <c r="A618" s="4" t="s">
        <v>987</v>
      </c>
      <c r="B618" s="4" t="s">
        <v>2503</v>
      </c>
      <c r="C618" s="4" t="s">
        <v>2503</v>
      </c>
      <c r="D618" s="4" t="s">
        <v>2503</v>
      </c>
    </row>
    <row r="619" spans="1:4" x14ac:dyDescent="0.25">
      <c r="A619" s="4" t="s">
        <v>988</v>
      </c>
      <c r="B619" s="4" t="s">
        <v>2494</v>
      </c>
      <c r="C619" s="4" t="s">
        <v>2494</v>
      </c>
      <c r="D619" s="4" t="s">
        <v>2494</v>
      </c>
    </row>
    <row r="620" spans="1:4" x14ac:dyDescent="0.25">
      <c r="A620" s="4" t="s">
        <v>994</v>
      </c>
      <c r="B620" s="4" t="s">
        <v>2492</v>
      </c>
      <c r="C620" s="4" t="s">
        <v>1497</v>
      </c>
      <c r="D620" s="4" t="s">
        <v>2492</v>
      </c>
    </row>
    <row r="621" spans="1:4" x14ac:dyDescent="0.25">
      <c r="A621" s="4" t="s">
        <v>995</v>
      </c>
      <c r="B621" s="4" t="s">
        <v>1497</v>
      </c>
      <c r="C621" s="4" t="s">
        <v>1497</v>
      </c>
      <c r="D621" s="4" t="s">
        <v>1497</v>
      </c>
    </row>
    <row r="622" spans="1:4" x14ac:dyDescent="0.25">
      <c r="A622" s="4" t="s">
        <v>997</v>
      </c>
      <c r="B622" s="4" t="s">
        <v>2492</v>
      </c>
      <c r="C622" s="4" t="s">
        <v>1497</v>
      </c>
      <c r="D622" s="4" t="s">
        <v>2492</v>
      </c>
    </row>
    <row r="623" spans="1:4" x14ac:dyDescent="0.25">
      <c r="A623" s="4" t="s">
        <v>1021</v>
      </c>
      <c r="B623" s="4" t="s">
        <v>2492</v>
      </c>
      <c r="C623" s="4" t="s">
        <v>1497</v>
      </c>
      <c r="D623" s="4" t="s">
        <v>2492</v>
      </c>
    </row>
    <row r="624" spans="1:4" x14ac:dyDescent="0.25">
      <c r="A624" s="4" t="s">
        <v>1024</v>
      </c>
      <c r="B624" s="4" t="s">
        <v>1497</v>
      </c>
      <c r="C624" s="4" t="s">
        <v>1497</v>
      </c>
      <c r="D624" s="4" t="s">
        <v>1497</v>
      </c>
    </row>
    <row r="625" spans="1:4" x14ac:dyDescent="0.25">
      <c r="A625" s="4" t="s">
        <v>1034</v>
      </c>
      <c r="B625" s="4" t="s">
        <v>1497</v>
      </c>
      <c r="C625" s="4" t="s">
        <v>1497</v>
      </c>
      <c r="D625" s="4" t="s">
        <v>1497</v>
      </c>
    </row>
    <row r="626" spans="1:4" x14ac:dyDescent="0.25">
      <c r="A626" s="4" t="s">
        <v>1038</v>
      </c>
      <c r="B626" s="4" t="s">
        <v>443</v>
      </c>
      <c r="C626" s="4" t="s">
        <v>1497</v>
      </c>
      <c r="D626" s="4" t="s">
        <v>443</v>
      </c>
    </row>
    <row r="627" spans="1:4" x14ac:dyDescent="0.25">
      <c r="A627" s="4" t="s">
        <v>1038</v>
      </c>
      <c r="B627" s="4" t="s">
        <v>443</v>
      </c>
      <c r="C627" s="4" t="s">
        <v>2497</v>
      </c>
      <c r="D627" s="4" t="s">
        <v>443</v>
      </c>
    </row>
    <row r="628" spans="1:4" x14ac:dyDescent="0.25">
      <c r="A628" s="4" t="s">
        <v>1038</v>
      </c>
      <c r="B628" s="4" t="s">
        <v>444</v>
      </c>
      <c r="C628" s="4" t="s">
        <v>1497</v>
      </c>
      <c r="D628" s="4" t="s">
        <v>444</v>
      </c>
    </row>
    <row r="629" spans="1:4" x14ac:dyDescent="0.25">
      <c r="A629" s="4" t="s">
        <v>1038</v>
      </c>
      <c r="B629" s="4" t="s">
        <v>2492</v>
      </c>
      <c r="C629" s="4" t="s">
        <v>2497</v>
      </c>
      <c r="D629" s="4" t="s">
        <v>2492</v>
      </c>
    </row>
    <row r="630" spans="1:4" x14ac:dyDescent="0.25">
      <c r="A630" s="4" t="s">
        <v>1041</v>
      </c>
      <c r="B630" s="4" t="s">
        <v>2492</v>
      </c>
      <c r="C630" s="4" t="s">
        <v>2497</v>
      </c>
      <c r="D630" s="4" t="s">
        <v>2492</v>
      </c>
    </row>
    <row r="631" spans="1:4" x14ac:dyDescent="0.25">
      <c r="A631" s="4" t="s">
        <v>1042</v>
      </c>
      <c r="B631" s="4" t="s">
        <v>2492</v>
      </c>
      <c r="C631" s="4" t="s">
        <v>1497</v>
      </c>
      <c r="D631" s="4" t="s">
        <v>2492</v>
      </c>
    </row>
    <row r="632" spans="1:4" x14ac:dyDescent="0.25">
      <c r="A632" s="4" t="s">
        <v>1048</v>
      </c>
      <c r="B632" s="4" t="s">
        <v>2492</v>
      </c>
      <c r="C632" s="4" t="s">
        <v>2497</v>
      </c>
      <c r="D632" s="4" t="s">
        <v>2492</v>
      </c>
    </row>
    <row r="633" spans="1:4" x14ac:dyDescent="0.25">
      <c r="A633" s="4" t="s">
        <v>1050</v>
      </c>
      <c r="B633" s="4" t="s">
        <v>444</v>
      </c>
      <c r="C633" s="4" t="s">
        <v>1497</v>
      </c>
      <c r="D633" s="4" t="s">
        <v>444</v>
      </c>
    </row>
    <row r="634" spans="1:4" x14ac:dyDescent="0.25">
      <c r="A634" s="4" t="s">
        <v>1051</v>
      </c>
      <c r="B634" s="4" t="s">
        <v>443</v>
      </c>
      <c r="C634" s="4" t="s">
        <v>1497</v>
      </c>
      <c r="D634" s="4" t="s">
        <v>443</v>
      </c>
    </row>
    <row r="635" spans="1:4" x14ac:dyDescent="0.25">
      <c r="A635" s="4" t="s">
        <v>1051</v>
      </c>
      <c r="B635" s="4" t="s">
        <v>443</v>
      </c>
      <c r="C635" s="4" t="s">
        <v>2497</v>
      </c>
      <c r="D635" s="4" t="s">
        <v>443</v>
      </c>
    </row>
    <row r="636" spans="1:4" x14ac:dyDescent="0.25">
      <c r="A636" s="4" t="s">
        <v>1051</v>
      </c>
      <c r="B636" s="4" t="s">
        <v>443</v>
      </c>
      <c r="C636" s="4" t="s">
        <v>2497</v>
      </c>
      <c r="D636" s="4" t="s">
        <v>2492</v>
      </c>
    </row>
    <row r="637" spans="1:4" x14ac:dyDescent="0.25">
      <c r="A637" s="4" t="s">
        <v>1051</v>
      </c>
      <c r="B637" s="4" t="s">
        <v>444</v>
      </c>
      <c r="C637" s="4" t="s">
        <v>1497</v>
      </c>
      <c r="D637" s="4" t="s">
        <v>444</v>
      </c>
    </row>
    <row r="638" spans="1:4" x14ac:dyDescent="0.25">
      <c r="A638" s="4" t="s">
        <v>1051</v>
      </c>
      <c r="B638" s="4" t="s">
        <v>2492</v>
      </c>
      <c r="C638" s="4" t="s">
        <v>2497</v>
      </c>
      <c r="D638" s="4" t="s">
        <v>2492</v>
      </c>
    </row>
    <row r="639" spans="1:4" x14ac:dyDescent="0.25">
      <c r="A639" s="4" t="s">
        <v>1053</v>
      </c>
      <c r="B639" s="4" t="s">
        <v>2493</v>
      </c>
      <c r="C639" s="4" t="s">
        <v>2493</v>
      </c>
      <c r="D639" s="4" t="s">
        <v>2493</v>
      </c>
    </row>
    <row r="640" spans="1:4" x14ac:dyDescent="0.25">
      <c r="A640" s="4" t="s">
        <v>1055</v>
      </c>
      <c r="B640" s="4" t="s">
        <v>2498</v>
      </c>
      <c r="C640" s="4" t="s">
        <v>2498</v>
      </c>
      <c r="D640" s="4" t="s">
        <v>2498</v>
      </c>
    </row>
    <row r="641" spans="1:4" x14ac:dyDescent="0.25">
      <c r="A641" s="4" t="s">
        <v>1058</v>
      </c>
      <c r="B641" s="4" t="s">
        <v>2492</v>
      </c>
      <c r="C641" s="4" t="s">
        <v>2497</v>
      </c>
      <c r="D641" s="4" t="s">
        <v>2492</v>
      </c>
    </row>
    <row r="642" spans="1:4" x14ac:dyDescent="0.25">
      <c r="A642" s="4" t="s">
        <v>1061</v>
      </c>
      <c r="B642" s="4" t="s">
        <v>2493</v>
      </c>
      <c r="C642" s="4" t="s">
        <v>2493</v>
      </c>
      <c r="D642" s="4" t="s">
        <v>2493</v>
      </c>
    </row>
    <row r="643" spans="1:4" x14ac:dyDescent="0.25">
      <c r="A643" s="4" t="s">
        <v>1061</v>
      </c>
      <c r="B643" s="4" t="s">
        <v>2499</v>
      </c>
      <c r="C643" s="4" t="s">
        <v>2499</v>
      </c>
      <c r="D643" s="4" t="s">
        <v>2499</v>
      </c>
    </row>
    <row r="644" spans="1:4" x14ac:dyDescent="0.25">
      <c r="A644" s="4" t="s">
        <v>1061</v>
      </c>
      <c r="B644" s="4" t="s">
        <v>2520</v>
      </c>
      <c r="C644" s="4" t="s">
        <v>2520</v>
      </c>
      <c r="D644" s="4" t="s">
        <v>2520</v>
      </c>
    </row>
    <row r="645" spans="1:4" x14ac:dyDescent="0.25">
      <c r="A645" s="4" t="s">
        <v>1061</v>
      </c>
      <c r="B645" s="4" t="s">
        <v>2500</v>
      </c>
      <c r="C645" s="4" t="s">
        <v>2500</v>
      </c>
      <c r="D645" s="4" t="s">
        <v>2500</v>
      </c>
    </row>
    <row r="646" spans="1:4" x14ac:dyDescent="0.25">
      <c r="A646" s="4" t="s">
        <v>1061</v>
      </c>
      <c r="B646" s="4" t="s">
        <v>2492</v>
      </c>
      <c r="C646" s="4" t="s">
        <v>2492</v>
      </c>
      <c r="D646" s="4" t="s">
        <v>2492</v>
      </c>
    </row>
    <row r="647" spans="1:4" x14ac:dyDescent="0.25">
      <c r="A647" s="4" t="s">
        <v>1061</v>
      </c>
      <c r="B647" s="4" t="s">
        <v>2540</v>
      </c>
      <c r="C647" s="4" t="s">
        <v>2540</v>
      </c>
      <c r="D647" s="4" t="s">
        <v>2540</v>
      </c>
    </row>
    <row r="648" spans="1:4" x14ac:dyDescent="0.25">
      <c r="A648" s="4" t="s">
        <v>1061</v>
      </c>
      <c r="B648" s="4" t="s">
        <v>2524</v>
      </c>
      <c r="C648" s="4" t="s">
        <v>2524</v>
      </c>
      <c r="D648" s="4" t="s">
        <v>2524</v>
      </c>
    </row>
    <row r="649" spans="1:4" x14ac:dyDescent="0.25">
      <c r="A649" s="4" t="s">
        <v>1061</v>
      </c>
      <c r="B649" s="4" t="s">
        <v>2547</v>
      </c>
      <c r="C649" s="4" t="s">
        <v>2547</v>
      </c>
      <c r="D649" s="4" t="s">
        <v>2547</v>
      </c>
    </row>
    <row r="650" spans="1:4" x14ac:dyDescent="0.25">
      <c r="A650" s="4" t="s">
        <v>1061</v>
      </c>
      <c r="B650" s="4" t="s">
        <v>2508</v>
      </c>
      <c r="C650" s="4" t="s">
        <v>2508</v>
      </c>
      <c r="D650" s="4" t="s">
        <v>2508</v>
      </c>
    </row>
    <row r="651" spans="1:4" x14ac:dyDescent="0.25">
      <c r="A651" s="4" t="s">
        <v>1061</v>
      </c>
      <c r="B651" s="4" t="s">
        <v>2525</v>
      </c>
      <c r="C651" s="4" t="s">
        <v>2525</v>
      </c>
      <c r="D651" s="4" t="s">
        <v>2525</v>
      </c>
    </row>
    <row r="652" spans="1:4" x14ac:dyDescent="0.25">
      <c r="A652" s="4" t="s">
        <v>1061</v>
      </c>
      <c r="B652" s="4" t="s">
        <v>2526</v>
      </c>
      <c r="C652" s="4" t="s">
        <v>2526</v>
      </c>
      <c r="D652" s="4" t="s">
        <v>2526</v>
      </c>
    </row>
    <row r="653" spans="1:4" x14ac:dyDescent="0.25">
      <c r="A653" s="4" t="s">
        <v>1061</v>
      </c>
      <c r="B653" s="4" t="s">
        <v>2527</v>
      </c>
      <c r="C653" s="4" t="s">
        <v>2527</v>
      </c>
      <c r="D653" s="4" t="s">
        <v>2527</v>
      </c>
    </row>
    <row r="654" spans="1:4" x14ac:dyDescent="0.25">
      <c r="A654" s="4" t="s">
        <v>1061</v>
      </c>
      <c r="B654" s="4" t="s">
        <v>2548</v>
      </c>
      <c r="C654" s="4" t="s">
        <v>2548</v>
      </c>
      <c r="D654" s="4" t="s">
        <v>2548</v>
      </c>
    </row>
    <row r="655" spans="1:4" x14ac:dyDescent="0.25">
      <c r="A655" s="4" t="s">
        <v>1061</v>
      </c>
      <c r="B655" s="4" t="s">
        <v>2521</v>
      </c>
      <c r="C655" s="4" t="s">
        <v>2521</v>
      </c>
      <c r="D655" s="4" t="s">
        <v>2521</v>
      </c>
    </row>
    <row r="656" spans="1:4" x14ac:dyDescent="0.25">
      <c r="A656" s="4" t="s">
        <v>1061</v>
      </c>
      <c r="B656" s="4" t="s">
        <v>2522</v>
      </c>
      <c r="C656" s="4" t="s">
        <v>2522</v>
      </c>
      <c r="D656" s="4" t="s">
        <v>2522</v>
      </c>
    </row>
    <row r="657" spans="1:4" x14ac:dyDescent="0.25">
      <c r="A657" s="4" t="s">
        <v>1061</v>
      </c>
      <c r="B657" s="4" t="s">
        <v>2501</v>
      </c>
      <c r="C657" s="4" t="s">
        <v>2501</v>
      </c>
      <c r="D657" s="4" t="s">
        <v>2501</v>
      </c>
    </row>
    <row r="658" spans="1:4" x14ac:dyDescent="0.25">
      <c r="A658" s="4" t="s">
        <v>1061</v>
      </c>
      <c r="B658" s="4" t="s">
        <v>2509</v>
      </c>
      <c r="C658" s="4" t="s">
        <v>2509</v>
      </c>
      <c r="D658" s="4" t="s">
        <v>2509</v>
      </c>
    </row>
    <row r="659" spans="1:4" x14ac:dyDescent="0.25">
      <c r="A659" s="4" t="s">
        <v>1061</v>
      </c>
      <c r="B659" s="4" t="s">
        <v>2528</v>
      </c>
      <c r="C659" s="4" t="s">
        <v>2528</v>
      </c>
      <c r="D659" s="4" t="s">
        <v>2528</v>
      </c>
    </row>
    <row r="660" spans="1:4" x14ac:dyDescent="0.25">
      <c r="A660" s="4" t="s">
        <v>1061</v>
      </c>
      <c r="B660" s="4" t="s">
        <v>2529</v>
      </c>
      <c r="C660" s="4" t="s">
        <v>2529</v>
      </c>
      <c r="D660" s="4" t="s">
        <v>2529</v>
      </c>
    </row>
    <row r="661" spans="1:4" x14ac:dyDescent="0.25">
      <c r="A661" s="4" t="s">
        <v>1061</v>
      </c>
      <c r="B661" s="4" t="s">
        <v>2530</v>
      </c>
      <c r="C661" s="4" t="s">
        <v>2530</v>
      </c>
      <c r="D661" s="4" t="s">
        <v>2530</v>
      </c>
    </row>
    <row r="662" spans="1:4" x14ac:dyDescent="0.25">
      <c r="A662" s="4" t="s">
        <v>1061</v>
      </c>
      <c r="B662" s="4" t="s">
        <v>2531</v>
      </c>
      <c r="C662" s="4" t="s">
        <v>2531</v>
      </c>
      <c r="D662" s="4" t="s">
        <v>2531</v>
      </c>
    </row>
    <row r="663" spans="1:4" x14ac:dyDescent="0.25">
      <c r="A663" s="4" t="s">
        <v>1061</v>
      </c>
      <c r="B663" s="4" t="s">
        <v>2510</v>
      </c>
      <c r="C663" s="4" t="s">
        <v>2510</v>
      </c>
      <c r="D663" s="4" t="s">
        <v>2510</v>
      </c>
    </row>
    <row r="664" spans="1:4" x14ac:dyDescent="0.25">
      <c r="A664" s="4" t="s">
        <v>1061</v>
      </c>
      <c r="B664" s="4" t="s">
        <v>2532</v>
      </c>
      <c r="C664" s="4" t="s">
        <v>2532</v>
      </c>
      <c r="D664" s="4" t="s">
        <v>2532</v>
      </c>
    </row>
    <row r="665" spans="1:4" x14ac:dyDescent="0.25">
      <c r="A665" s="4" t="s">
        <v>1061</v>
      </c>
      <c r="B665" s="4" t="s">
        <v>2533</v>
      </c>
      <c r="C665" s="4" t="s">
        <v>2533</v>
      </c>
      <c r="D665" s="4" t="s">
        <v>2533</v>
      </c>
    </row>
    <row r="666" spans="1:4" x14ac:dyDescent="0.25">
      <c r="A666" s="4" t="s">
        <v>1061</v>
      </c>
      <c r="B666" s="4" t="s">
        <v>2511</v>
      </c>
      <c r="C666" s="4" t="s">
        <v>2511</v>
      </c>
      <c r="D666" s="4" t="s">
        <v>2511</v>
      </c>
    </row>
    <row r="667" spans="1:4" x14ac:dyDescent="0.25">
      <c r="A667" s="4" t="s">
        <v>1061</v>
      </c>
      <c r="B667" s="4" t="s">
        <v>2512</v>
      </c>
      <c r="C667" s="4" t="s">
        <v>2512</v>
      </c>
      <c r="D667" s="4" t="s">
        <v>2512</v>
      </c>
    </row>
    <row r="668" spans="1:4" x14ac:dyDescent="0.25">
      <c r="A668" s="4" t="s">
        <v>1061</v>
      </c>
      <c r="B668" s="4" t="s">
        <v>2495</v>
      </c>
      <c r="C668" s="4" t="s">
        <v>2495</v>
      </c>
      <c r="D668" s="4" t="s">
        <v>2495</v>
      </c>
    </row>
    <row r="669" spans="1:4" x14ac:dyDescent="0.25">
      <c r="A669" s="4" t="s">
        <v>1061</v>
      </c>
      <c r="B669" s="4" t="s">
        <v>1497</v>
      </c>
      <c r="C669" s="4" t="s">
        <v>1497</v>
      </c>
      <c r="D669" s="4" t="s">
        <v>1497</v>
      </c>
    </row>
    <row r="670" spans="1:4" x14ac:dyDescent="0.25">
      <c r="A670" s="4" t="s">
        <v>1061</v>
      </c>
      <c r="B670" s="4" t="s">
        <v>2534</v>
      </c>
      <c r="C670" s="4" t="s">
        <v>2534</v>
      </c>
      <c r="D670" s="4" t="s">
        <v>2534</v>
      </c>
    </row>
    <row r="671" spans="1:4" x14ac:dyDescent="0.25">
      <c r="A671" s="4" t="s">
        <v>1061</v>
      </c>
      <c r="B671" s="4" t="s">
        <v>2535</v>
      </c>
      <c r="C671" s="4" t="s">
        <v>2535</v>
      </c>
      <c r="D671" s="4" t="s">
        <v>2535</v>
      </c>
    </row>
    <row r="672" spans="1:4" x14ac:dyDescent="0.25">
      <c r="A672" s="4" t="s">
        <v>1061</v>
      </c>
      <c r="B672" s="4" t="s">
        <v>2513</v>
      </c>
      <c r="C672" s="4" t="s">
        <v>2513</v>
      </c>
      <c r="D672" s="4" t="s">
        <v>2513</v>
      </c>
    </row>
    <row r="673" spans="1:4" x14ac:dyDescent="0.25">
      <c r="A673" s="4" t="s">
        <v>1061</v>
      </c>
      <c r="B673" s="4" t="s">
        <v>2502</v>
      </c>
      <c r="C673" s="4" t="s">
        <v>2502</v>
      </c>
      <c r="D673" s="4" t="s">
        <v>2502</v>
      </c>
    </row>
    <row r="674" spans="1:4" x14ac:dyDescent="0.25">
      <c r="A674" s="4" t="s">
        <v>1061</v>
      </c>
      <c r="B674" s="4" t="s">
        <v>2541</v>
      </c>
      <c r="C674" s="4" t="s">
        <v>2541</v>
      </c>
      <c r="D674" s="4" t="s">
        <v>2541</v>
      </c>
    </row>
    <row r="675" spans="1:4" x14ac:dyDescent="0.25">
      <c r="A675" s="4" t="s">
        <v>1061</v>
      </c>
      <c r="B675" s="4" t="s">
        <v>2496</v>
      </c>
      <c r="C675" s="4" t="s">
        <v>2496</v>
      </c>
      <c r="D675" s="4" t="s">
        <v>2496</v>
      </c>
    </row>
    <row r="676" spans="1:4" x14ac:dyDescent="0.25">
      <c r="A676" s="4" t="s">
        <v>1061</v>
      </c>
      <c r="B676" s="4" t="s">
        <v>2503</v>
      </c>
      <c r="C676" s="4" t="s">
        <v>2503</v>
      </c>
      <c r="D676" s="4" t="s">
        <v>2503</v>
      </c>
    </row>
    <row r="677" spans="1:4" x14ac:dyDescent="0.25">
      <c r="A677" s="4" t="s">
        <v>1061</v>
      </c>
      <c r="B677" s="4" t="s">
        <v>2504</v>
      </c>
      <c r="C677" s="4" t="s">
        <v>2504</v>
      </c>
      <c r="D677" s="4" t="s">
        <v>2504</v>
      </c>
    </row>
    <row r="678" spans="1:4" x14ac:dyDescent="0.25">
      <c r="A678" s="4" t="s">
        <v>1061</v>
      </c>
      <c r="B678" s="4" t="s">
        <v>2536</v>
      </c>
      <c r="C678" s="4" t="s">
        <v>2536</v>
      </c>
      <c r="D678" s="4" t="s">
        <v>2536</v>
      </c>
    </row>
    <row r="679" spans="1:4" x14ac:dyDescent="0.25">
      <c r="A679" s="4" t="s">
        <v>1061</v>
      </c>
      <c r="B679" s="4" t="s">
        <v>2515</v>
      </c>
      <c r="C679" s="4" t="s">
        <v>2515</v>
      </c>
      <c r="D679" s="4" t="s">
        <v>2515</v>
      </c>
    </row>
    <row r="680" spans="1:4" x14ac:dyDescent="0.25">
      <c r="A680" s="4" t="s">
        <v>1061</v>
      </c>
      <c r="B680" s="4" t="s">
        <v>2498</v>
      </c>
      <c r="C680" s="4" t="s">
        <v>2498</v>
      </c>
      <c r="D680" s="4" t="s">
        <v>2498</v>
      </c>
    </row>
    <row r="681" spans="1:4" x14ac:dyDescent="0.25">
      <c r="A681" s="4" t="s">
        <v>1061</v>
      </c>
      <c r="B681" s="4" t="s">
        <v>2516</v>
      </c>
      <c r="C681" s="4" t="s">
        <v>2516</v>
      </c>
      <c r="D681" s="4" t="s">
        <v>2516</v>
      </c>
    </row>
    <row r="682" spans="1:4" x14ac:dyDescent="0.25">
      <c r="A682" s="4" t="s">
        <v>1061</v>
      </c>
      <c r="B682" s="4" t="s">
        <v>2517</v>
      </c>
      <c r="C682" s="4" t="s">
        <v>2517</v>
      </c>
      <c r="D682" s="4" t="s">
        <v>2517</v>
      </c>
    </row>
    <row r="683" spans="1:4" x14ac:dyDescent="0.25">
      <c r="A683" s="4" t="s">
        <v>1061</v>
      </c>
      <c r="B683" s="4" t="s">
        <v>2549</v>
      </c>
      <c r="C683" s="4" t="s">
        <v>2549</v>
      </c>
      <c r="D683" s="4" t="s">
        <v>2549</v>
      </c>
    </row>
    <row r="684" spans="1:4" x14ac:dyDescent="0.25">
      <c r="A684" s="4" t="s">
        <v>1061</v>
      </c>
      <c r="B684" s="4" t="s">
        <v>2523</v>
      </c>
      <c r="C684" s="4" t="s">
        <v>2523</v>
      </c>
      <c r="D684" s="4" t="s">
        <v>2523</v>
      </c>
    </row>
    <row r="685" spans="1:4" x14ac:dyDescent="0.25">
      <c r="A685" s="4" t="s">
        <v>1061</v>
      </c>
      <c r="B685" s="4" t="s">
        <v>2542</v>
      </c>
      <c r="C685" s="4" t="s">
        <v>2542</v>
      </c>
      <c r="D685" s="4" t="s">
        <v>2542</v>
      </c>
    </row>
    <row r="686" spans="1:4" x14ac:dyDescent="0.25">
      <c r="A686" s="4" t="s">
        <v>1061</v>
      </c>
      <c r="B686" s="4" t="s">
        <v>2537</v>
      </c>
      <c r="C686" s="4" t="s">
        <v>2537</v>
      </c>
      <c r="D686" s="4" t="s">
        <v>2537</v>
      </c>
    </row>
    <row r="687" spans="1:4" x14ac:dyDescent="0.25">
      <c r="A687" s="4" t="s">
        <v>1061</v>
      </c>
      <c r="B687" s="4" t="s">
        <v>2538</v>
      </c>
      <c r="C687" s="4" t="s">
        <v>2538</v>
      </c>
      <c r="D687" s="4" t="s">
        <v>2538</v>
      </c>
    </row>
    <row r="688" spans="1:4" x14ac:dyDescent="0.25">
      <c r="A688" s="4" t="s">
        <v>1061</v>
      </c>
      <c r="B688" s="4" t="s">
        <v>2539</v>
      </c>
      <c r="C688" s="4" t="s">
        <v>2539</v>
      </c>
      <c r="D688" s="4" t="s">
        <v>2539</v>
      </c>
    </row>
    <row r="689" spans="1:4" x14ac:dyDescent="0.25">
      <c r="A689" s="4" t="s">
        <v>1063</v>
      </c>
      <c r="B689" s="4" t="s">
        <v>2493</v>
      </c>
      <c r="C689" s="4" t="s">
        <v>2493</v>
      </c>
      <c r="D689" s="4" t="s">
        <v>2493</v>
      </c>
    </row>
    <row r="690" spans="1:4" x14ac:dyDescent="0.25">
      <c r="A690" s="4" t="s">
        <v>1064</v>
      </c>
      <c r="B690" s="4" t="s">
        <v>2513</v>
      </c>
      <c r="C690" s="4" t="s">
        <v>2513</v>
      </c>
      <c r="D690" s="4" t="s">
        <v>2513</v>
      </c>
    </row>
    <row r="691" spans="1:4" x14ac:dyDescent="0.25">
      <c r="A691" s="4" t="s">
        <v>1065</v>
      </c>
      <c r="B691" s="4" t="s">
        <v>2513</v>
      </c>
      <c r="C691" s="4" t="s">
        <v>2513</v>
      </c>
      <c r="D691" s="4" t="s">
        <v>2513</v>
      </c>
    </row>
    <row r="692" spans="1:4" x14ac:dyDescent="0.25">
      <c r="A692" s="4" t="s">
        <v>1068</v>
      </c>
      <c r="B692" s="4" t="s">
        <v>2498</v>
      </c>
      <c r="C692" s="4" t="s">
        <v>2498</v>
      </c>
      <c r="D692" s="4" t="s">
        <v>2498</v>
      </c>
    </row>
    <row r="693" spans="1:4" x14ac:dyDescent="0.25">
      <c r="A693" s="4" t="s">
        <v>1071</v>
      </c>
      <c r="B693" s="4" t="s">
        <v>1497</v>
      </c>
      <c r="C693" s="4" t="s">
        <v>1497</v>
      </c>
      <c r="D693" s="4" t="s">
        <v>1497</v>
      </c>
    </row>
    <row r="694" spans="1:4" x14ac:dyDescent="0.25">
      <c r="A694" s="4" t="s">
        <v>1071</v>
      </c>
      <c r="B694" s="4" t="s">
        <v>2498</v>
      </c>
      <c r="C694" s="4" t="s">
        <v>2498</v>
      </c>
      <c r="D694" s="4" t="s">
        <v>2498</v>
      </c>
    </row>
    <row r="695" spans="1:4" x14ac:dyDescent="0.25">
      <c r="A695" s="4" t="s">
        <v>1072</v>
      </c>
      <c r="B695" s="4" t="s">
        <v>1497</v>
      </c>
      <c r="C695" s="4" t="s">
        <v>1497</v>
      </c>
      <c r="D695" s="4" t="s">
        <v>1497</v>
      </c>
    </row>
    <row r="696" spans="1:4" x14ac:dyDescent="0.25">
      <c r="A696" s="4" t="s">
        <v>1074</v>
      </c>
      <c r="B696" s="4" t="s">
        <v>2503</v>
      </c>
      <c r="C696" s="4" t="s">
        <v>2503</v>
      </c>
      <c r="D696" s="4" t="s">
        <v>2503</v>
      </c>
    </row>
    <row r="697" spans="1:4" x14ac:dyDescent="0.25">
      <c r="A697" s="4" t="s">
        <v>1078</v>
      </c>
      <c r="B697" s="4" t="s">
        <v>2534</v>
      </c>
      <c r="C697" s="4" t="s">
        <v>2534</v>
      </c>
      <c r="D697" s="4" t="s">
        <v>2534</v>
      </c>
    </row>
    <row r="698" spans="1:4" x14ac:dyDescent="0.25">
      <c r="A698" s="4" t="s">
        <v>1079</v>
      </c>
      <c r="B698" s="4" t="s">
        <v>2499</v>
      </c>
      <c r="C698" s="4" t="s">
        <v>2499</v>
      </c>
      <c r="D698" s="4" t="s">
        <v>2499</v>
      </c>
    </row>
    <row r="699" spans="1:4" x14ac:dyDescent="0.25">
      <c r="A699" s="4" t="s">
        <v>1081</v>
      </c>
      <c r="B699" s="4" t="s">
        <v>2524</v>
      </c>
      <c r="C699" s="4" t="s">
        <v>2524</v>
      </c>
      <c r="D699" s="4" t="s">
        <v>2524</v>
      </c>
    </row>
    <row r="700" spans="1:4" x14ac:dyDescent="0.25">
      <c r="A700" s="4" t="s">
        <v>1082</v>
      </c>
      <c r="B700" s="4" t="s">
        <v>2508</v>
      </c>
      <c r="C700" s="4" t="s">
        <v>2508</v>
      </c>
      <c r="D700" s="4" t="s">
        <v>2508</v>
      </c>
    </row>
    <row r="701" spans="1:4" x14ac:dyDescent="0.25">
      <c r="A701" s="4" t="s">
        <v>1083</v>
      </c>
      <c r="B701" s="4" t="s">
        <v>2529</v>
      </c>
      <c r="C701" s="4" t="s">
        <v>2529</v>
      </c>
      <c r="D701" s="4" t="s">
        <v>2529</v>
      </c>
    </row>
    <row r="702" spans="1:4" x14ac:dyDescent="0.25">
      <c r="A702" s="4" t="s">
        <v>1084</v>
      </c>
      <c r="B702" s="4" t="s">
        <v>2495</v>
      </c>
      <c r="C702" s="4" t="s">
        <v>2495</v>
      </c>
      <c r="D702" s="4" t="s">
        <v>2495</v>
      </c>
    </row>
    <row r="703" spans="1:4" x14ac:dyDescent="0.25">
      <c r="A703" s="4" t="s">
        <v>1085</v>
      </c>
      <c r="B703" s="4" t="s">
        <v>2494</v>
      </c>
      <c r="C703" s="4" t="s">
        <v>2494</v>
      </c>
      <c r="D703" s="4" t="s">
        <v>2494</v>
      </c>
    </row>
    <row r="704" spans="1:4" x14ac:dyDescent="0.25">
      <c r="A704" s="4" t="s">
        <v>1085</v>
      </c>
      <c r="B704" s="4" t="s">
        <v>2493</v>
      </c>
      <c r="C704" s="4" t="s">
        <v>2493</v>
      </c>
      <c r="D704" s="4" t="s">
        <v>2493</v>
      </c>
    </row>
    <row r="705" spans="1:4" x14ac:dyDescent="0.25">
      <c r="A705" s="4" t="s">
        <v>1085</v>
      </c>
      <c r="B705" s="4" t="s">
        <v>1497</v>
      </c>
      <c r="C705" s="4" t="s">
        <v>1497</v>
      </c>
      <c r="D705" s="4" t="s">
        <v>1497</v>
      </c>
    </row>
    <row r="706" spans="1:4" x14ac:dyDescent="0.25">
      <c r="A706" s="4" t="s">
        <v>1086</v>
      </c>
      <c r="B706" s="4" t="s">
        <v>2493</v>
      </c>
      <c r="C706" s="4" t="s">
        <v>2493</v>
      </c>
      <c r="D706" s="4" t="s">
        <v>2493</v>
      </c>
    </row>
    <row r="707" spans="1:4" x14ac:dyDescent="0.25">
      <c r="A707" s="4" t="s">
        <v>1086</v>
      </c>
      <c r="B707" s="4" t="s">
        <v>2518</v>
      </c>
      <c r="C707" s="4" t="s">
        <v>2518</v>
      </c>
      <c r="D707" s="4" t="s">
        <v>2518</v>
      </c>
    </row>
    <row r="708" spans="1:4" x14ac:dyDescent="0.25">
      <c r="A708" s="4" t="s">
        <v>1086</v>
      </c>
      <c r="B708" s="4" t="s">
        <v>2492</v>
      </c>
      <c r="C708" s="4" t="s">
        <v>2492</v>
      </c>
      <c r="D708" s="4" t="s">
        <v>2492</v>
      </c>
    </row>
    <row r="709" spans="1:4" x14ac:dyDescent="0.25">
      <c r="A709" s="4" t="s">
        <v>1086</v>
      </c>
      <c r="B709" s="4" t="s">
        <v>2527</v>
      </c>
      <c r="C709" s="4" t="s">
        <v>2527</v>
      </c>
      <c r="D709" s="4" t="s">
        <v>2527</v>
      </c>
    </row>
    <row r="710" spans="1:4" x14ac:dyDescent="0.25">
      <c r="A710" s="4" t="s">
        <v>1086</v>
      </c>
      <c r="B710" s="4" t="s">
        <v>2532</v>
      </c>
      <c r="C710" s="4" t="s">
        <v>2532</v>
      </c>
      <c r="D710" s="4" t="s">
        <v>2532</v>
      </c>
    </row>
    <row r="711" spans="1:4" x14ac:dyDescent="0.25">
      <c r="A711" s="4" t="s">
        <v>1086</v>
      </c>
      <c r="B711" s="4" t="s">
        <v>2533</v>
      </c>
      <c r="C711" s="4" t="s">
        <v>2533</v>
      </c>
      <c r="D711" s="4" t="s">
        <v>2533</v>
      </c>
    </row>
    <row r="712" spans="1:4" x14ac:dyDescent="0.25">
      <c r="A712" s="4" t="s">
        <v>1086</v>
      </c>
      <c r="B712" s="4" t="s">
        <v>1497</v>
      </c>
      <c r="C712" s="4" t="s">
        <v>1497</v>
      </c>
      <c r="D712" s="4" t="s">
        <v>1497</v>
      </c>
    </row>
    <row r="713" spans="1:4" x14ac:dyDescent="0.25">
      <c r="A713" s="4" t="s">
        <v>1086</v>
      </c>
      <c r="B713" s="4" t="s">
        <v>2534</v>
      </c>
      <c r="C713" s="4" t="s">
        <v>2534</v>
      </c>
      <c r="D713" s="4" t="s">
        <v>2534</v>
      </c>
    </row>
    <row r="714" spans="1:4" x14ac:dyDescent="0.25">
      <c r="A714" s="4" t="s">
        <v>1086</v>
      </c>
      <c r="B714" s="4" t="s">
        <v>2535</v>
      </c>
      <c r="C714" s="4" t="s">
        <v>2535</v>
      </c>
      <c r="D714" s="4" t="s">
        <v>2535</v>
      </c>
    </row>
    <row r="715" spans="1:4" x14ac:dyDescent="0.25">
      <c r="A715" s="4" t="s">
        <v>1086</v>
      </c>
      <c r="B715" s="4" t="s">
        <v>2513</v>
      </c>
      <c r="C715" s="4" t="s">
        <v>2513</v>
      </c>
      <c r="D715" s="4" t="s">
        <v>2513</v>
      </c>
    </row>
    <row r="716" spans="1:4" x14ac:dyDescent="0.25">
      <c r="A716" s="4" t="s">
        <v>1086</v>
      </c>
      <c r="B716" s="4" t="s">
        <v>2503</v>
      </c>
      <c r="C716" s="4" t="s">
        <v>2503</v>
      </c>
      <c r="D716" s="4" t="s">
        <v>2503</v>
      </c>
    </row>
    <row r="717" spans="1:4" x14ac:dyDescent="0.25">
      <c r="A717" s="4" t="s">
        <v>1086</v>
      </c>
      <c r="B717" s="4" t="s">
        <v>2539</v>
      </c>
      <c r="C717" s="4" t="s">
        <v>2539</v>
      </c>
      <c r="D717" s="4" t="s">
        <v>2539</v>
      </c>
    </row>
    <row r="718" spans="1:4" x14ac:dyDescent="0.25">
      <c r="A718" s="4" t="s">
        <v>1087</v>
      </c>
      <c r="B718" s="4" t="s">
        <v>2500</v>
      </c>
      <c r="C718" s="4" t="s">
        <v>2500</v>
      </c>
      <c r="D718" s="4" t="s">
        <v>2500</v>
      </c>
    </row>
    <row r="719" spans="1:4" x14ac:dyDescent="0.25">
      <c r="A719" s="4" t="s">
        <v>1089</v>
      </c>
      <c r="B719" s="4" t="s">
        <v>2493</v>
      </c>
      <c r="C719" s="4" t="s">
        <v>2493</v>
      </c>
      <c r="D719" s="4" t="s">
        <v>2493</v>
      </c>
    </row>
    <row r="720" spans="1:4" x14ac:dyDescent="0.25">
      <c r="A720" s="4" t="s">
        <v>1089</v>
      </c>
      <c r="B720" s="4" t="s">
        <v>2526</v>
      </c>
      <c r="C720" s="4" t="s">
        <v>2526</v>
      </c>
      <c r="D720" s="4" t="s">
        <v>2526</v>
      </c>
    </row>
    <row r="721" spans="1:4" x14ac:dyDescent="0.25">
      <c r="A721" s="4" t="s">
        <v>1089</v>
      </c>
      <c r="B721" s="4" t="s">
        <v>1497</v>
      </c>
      <c r="C721" s="4" t="s">
        <v>1497</v>
      </c>
      <c r="D721" s="4" t="s">
        <v>1497</v>
      </c>
    </row>
    <row r="722" spans="1:4" x14ac:dyDescent="0.25">
      <c r="A722" s="4" t="s">
        <v>1089</v>
      </c>
      <c r="B722" s="4" t="s">
        <v>2535</v>
      </c>
      <c r="C722" s="4" t="s">
        <v>2535</v>
      </c>
      <c r="D722" s="4" t="s">
        <v>2535</v>
      </c>
    </row>
    <row r="723" spans="1:4" x14ac:dyDescent="0.25">
      <c r="A723" s="4" t="s">
        <v>1090</v>
      </c>
      <c r="B723" s="4" t="s">
        <v>1497</v>
      </c>
      <c r="C723" s="4" t="s">
        <v>1497</v>
      </c>
      <c r="D723" s="4" t="s">
        <v>1497</v>
      </c>
    </row>
    <row r="724" spans="1:4" x14ac:dyDescent="0.25">
      <c r="A724" s="4" t="s">
        <v>1091</v>
      </c>
      <c r="B724" s="4" t="s">
        <v>1497</v>
      </c>
      <c r="C724" s="4" t="s">
        <v>1497</v>
      </c>
      <c r="D724" s="4" t="s">
        <v>1497</v>
      </c>
    </row>
    <row r="725" spans="1:4" x14ac:dyDescent="0.25">
      <c r="A725" s="4" t="s">
        <v>1094</v>
      </c>
      <c r="B725" s="4" t="s">
        <v>2492</v>
      </c>
      <c r="C725" s="4" t="s">
        <v>1497</v>
      </c>
      <c r="D725" s="4" t="s">
        <v>2492</v>
      </c>
    </row>
    <row r="726" spans="1:4" x14ac:dyDescent="0.25">
      <c r="A726" s="4" t="s">
        <v>1104</v>
      </c>
      <c r="B726" s="4" t="s">
        <v>2492</v>
      </c>
      <c r="C726" s="4" t="s">
        <v>2497</v>
      </c>
      <c r="D726" s="4" t="s">
        <v>2492</v>
      </c>
    </row>
    <row r="727" spans="1:4" x14ac:dyDescent="0.25">
      <c r="A727" s="4" t="s">
        <v>1106</v>
      </c>
      <c r="B727" s="4" t="s">
        <v>1497</v>
      </c>
      <c r="C727" s="4" t="s">
        <v>1497</v>
      </c>
      <c r="D727" s="4" t="s">
        <v>1497</v>
      </c>
    </row>
    <row r="728" spans="1:4" x14ac:dyDescent="0.25">
      <c r="A728" s="4" t="s">
        <v>1107</v>
      </c>
      <c r="B728" s="4" t="s">
        <v>2498</v>
      </c>
      <c r="C728" s="4" t="s">
        <v>2498</v>
      </c>
      <c r="D728" s="4" t="s">
        <v>2498</v>
      </c>
    </row>
    <row r="729" spans="1:4" x14ac:dyDescent="0.25">
      <c r="A729" s="4" t="s">
        <v>1109</v>
      </c>
      <c r="B729" s="4" t="s">
        <v>2498</v>
      </c>
      <c r="C729" s="4" t="s">
        <v>2498</v>
      </c>
      <c r="D729" s="4" t="s">
        <v>2498</v>
      </c>
    </row>
    <row r="730" spans="1:4" x14ac:dyDescent="0.25">
      <c r="A730" s="4" t="s">
        <v>1110</v>
      </c>
      <c r="B730" s="4" t="s">
        <v>2498</v>
      </c>
      <c r="C730" s="4" t="s">
        <v>2498</v>
      </c>
      <c r="D730" s="4" t="s">
        <v>2498</v>
      </c>
    </row>
    <row r="731" spans="1:4" x14ac:dyDescent="0.25">
      <c r="A731" s="4" t="s">
        <v>1111</v>
      </c>
      <c r="B731" s="4" t="s">
        <v>443</v>
      </c>
      <c r="C731" s="4" t="s">
        <v>1497</v>
      </c>
      <c r="D731" s="4" t="s">
        <v>443</v>
      </c>
    </row>
    <row r="732" spans="1:4" x14ac:dyDescent="0.25">
      <c r="A732" s="4" t="s">
        <v>1111</v>
      </c>
      <c r="B732" s="4" t="s">
        <v>444</v>
      </c>
      <c r="C732" s="4" t="s">
        <v>1497</v>
      </c>
      <c r="D732" s="4" t="s">
        <v>444</v>
      </c>
    </row>
    <row r="733" spans="1:4" x14ac:dyDescent="0.25">
      <c r="A733" s="4" t="s">
        <v>1111</v>
      </c>
      <c r="B733" s="4" t="s">
        <v>2492</v>
      </c>
      <c r="C733" s="4" t="s">
        <v>1497</v>
      </c>
      <c r="D733" s="4" t="s">
        <v>2492</v>
      </c>
    </row>
    <row r="734" spans="1:4" x14ac:dyDescent="0.25">
      <c r="A734" s="4" t="s">
        <v>1111</v>
      </c>
      <c r="B734" s="4" t="s">
        <v>2492</v>
      </c>
      <c r="C734" s="4" t="s">
        <v>2497</v>
      </c>
      <c r="D734" s="4" t="s">
        <v>2492</v>
      </c>
    </row>
    <row r="735" spans="1:4" x14ac:dyDescent="0.25">
      <c r="A735" s="4" t="s">
        <v>1112</v>
      </c>
      <c r="B735" s="4" t="s">
        <v>1497</v>
      </c>
      <c r="C735" s="4" t="s">
        <v>1497</v>
      </c>
      <c r="D735" s="4" t="s">
        <v>1497</v>
      </c>
    </row>
    <row r="736" spans="1:4" x14ac:dyDescent="0.25">
      <c r="A736" s="4" t="s">
        <v>1112</v>
      </c>
      <c r="B736" s="4" t="s">
        <v>2516</v>
      </c>
      <c r="C736" s="4" t="s">
        <v>2516</v>
      </c>
      <c r="D736" s="4" t="s">
        <v>2516</v>
      </c>
    </row>
    <row r="737" spans="1:4" x14ac:dyDescent="0.25">
      <c r="A737" s="4" t="s">
        <v>1114</v>
      </c>
      <c r="B737" s="4" t="s">
        <v>2492</v>
      </c>
      <c r="C737" s="4" t="s">
        <v>2497</v>
      </c>
      <c r="D737" s="4" t="s">
        <v>2492</v>
      </c>
    </row>
    <row r="738" spans="1:4" x14ac:dyDescent="0.25">
      <c r="A738" s="4" t="s">
        <v>1116</v>
      </c>
      <c r="B738" s="4" t="s">
        <v>2492</v>
      </c>
      <c r="C738" s="4" t="s">
        <v>1497</v>
      </c>
      <c r="D738" s="4" t="s">
        <v>2492</v>
      </c>
    </row>
    <row r="739" spans="1:4" x14ac:dyDescent="0.25">
      <c r="A739" s="4" t="s">
        <v>1116</v>
      </c>
      <c r="B739" s="4" t="s">
        <v>2492</v>
      </c>
      <c r="C739" s="4" t="s">
        <v>2497</v>
      </c>
      <c r="D739" s="4" t="s">
        <v>2492</v>
      </c>
    </row>
    <row r="740" spans="1:4" x14ac:dyDescent="0.25">
      <c r="A740" s="4" t="s">
        <v>1121</v>
      </c>
      <c r="B740" s="4" t="s">
        <v>2492</v>
      </c>
      <c r="C740" s="4" t="s">
        <v>2492</v>
      </c>
      <c r="D740" s="4" t="s">
        <v>2492</v>
      </c>
    </row>
    <row r="741" spans="1:4" x14ac:dyDescent="0.25">
      <c r="A741" s="4" t="s">
        <v>1122</v>
      </c>
      <c r="B741" s="4" t="s">
        <v>2494</v>
      </c>
      <c r="C741" s="4" t="s">
        <v>2494</v>
      </c>
      <c r="D741" s="4" t="s">
        <v>2494</v>
      </c>
    </row>
    <row r="742" spans="1:4" x14ac:dyDescent="0.25">
      <c r="A742" s="4" t="s">
        <v>1122</v>
      </c>
      <c r="B742" s="4" t="s">
        <v>2498</v>
      </c>
      <c r="C742" s="4" t="s">
        <v>2498</v>
      </c>
      <c r="D742" s="4" t="s">
        <v>2498</v>
      </c>
    </row>
    <row r="743" spans="1:4" x14ac:dyDescent="0.25">
      <c r="A743" s="4" t="s">
        <v>1123</v>
      </c>
      <c r="B743" s="4" t="s">
        <v>444</v>
      </c>
      <c r="C743" s="4" t="s">
        <v>1497</v>
      </c>
      <c r="D743" s="4" t="s">
        <v>444</v>
      </c>
    </row>
    <row r="744" spans="1:4" x14ac:dyDescent="0.25">
      <c r="A744" s="4" t="s">
        <v>1123</v>
      </c>
      <c r="B744" s="4" t="s">
        <v>2492</v>
      </c>
      <c r="C744" s="4" t="s">
        <v>1497</v>
      </c>
      <c r="D744" s="4" t="s">
        <v>2492</v>
      </c>
    </row>
    <row r="745" spans="1:4" x14ac:dyDescent="0.25">
      <c r="A745" s="4" t="s">
        <v>1126</v>
      </c>
      <c r="B745" s="4" t="s">
        <v>2492</v>
      </c>
      <c r="C745" s="4" t="s">
        <v>1497</v>
      </c>
      <c r="D745" s="4" t="s">
        <v>2492</v>
      </c>
    </row>
    <row r="746" spans="1:4" x14ac:dyDescent="0.25">
      <c r="A746" s="4" t="s">
        <v>1127</v>
      </c>
      <c r="B746" s="4" t="s">
        <v>2492</v>
      </c>
      <c r="C746" s="4" t="s">
        <v>1497</v>
      </c>
      <c r="D746" s="4" t="s">
        <v>2492</v>
      </c>
    </row>
    <row r="747" spans="1:4" x14ac:dyDescent="0.25">
      <c r="A747" s="4" t="s">
        <v>1127</v>
      </c>
      <c r="B747" s="4" t="s">
        <v>2492</v>
      </c>
      <c r="C747" s="4" t="s">
        <v>2497</v>
      </c>
      <c r="D747" s="4" t="s">
        <v>2492</v>
      </c>
    </row>
    <row r="748" spans="1:4" x14ac:dyDescent="0.25">
      <c r="A748" s="4" t="s">
        <v>1132</v>
      </c>
      <c r="B748" s="4" t="s">
        <v>2492</v>
      </c>
      <c r="C748" s="4" t="s">
        <v>1497</v>
      </c>
      <c r="D748" s="4" t="s">
        <v>2492</v>
      </c>
    </row>
    <row r="749" spans="1:4" x14ac:dyDescent="0.25">
      <c r="A749" s="4" t="s">
        <v>1133</v>
      </c>
      <c r="B749" s="4" t="s">
        <v>2492</v>
      </c>
      <c r="C749" s="4" t="s">
        <v>2497</v>
      </c>
      <c r="D749" s="4" t="s">
        <v>2492</v>
      </c>
    </row>
    <row r="750" spans="1:4" x14ac:dyDescent="0.25">
      <c r="A750" s="4" t="s">
        <v>1135</v>
      </c>
      <c r="B750" s="4" t="s">
        <v>2492</v>
      </c>
      <c r="C750" s="4" t="s">
        <v>1497</v>
      </c>
      <c r="D750" s="4" t="s">
        <v>2492</v>
      </c>
    </row>
    <row r="751" spans="1:4" x14ac:dyDescent="0.25">
      <c r="A751" s="4" t="s">
        <v>1140</v>
      </c>
      <c r="B751" s="4" t="s">
        <v>2492</v>
      </c>
      <c r="C751" s="4" t="s">
        <v>1497</v>
      </c>
      <c r="D751" s="4" t="s">
        <v>2492</v>
      </c>
    </row>
    <row r="752" spans="1:4" x14ac:dyDescent="0.25">
      <c r="A752" s="4" t="s">
        <v>1140</v>
      </c>
      <c r="B752" s="4" t="s">
        <v>2492</v>
      </c>
      <c r="C752" s="4" t="s">
        <v>2497</v>
      </c>
      <c r="D752" s="4" t="s">
        <v>2492</v>
      </c>
    </row>
    <row r="753" spans="1:4" x14ac:dyDescent="0.25">
      <c r="A753" s="4" t="s">
        <v>1143</v>
      </c>
      <c r="B753" s="4" t="s">
        <v>2492</v>
      </c>
      <c r="C753" s="4" t="s">
        <v>2497</v>
      </c>
      <c r="D753" s="4" t="s">
        <v>2492</v>
      </c>
    </row>
    <row r="754" spans="1:4" x14ac:dyDescent="0.25">
      <c r="A754" s="4" t="s">
        <v>1144</v>
      </c>
      <c r="B754" s="4" t="s">
        <v>2525</v>
      </c>
      <c r="C754" s="4" t="s">
        <v>2525</v>
      </c>
      <c r="D754" s="4" t="s">
        <v>2525</v>
      </c>
    </row>
    <row r="755" spans="1:4" x14ac:dyDescent="0.25">
      <c r="A755" s="4" t="s">
        <v>1145</v>
      </c>
      <c r="B755" s="4" t="s">
        <v>2492</v>
      </c>
      <c r="C755" s="4" t="s">
        <v>2497</v>
      </c>
      <c r="D755" s="4" t="s">
        <v>2492</v>
      </c>
    </row>
    <row r="756" spans="1:4" x14ac:dyDescent="0.25">
      <c r="A756" s="4" t="s">
        <v>1149</v>
      </c>
      <c r="B756" s="4" t="s">
        <v>2492</v>
      </c>
      <c r="C756" s="4" t="s">
        <v>2497</v>
      </c>
      <c r="D756" s="4" t="s">
        <v>2492</v>
      </c>
    </row>
    <row r="757" spans="1:4" x14ac:dyDescent="0.25">
      <c r="A757" s="4" t="s">
        <v>1150</v>
      </c>
      <c r="B757" s="4" t="s">
        <v>2492</v>
      </c>
      <c r="C757" s="4" t="s">
        <v>1497</v>
      </c>
      <c r="D757" s="4" t="s">
        <v>2492</v>
      </c>
    </row>
    <row r="758" spans="1:4" x14ac:dyDescent="0.25">
      <c r="A758" s="4" t="s">
        <v>1151</v>
      </c>
      <c r="B758" s="4" t="s">
        <v>2492</v>
      </c>
      <c r="C758" s="4" t="s">
        <v>1497</v>
      </c>
      <c r="D758" s="4" t="s">
        <v>2492</v>
      </c>
    </row>
    <row r="759" spans="1:4" x14ac:dyDescent="0.25">
      <c r="A759" s="4" t="s">
        <v>1151</v>
      </c>
      <c r="B759" s="4" t="s">
        <v>2492</v>
      </c>
      <c r="C759" s="4" t="s">
        <v>2497</v>
      </c>
      <c r="D759" s="4" t="s">
        <v>2492</v>
      </c>
    </row>
    <row r="760" spans="1:4" x14ac:dyDescent="0.25">
      <c r="A760" s="4" t="s">
        <v>1155</v>
      </c>
      <c r="B760" s="4" t="s">
        <v>2492</v>
      </c>
      <c r="C760" s="4" t="s">
        <v>2492</v>
      </c>
      <c r="D760" s="4" t="s">
        <v>2492</v>
      </c>
    </row>
    <row r="761" spans="1:4" x14ac:dyDescent="0.25">
      <c r="A761" s="4" t="s">
        <v>1160</v>
      </c>
      <c r="B761" s="4" t="s">
        <v>444</v>
      </c>
      <c r="C761" s="4" t="s">
        <v>1497</v>
      </c>
      <c r="D761" s="4" t="s">
        <v>444</v>
      </c>
    </row>
    <row r="762" spans="1:4" x14ac:dyDescent="0.25">
      <c r="A762" s="4" t="s">
        <v>1160</v>
      </c>
      <c r="B762" s="4" t="s">
        <v>2492</v>
      </c>
      <c r="C762" s="4" t="s">
        <v>1497</v>
      </c>
      <c r="D762" s="4" t="s">
        <v>2492</v>
      </c>
    </row>
    <row r="763" spans="1:4" x14ac:dyDescent="0.25">
      <c r="A763" s="4" t="s">
        <v>1163</v>
      </c>
      <c r="B763" s="4" t="s">
        <v>2494</v>
      </c>
      <c r="C763" s="4" t="s">
        <v>2494</v>
      </c>
      <c r="D763" s="4" t="s">
        <v>2494</v>
      </c>
    </row>
    <row r="764" spans="1:4" x14ac:dyDescent="0.25">
      <c r="A764" s="4" t="s">
        <v>1169</v>
      </c>
      <c r="B764" s="4" t="s">
        <v>2498</v>
      </c>
      <c r="C764" s="4" t="s">
        <v>2498</v>
      </c>
      <c r="D764" s="4" t="s">
        <v>2498</v>
      </c>
    </row>
    <row r="765" spans="1:4" x14ac:dyDescent="0.25">
      <c r="A765" s="4" t="s">
        <v>1170</v>
      </c>
      <c r="B765" s="4" t="s">
        <v>2492</v>
      </c>
      <c r="C765" s="4" t="s">
        <v>1497</v>
      </c>
      <c r="D765" s="4" t="s">
        <v>2492</v>
      </c>
    </row>
    <row r="766" spans="1:4" x14ac:dyDescent="0.25">
      <c r="A766" s="4" t="s">
        <v>1175</v>
      </c>
      <c r="B766" s="4" t="s">
        <v>2519</v>
      </c>
      <c r="C766" s="4" t="s">
        <v>2519</v>
      </c>
      <c r="D766" s="4" t="s">
        <v>2519</v>
      </c>
    </row>
    <row r="767" spans="1:4" x14ac:dyDescent="0.25">
      <c r="A767" s="4" t="s">
        <v>1175</v>
      </c>
      <c r="B767" s="4" t="s">
        <v>2510</v>
      </c>
      <c r="C767" s="4" t="s">
        <v>2510</v>
      </c>
      <c r="D767" s="4" t="s">
        <v>2510</v>
      </c>
    </row>
    <row r="768" spans="1:4" x14ac:dyDescent="0.25">
      <c r="A768" s="4" t="s">
        <v>1175</v>
      </c>
      <c r="B768" s="4" t="s">
        <v>1497</v>
      </c>
      <c r="C768" s="4" t="s">
        <v>1497</v>
      </c>
      <c r="D768" s="4" t="s">
        <v>1497</v>
      </c>
    </row>
    <row r="769" spans="1:4" x14ac:dyDescent="0.25">
      <c r="A769" s="4" t="s">
        <v>1175</v>
      </c>
      <c r="B769" s="4" t="s">
        <v>2513</v>
      </c>
      <c r="C769" s="4" t="s">
        <v>2513</v>
      </c>
      <c r="D769" s="4" t="s">
        <v>2513</v>
      </c>
    </row>
    <row r="770" spans="1:4" x14ac:dyDescent="0.25">
      <c r="A770" s="4" t="s">
        <v>1175</v>
      </c>
      <c r="B770" s="4" t="s">
        <v>2514</v>
      </c>
      <c r="C770" s="4" t="s">
        <v>2514</v>
      </c>
      <c r="D770" s="4" t="s">
        <v>2514</v>
      </c>
    </row>
    <row r="771" spans="1:4" x14ac:dyDescent="0.25">
      <c r="A771" s="4" t="s">
        <v>1175</v>
      </c>
      <c r="B771" s="4" t="s">
        <v>2506</v>
      </c>
      <c r="C771" s="4" t="s">
        <v>2506</v>
      </c>
      <c r="D771" s="4" t="s">
        <v>2506</v>
      </c>
    </row>
    <row r="772" spans="1:4" x14ac:dyDescent="0.25">
      <c r="A772" s="4" t="s">
        <v>1175</v>
      </c>
      <c r="B772" s="4" t="s">
        <v>2536</v>
      </c>
      <c r="C772" s="4" t="s">
        <v>2536</v>
      </c>
      <c r="D772" s="4" t="s">
        <v>2536</v>
      </c>
    </row>
    <row r="773" spans="1:4" x14ac:dyDescent="0.25">
      <c r="A773" s="4" t="s">
        <v>1175</v>
      </c>
      <c r="B773" s="4" t="s">
        <v>2550</v>
      </c>
      <c r="C773" s="4" t="s">
        <v>2550</v>
      </c>
      <c r="D773" s="4" t="s">
        <v>2550</v>
      </c>
    </row>
    <row r="774" spans="1:4" x14ac:dyDescent="0.25">
      <c r="A774" s="4" t="s">
        <v>1175</v>
      </c>
      <c r="B774" s="4" t="s">
        <v>2507</v>
      </c>
      <c r="C774" s="4" t="s">
        <v>2507</v>
      </c>
      <c r="D774" s="4" t="s">
        <v>2507</v>
      </c>
    </row>
    <row r="775" spans="1:4" x14ac:dyDescent="0.25">
      <c r="A775" s="4" t="s">
        <v>1175</v>
      </c>
      <c r="B775" s="4" t="s">
        <v>2537</v>
      </c>
      <c r="C775" s="4" t="s">
        <v>2537</v>
      </c>
      <c r="D775" s="4" t="s">
        <v>2537</v>
      </c>
    </row>
    <row r="776" spans="1:4" x14ac:dyDescent="0.25">
      <c r="A776" s="4" t="s">
        <v>1178</v>
      </c>
      <c r="B776" s="4" t="s">
        <v>2492</v>
      </c>
      <c r="C776" s="4" t="s">
        <v>1497</v>
      </c>
      <c r="D776" s="4" t="s">
        <v>2492</v>
      </c>
    </row>
    <row r="777" spans="1:4" x14ac:dyDescent="0.25">
      <c r="A777" s="4" t="s">
        <v>1178</v>
      </c>
      <c r="B777" s="4" t="s">
        <v>2492</v>
      </c>
      <c r="C777" s="4" t="s">
        <v>2497</v>
      </c>
      <c r="D777" s="4" t="s">
        <v>2492</v>
      </c>
    </row>
    <row r="778" spans="1:4" x14ac:dyDescent="0.25">
      <c r="A778" s="4" t="s">
        <v>1186</v>
      </c>
      <c r="B778" s="4" t="s">
        <v>2492</v>
      </c>
      <c r="C778" s="4" t="s">
        <v>2492</v>
      </c>
      <c r="D778" s="4" t="s">
        <v>2492</v>
      </c>
    </row>
    <row r="779" spans="1:4" x14ac:dyDescent="0.25">
      <c r="A779" s="4" t="s">
        <v>1189</v>
      </c>
      <c r="B779" s="4" t="s">
        <v>2492</v>
      </c>
      <c r="C779" s="4" t="s">
        <v>2497</v>
      </c>
      <c r="D779" s="4" t="s">
        <v>2492</v>
      </c>
    </row>
    <row r="780" spans="1:4" x14ac:dyDescent="0.25">
      <c r="A780" s="4" t="s">
        <v>1194</v>
      </c>
      <c r="B780" s="4" t="s">
        <v>2540</v>
      </c>
      <c r="C780" s="4" t="s">
        <v>2540</v>
      </c>
      <c r="D780" s="4" t="s">
        <v>2540</v>
      </c>
    </row>
    <row r="781" spans="1:4" x14ac:dyDescent="0.25">
      <c r="A781" s="4" t="s">
        <v>1194</v>
      </c>
      <c r="B781" s="4" t="s">
        <v>2526</v>
      </c>
      <c r="C781" s="4" t="s">
        <v>2526</v>
      </c>
      <c r="D781" s="4" t="s">
        <v>2526</v>
      </c>
    </row>
    <row r="782" spans="1:4" x14ac:dyDescent="0.25">
      <c r="A782" s="4" t="s">
        <v>1194</v>
      </c>
      <c r="B782" s="4" t="s">
        <v>2529</v>
      </c>
      <c r="C782" s="4" t="s">
        <v>2529</v>
      </c>
      <c r="D782" s="4" t="s">
        <v>2529</v>
      </c>
    </row>
    <row r="783" spans="1:4" x14ac:dyDescent="0.25">
      <c r="A783" s="4" t="s">
        <v>1194</v>
      </c>
      <c r="B783" s="4" t="s">
        <v>2532</v>
      </c>
      <c r="C783" s="4" t="s">
        <v>2532</v>
      </c>
      <c r="D783" s="4" t="s">
        <v>2532</v>
      </c>
    </row>
    <row r="784" spans="1:4" x14ac:dyDescent="0.25">
      <c r="A784" s="4" t="s">
        <v>1194</v>
      </c>
      <c r="B784" s="4" t="s">
        <v>2541</v>
      </c>
      <c r="C784" s="4" t="s">
        <v>2541</v>
      </c>
      <c r="D784" s="4" t="s">
        <v>2541</v>
      </c>
    </row>
    <row r="785" spans="1:4" x14ac:dyDescent="0.25">
      <c r="A785" s="4" t="s">
        <v>1194</v>
      </c>
      <c r="B785" s="4" t="s">
        <v>2515</v>
      </c>
      <c r="C785" s="4" t="s">
        <v>2515</v>
      </c>
      <c r="D785" s="4" t="s">
        <v>2515</v>
      </c>
    </row>
    <row r="786" spans="1:4" x14ac:dyDescent="0.25">
      <c r="A786" s="4" t="s">
        <v>1194</v>
      </c>
      <c r="B786" s="4" t="s">
        <v>2498</v>
      </c>
      <c r="C786" s="4" t="s">
        <v>2498</v>
      </c>
      <c r="D786" s="4" t="s">
        <v>2498</v>
      </c>
    </row>
    <row r="787" spans="1:4" x14ac:dyDescent="0.25">
      <c r="A787" s="4" t="s">
        <v>1194</v>
      </c>
      <c r="B787" s="4" t="s">
        <v>2516</v>
      </c>
      <c r="C787" s="4" t="s">
        <v>2516</v>
      </c>
      <c r="D787" s="4" t="s">
        <v>2516</v>
      </c>
    </row>
    <row r="788" spans="1:4" x14ac:dyDescent="0.25">
      <c r="A788" s="4" t="s">
        <v>1195</v>
      </c>
      <c r="B788" s="4" t="s">
        <v>444</v>
      </c>
      <c r="C788" s="4" t="s">
        <v>1497</v>
      </c>
      <c r="D788" s="4" t="s">
        <v>444</v>
      </c>
    </row>
    <row r="789" spans="1:4" x14ac:dyDescent="0.25">
      <c r="A789" s="4" t="s">
        <v>1195</v>
      </c>
      <c r="B789" s="4" t="s">
        <v>2492</v>
      </c>
      <c r="C789" s="4" t="s">
        <v>1497</v>
      </c>
      <c r="D789" s="4" t="s">
        <v>2492</v>
      </c>
    </row>
    <row r="790" spans="1:4" x14ac:dyDescent="0.25">
      <c r="A790" s="4" t="s">
        <v>1198</v>
      </c>
      <c r="B790" s="4" t="s">
        <v>2527</v>
      </c>
      <c r="C790" s="4" t="s">
        <v>2527</v>
      </c>
      <c r="D790" s="4" t="s">
        <v>2527</v>
      </c>
    </row>
    <row r="791" spans="1:4" x14ac:dyDescent="0.25">
      <c r="A791" s="4" t="s">
        <v>1203</v>
      </c>
      <c r="B791" s="4" t="s">
        <v>443</v>
      </c>
      <c r="C791" s="4" t="s">
        <v>1497</v>
      </c>
      <c r="D791" s="4" t="s">
        <v>443</v>
      </c>
    </row>
    <row r="792" spans="1:4" x14ac:dyDescent="0.25">
      <c r="A792" s="4" t="s">
        <v>1203</v>
      </c>
      <c r="B792" s="4" t="s">
        <v>444</v>
      </c>
      <c r="C792" s="4" t="s">
        <v>1497</v>
      </c>
      <c r="D792" s="4" t="s">
        <v>444</v>
      </c>
    </row>
    <row r="793" spans="1:4" x14ac:dyDescent="0.25">
      <c r="A793" s="4" t="s">
        <v>1203</v>
      </c>
      <c r="B793" s="4" t="s">
        <v>2492</v>
      </c>
      <c r="C793" s="4" t="s">
        <v>1497</v>
      </c>
      <c r="D793" s="4" t="s">
        <v>2492</v>
      </c>
    </row>
    <row r="794" spans="1:4" x14ac:dyDescent="0.25">
      <c r="A794" s="4" t="s">
        <v>1203</v>
      </c>
      <c r="B794" s="4" t="s">
        <v>2492</v>
      </c>
      <c r="C794" s="4" t="s">
        <v>2497</v>
      </c>
      <c r="D794" s="4" t="s">
        <v>2492</v>
      </c>
    </row>
    <row r="795" spans="1:4" x14ac:dyDescent="0.25">
      <c r="A795" s="4" t="s">
        <v>1222</v>
      </c>
      <c r="B795" s="4" t="s">
        <v>2492</v>
      </c>
      <c r="C795" s="4" t="s">
        <v>1497</v>
      </c>
      <c r="D795" s="4" t="s">
        <v>2492</v>
      </c>
    </row>
    <row r="796" spans="1:4" x14ac:dyDescent="0.25">
      <c r="A796" s="4" t="s">
        <v>1223</v>
      </c>
      <c r="B796" s="4" t="s">
        <v>1497</v>
      </c>
      <c r="C796" s="4" t="s">
        <v>1497</v>
      </c>
      <c r="D796" s="4" t="s">
        <v>1497</v>
      </c>
    </row>
    <row r="797" spans="1:4" x14ac:dyDescent="0.25">
      <c r="A797" s="4" t="s">
        <v>1233</v>
      </c>
      <c r="B797" s="4" t="s">
        <v>2492</v>
      </c>
      <c r="C797" s="4" t="s">
        <v>1497</v>
      </c>
      <c r="D797" s="4" t="s">
        <v>2492</v>
      </c>
    </row>
    <row r="798" spans="1:4" x14ac:dyDescent="0.25">
      <c r="A798" s="4" t="s">
        <v>1234</v>
      </c>
      <c r="B798" s="4" t="s">
        <v>2492</v>
      </c>
      <c r="C798" s="4" t="s">
        <v>1497</v>
      </c>
      <c r="D798" s="4" t="s">
        <v>2492</v>
      </c>
    </row>
    <row r="799" spans="1:4" x14ac:dyDescent="0.25">
      <c r="A799" s="4" t="s">
        <v>1234</v>
      </c>
      <c r="B799" s="4" t="s">
        <v>2492</v>
      </c>
      <c r="C799" s="4" t="s">
        <v>2497</v>
      </c>
      <c r="D799" s="4" t="s">
        <v>2492</v>
      </c>
    </row>
    <row r="800" spans="1:4" x14ac:dyDescent="0.25">
      <c r="A800" s="4" t="s">
        <v>1236</v>
      </c>
      <c r="B800" s="4" t="s">
        <v>443</v>
      </c>
      <c r="C800" s="4" t="s">
        <v>1497</v>
      </c>
      <c r="D800" s="4" t="s">
        <v>443</v>
      </c>
    </row>
    <row r="801" spans="1:4" x14ac:dyDescent="0.25">
      <c r="A801" s="4" t="s">
        <v>1236</v>
      </c>
      <c r="B801" s="4" t="s">
        <v>443</v>
      </c>
      <c r="C801" s="4" t="s">
        <v>2497</v>
      </c>
      <c r="D801" s="4" t="s">
        <v>443</v>
      </c>
    </row>
    <row r="802" spans="1:4" x14ac:dyDescent="0.25">
      <c r="A802" s="4" t="s">
        <v>1236</v>
      </c>
      <c r="B802" s="4" t="s">
        <v>444</v>
      </c>
      <c r="C802" s="4" t="s">
        <v>1497</v>
      </c>
      <c r="D802" s="4" t="s">
        <v>444</v>
      </c>
    </row>
    <row r="803" spans="1:4" x14ac:dyDescent="0.25">
      <c r="A803" s="4" t="s">
        <v>1236</v>
      </c>
      <c r="B803" s="4" t="s">
        <v>2492</v>
      </c>
      <c r="C803" s="4" t="s">
        <v>2497</v>
      </c>
      <c r="D803" s="4" t="s">
        <v>2492</v>
      </c>
    </row>
    <row r="804" spans="1:4" x14ac:dyDescent="0.25">
      <c r="A804" s="4" t="s">
        <v>1243</v>
      </c>
      <c r="B804" s="4" t="s">
        <v>443</v>
      </c>
      <c r="C804" s="4" t="s">
        <v>1497</v>
      </c>
      <c r="D804" s="4" t="s">
        <v>443</v>
      </c>
    </row>
    <row r="805" spans="1:4" x14ac:dyDescent="0.25">
      <c r="A805" s="4" t="s">
        <v>1243</v>
      </c>
      <c r="B805" s="4" t="s">
        <v>444</v>
      </c>
      <c r="C805" s="4" t="s">
        <v>1497</v>
      </c>
      <c r="D805" s="4" t="s">
        <v>444</v>
      </c>
    </row>
    <row r="806" spans="1:4" x14ac:dyDescent="0.25">
      <c r="A806" s="4" t="s">
        <v>1243</v>
      </c>
      <c r="B806" s="4" t="s">
        <v>2492</v>
      </c>
      <c r="C806" s="4" t="s">
        <v>1497</v>
      </c>
      <c r="D806" s="4" t="s">
        <v>2492</v>
      </c>
    </row>
    <row r="807" spans="1:4" x14ac:dyDescent="0.25">
      <c r="A807" s="4" t="s">
        <v>1246</v>
      </c>
      <c r="B807" s="4" t="s">
        <v>443</v>
      </c>
      <c r="C807" s="4" t="s">
        <v>2492</v>
      </c>
      <c r="D807" s="4" t="s">
        <v>443</v>
      </c>
    </row>
    <row r="808" spans="1:4" x14ac:dyDescent="0.25">
      <c r="A808" s="4" t="s">
        <v>1246</v>
      </c>
      <c r="B808" s="4" t="s">
        <v>443</v>
      </c>
      <c r="C808" s="4" t="s">
        <v>2492</v>
      </c>
      <c r="D808" s="4" t="s">
        <v>2492</v>
      </c>
    </row>
    <row r="809" spans="1:4" x14ac:dyDescent="0.25">
      <c r="A809" s="4" t="s">
        <v>1246</v>
      </c>
      <c r="B809" s="4" t="s">
        <v>443</v>
      </c>
      <c r="C809" s="4" t="s">
        <v>1497</v>
      </c>
      <c r="D809" s="4" t="s">
        <v>443</v>
      </c>
    </row>
    <row r="810" spans="1:4" x14ac:dyDescent="0.25">
      <c r="A810" s="4" t="s">
        <v>1246</v>
      </c>
      <c r="B810" s="4" t="s">
        <v>443</v>
      </c>
      <c r="C810" s="4" t="s">
        <v>1497</v>
      </c>
      <c r="D810" s="4" t="s">
        <v>2492</v>
      </c>
    </row>
    <row r="811" spans="1:4" x14ac:dyDescent="0.25">
      <c r="A811" s="4" t="s">
        <v>1246</v>
      </c>
      <c r="B811" s="4" t="s">
        <v>443</v>
      </c>
      <c r="C811" s="4" t="s">
        <v>1497</v>
      </c>
      <c r="D811" s="4" t="s">
        <v>1497</v>
      </c>
    </row>
    <row r="812" spans="1:4" x14ac:dyDescent="0.25">
      <c r="A812" s="4" t="s">
        <v>1246</v>
      </c>
      <c r="B812" s="4" t="s">
        <v>2543</v>
      </c>
      <c r="C812" s="4" t="s">
        <v>2492</v>
      </c>
      <c r="D812" s="4" t="s">
        <v>2492</v>
      </c>
    </row>
    <row r="813" spans="1:4" x14ac:dyDescent="0.25">
      <c r="A813" s="4" t="s">
        <v>1246</v>
      </c>
      <c r="B813" s="4" t="s">
        <v>444</v>
      </c>
      <c r="C813" s="4" t="s">
        <v>2492</v>
      </c>
      <c r="D813" s="4" t="s">
        <v>444</v>
      </c>
    </row>
    <row r="814" spans="1:4" x14ac:dyDescent="0.25">
      <c r="A814" s="4" t="s">
        <v>1246</v>
      </c>
      <c r="B814" s="4" t="s">
        <v>444</v>
      </c>
      <c r="C814" s="4" t="s">
        <v>1497</v>
      </c>
      <c r="D814" s="4" t="s">
        <v>444</v>
      </c>
    </row>
    <row r="815" spans="1:4" x14ac:dyDescent="0.25">
      <c r="A815" s="4" t="s">
        <v>1246</v>
      </c>
      <c r="B815" s="4" t="s">
        <v>2492</v>
      </c>
      <c r="C815" s="4" t="s">
        <v>1497</v>
      </c>
      <c r="D815" s="4" t="s">
        <v>2492</v>
      </c>
    </row>
    <row r="816" spans="1:4" x14ac:dyDescent="0.25">
      <c r="A816" s="4" t="s">
        <v>1253</v>
      </c>
      <c r="B816" s="4" t="s">
        <v>2492</v>
      </c>
      <c r="C816" s="4" t="s">
        <v>1497</v>
      </c>
      <c r="D816" s="4" t="s">
        <v>2492</v>
      </c>
    </row>
    <row r="817" spans="1:4" x14ac:dyDescent="0.25">
      <c r="A817" s="4" t="s">
        <v>1253</v>
      </c>
      <c r="B817" s="4" t="s">
        <v>2492</v>
      </c>
      <c r="C817" s="4" t="s">
        <v>2497</v>
      </c>
      <c r="D817" s="4" t="s">
        <v>2492</v>
      </c>
    </row>
    <row r="818" spans="1:4" x14ac:dyDescent="0.25">
      <c r="A818" s="4" t="s">
        <v>1254</v>
      </c>
      <c r="B818" s="4" t="s">
        <v>2492</v>
      </c>
      <c r="C818" s="4" t="s">
        <v>2492</v>
      </c>
      <c r="D818" s="4" t="s">
        <v>2492</v>
      </c>
    </row>
    <row r="819" spans="1:4" x14ac:dyDescent="0.25">
      <c r="A819" s="4" t="s">
        <v>1254</v>
      </c>
      <c r="B819" s="4" t="s">
        <v>2492</v>
      </c>
      <c r="C819" s="4" t="s">
        <v>1497</v>
      </c>
      <c r="D819" s="4" t="s">
        <v>2492</v>
      </c>
    </row>
    <row r="820" spans="1:4" x14ac:dyDescent="0.25">
      <c r="A820" s="4" t="s">
        <v>1255</v>
      </c>
      <c r="B820" s="4" t="s">
        <v>1497</v>
      </c>
      <c r="C820" s="4" t="s">
        <v>1497</v>
      </c>
      <c r="D820" s="4" t="s">
        <v>1497</v>
      </c>
    </row>
    <row r="821" spans="1:4" x14ac:dyDescent="0.25">
      <c r="A821" s="4" t="s">
        <v>1262</v>
      </c>
      <c r="B821" s="4" t="s">
        <v>2492</v>
      </c>
      <c r="C821" s="4" t="s">
        <v>1497</v>
      </c>
      <c r="D821" s="4" t="s">
        <v>2492</v>
      </c>
    </row>
    <row r="822" spans="1:4" x14ac:dyDescent="0.25">
      <c r="A822" s="4" t="s">
        <v>1262</v>
      </c>
      <c r="B822" s="4" t="s">
        <v>2492</v>
      </c>
      <c r="C822" s="4" t="s">
        <v>2497</v>
      </c>
      <c r="D822" s="4" t="s">
        <v>2492</v>
      </c>
    </row>
    <row r="823" spans="1:4" x14ac:dyDescent="0.25">
      <c r="A823" s="4" t="s">
        <v>1264</v>
      </c>
      <c r="B823" s="4" t="s">
        <v>443</v>
      </c>
      <c r="C823" s="4" t="s">
        <v>443</v>
      </c>
      <c r="D823" s="4" t="s">
        <v>443</v>
      </c>
    </row>
    <row r="824" spans="1:4" x14ac:dyDescent="0.25">
      <c r="A824" s="4" t="s">
        <v>1264</v>
      </c>
      <c r="B824" s="4" t="s">
        <v>443</v>
      </c>
      <c r="C824" s="4" t="s">
        <v>1497</v>
      </c>
      <c r="D824" s="4" t="s">
        <v>443</v>
      </c>
    </row>
    <row r="825" spans="1:4" x14ac:dyDescent="0.25">
      <c r="A825" s="4" t="s">
        <v>1264</v>
      </c>
      <c r="B825" s="4" t="s">
        <v>444</v>
      </c>
      <c r="C825" s="4" t="s">
        <v>1497</v>
      </c>
      <c r="D825" s="4" t="s">
        <v>444</v>
      </c>
    </row>
    <row r="826" spans="1:4" x14ac:dyDescent="0.25">
      <c r="A826" s="4" t="s">
        <v>1264</v>
      </c>
      <c r="B826" s="4" t="s">
        <v>2492</v>
      </c>
      <c r="C826" s="4" t="s">
        <v>1497</v>
      </c>
      <c r="D826" s="4" t="s">
        <v>2492</v>
      </c>
    </row>
    <row r="827" spans="1:4" x14ac:dyDescent="0.25">
      <c r="A827" s="4" t="s">
        <v>1264</v>
      </c>
      <c r="B827" s="4" t="s">
        <v>2492</v>
      </c>
      <c r="C827" s="4" t="s">
        <v>2497</v>
      </c>
      <c r="D827" s="4" t="s">
        <v>2492</v>
      </c>
    </row>
    <row r="828" spans="1:4" x14ac:dyDescent="0.25">
      <c r="A828" s="4" t="s">
        <v>1268</v>
      </c>
      <c r="B828" s="4" t="s">
        <v>2492</v>
      </c>
      <c r="C828" s="4" t="s">
        <v>1497</v>
      </c>
      <c r="D828" s="4" t="s">
        <v>2492</v>
      </c>
    </row>
    <row r="829" spans="1:4" x14ac:dyDescent="0.25">
      <c r="A829" s="4" t="s">
        <v>1269</v>
      </c>
      <c r="B829" s="4" t="s">
        <v>2492</v>
      </c>
      <c r="C829" s="4" t="s">
        <v>2497</v>
      </c>
      <c r="D829" s="4" t="s">
        <v>2492</v>
      </c>
    </row>
    <row r="830" spans="1:4" x14ac:dyDescent="0.25">
      <c r="A830" s="4" t="s">
        <v>1271</v>
      </c>
      <c r="B830" s="4" t="s">
        <v>2492</v>
      </c>
      <c r="C830" s="4" t="s">
        <v>1497</v>
      </c>
      <c r="D830" s="4" t="s">
        <v>2492</v>
      </c>
    </row>
    <row r="831" spans="1:4" x14ac:dyDescent="0.25">
      <c r="A831" s="4" t="s">
        <v>1271</v>
      </c>
      <c r="B831" s="4" t="s">
        <v>2492</v>
      </c>
      <c r="C831" s="4" t="s">
        <v>2497</v>
      </c>
      <c r="D831" s="4" t="s">
        <v>2492</v>
      </c>
    </row>
    <row r="832" spans="1:4" x14ac:dyDescent="0.25">
      <c r="A832" s="4" t="s">
        <v>1281</v>
      </c>
      <c r="B832" s="4" t="s">
        <v>2492</v>
      </c>
      <c r="C832" s="4" t="s">
        <v>1497</v>
      </c>
      <c r="D832" s="4" t="s">
        <v>2492</v>
      </c>
    </row>
    <row r="833" spans="1:4" x14ac:dyDescent="0.25">
      <c r="A833" s="4" t="s">
        <v>1281</v>
      </c>
      <c r="B833" s="4" t="s">
        <v>2492</v>
      </c>
      <c r="C833" s="4" t="s">
        <v>2497</v>
      </c>
      <c r="D833" s="4" t="s">
        <v>2492</v>
      </c>
    </row>
    <row r="834" spans="1:4" x14ac:dyDescent="0.25">
      <c r="A834" s="4" t="s">
        <v>1295</v>
      </c>
      <c r="B834" s="4" t="s">
        <v>2498</v>
      </c>
      <c r="C834" s="4" t="s">
        <v>2498</v>
      </c>
      <c r="D834" s="4" t="s">
        <v>2498</v>
      </c>
    </row>
    <row r="835" spans="1:4" x14ac:dyDescent="0.25">
      <c r="A835" s="4" t="s">
        <v>1296</v>
      </c>
      <c r="B835" s="4" t="s">
        <v>2492</v>
      </c>
      <c r="C835" s="4" t="s">
        <v>1497</v>
      </c>
      <c r="D835" s="4" t="s">
        <v>2492</v>
      </c>
    </row>
    <row r="836" spans="1:4" x14ac:dyDescent="0.25">
      <c r="A836" s="4" t="s">
        <v>1302</v>
      </c>
      <c r="B836" s="4" t="s">
        <v>2492</v>
      </c>
      <c r="C836" s="4" t="s">
        <v>2492</v>
      </c>
      <c r="D836" s="4" t="s">
        <v>2492</v>
      </c>
    </row>
    <row r="837" spans="1:4" x14ac:dyDescent="0.25">
      <c r="A837" s="4" t="s">
        <v>1303</v>
      </c>
      <c r="B837" s="4" t="s">
        <v>2492</v>
      </c>
      <c r="C837" s="4" t="s">
        <v>2492</v>
      </c>
      <c r="D837" s="4" t="s">
        <v>2492</v>
      </c>
    </row>
    <row r="838" spans="1:4" x14ac:dyDescent="0.25">
      <c r="A838" s="4" t="s">
        <v>1306</v>
      </c>
      <c r="B838" s="4" t="s">
        <v>2492</v>
      </c>
      <c r="C838" s="4" t="s">
        <v>2497</v>
      </c>
      <c r="D838" s="4" t="s">
        <v>2492</v>
      </c>
    </row>
    <row r="839" spans="1:4" x14ac:dyDescent="0.25">
      <c r="A839" s="4" t="s">
        <v>1311</v>
      </c>
      <c r="B839" s="4" t="s">
        <v>2492</v>
      </c>
      <c r="C839" s="4" t="s">
        <v>2497</v>
      </c>
      <c r="D839" s="4" t="s">
        <v>2492</v>
      </c>
    </row>
    <row r="840" spans="1:4" x14ac:dyDescent="0.25">
      <c r="A840" s="4" t="s">
        <v>1312</v>
      </c>
      <c r="B840" s="4" t="s">
        <v>2492</v>
      </c>
      <c r="C840" s="4" t="s">
        <v>1497</v>
      </c>
      <c r="D840" s="4" t="s">
        <v>2492</v>
      </c>
    </row>
    <row r="841" spans="1:4" x14ac:dyDescent="0.25">
      <c r="A841" s="4" t="s">
        <v>1312</v>
      </c>
      <c r="B841" s="4" t="s">
        <v>2492</v>
      </c>
      <c r="C841" s="4" t="s">
        <v>2497</v>
      </c>
      <c r="D841" s="4" t="s">
        <v>2492</v>
      </c>
    </row>
    <row r="842" spans="1:4" x14ac:dyDescent="0.25">
      <c r="A842" s="4" t="s">
        <v>1313</v>
      </c>
      <c r="B842" s="4" t="s">
        <v>2498</v>
      </c>
      <c r="C842" s="4" t="s">
        <v>2498</v>
      </c>
      <c r="D842" s="4" t="s">
        <v>2498</v>
      </c>
    </row>
    <row r="843" spans="1:4" x14ac:dyDescent="0.25">
      <c r="A843" s="4" t="s">
        <v>1315</v>
      </c>
      <c r="B843" s="4" t="s">
        <v>1497</v>
      </c>
      <c r="C843" s="4" t="s">
        <v>1497</v>
      </c>
      <c r="D843" s="4" t="s">
        <v>1497</v>
      </c>
    </row>
    <row r="844" spans="1:4" x14ac:dyDescent="0.25">
      <c r="A844" s="4" t="s">
        <v>1329</v>
      </c>
      <c r="B844" s="4" t="s">
        <v>1497</v>
      </c>
      <c r="C844" s="4" t="s">
        <v>1497</v>
      </c>
      <c r="D844" s="4" t="s">
        <v>1497</v>
      </c>
    </row>
    <row r="845" spans="1:4" x14ac:dyDescent="0.25">
      <c r="A845" s="4" t="s">
        <v>1333</v>
      </c>
      <c r="B845" s="4" t="s">
        <v>2493</v>
      </c>
      <c r="C845" s="4" t="s">
        <v>2493</v>
      </c>
      <c r="D845" s="4" t="s">
        <v>2493</v>
      </c>
    </row>
    <row r="846" spans="1:4" x14ac:dyDescent="0.25">
      <c r="A846" s="4" t="s">
        <v>1338</v>
      </c>
      <c r="B846" s="4" t="s">
        <v>2492</v>
      </c>
      <c r="C846" s="4" t="s">
        <v>2497</v>
      </c>
      <c r="D846" s="4" t="s">
        <v>2492</v>
      </c>
    </row>
    <row r="847" spans="1:4" x14ac:dyDescent="0.25">
      <c r="A847" s="4" t="s">
        <v>1340</v>
      </c>
      <c r="B847" s="4" t="s">
        <v>2540</v>
      </c>
      <c r="C847" s="4" t="s">
        <v>2540</v>
      </c>
      <c r="D847" s="4" t="s">
        <v>2540</v>
      </c>
    </row>
    <row r="848" spans="1:4" x14ac:dyDescent="0.25">
      <c r="A848" s="4" t="s">
        <v>1340</v>
      </c>
      <c r="B848" s="4" t="s">
        <v>2525</v>
      </c>
      <c r="C848" s="4" t="s">
        <v>2525</v>
      </c>
      <c r="D848" s="4" t="s">
        <v>2525</v>
      </c>
    </row>
    <row r="849" spans="1:4" x14ac:dyDescent="0.25">
      <c r="A849" s="4" t="s">
        <v>1340</v>
      </c>
      <c r="B849" s="4" t="s">
        <v>2526</v>
      </c>
      <c r="C849" s="4" t="s">
        <v>2526</v>
      </c>
      <c r="D849" s="4" t="s">
        <v>2526</v>
      </c>
    </row>
    <row r="850" spans="1:4" x14ac:dyDescent="0.25">
      <c r="A850" s="4" t="s">
        <v>1340</v>
      </c>
      <c r="B850" s="4" t="s">
        <v>2521</v>
      </c>
      <c r="C850" s="4" t="s">
        <v>2521</v>
      </c>
      <c r="D850" s="4" t="s">
        <v>2521</v>
      </c>
    </row>
    <row r="851" spans="1:4" x14ac:dyDescent="0.25">
      <c r="A851" s="4" t="s">
        <v>1340</v>
      </c>
      <c r="B851" s="4" t="s">
        <v>2509</v>
      </c>
      <c r="C851" s="4" t="s">
        <v>2509</v>
      </c>
      <c r="D851" s="4" t="s">
        <v>2509</v>
      </c>
    </row>
    <row r="852" spans="1:4" x14ac:dyDescent="0.25">
      <c r="A852" s="4" t="s">
        <v>1340</v>
      </c>
      <c r="B852" s="4" t="s">
        <v>2529</v>
      </c>
      <c r="C852" s="4" t="s">
        <v>2529</v>
      </c>
      <c r="D852" s="4" t="s">
        <v>2529</v>
      </c>
    </row>
    <row r="853" spans="1:4" x14ac:dyDescent="0.25">
      <c r="A853" s="4" t="s">
        <v>1340</v>
      </c>
      <c r="B853" s="4" t="s">
        <v>2535</v>
      </c>
      <c r="C853" s="4" t="s">
        <v>2535</v>
      </c>
      <c r="D853" s="4" t="s">
        <v>2535</v>
      </c>
    </row>
    <row r="854" spans="1:4" x14ac:dyDescent="0.25">
      <c r="A854" s="4" t="s">
        <v>1340</v>
      </c>
      <c r="B854" s="4" t="s">
        <v>2536</v>
      </c>
      <c r="C854" s="4" t="s">
        <v>2536</v>
      </c>
      <c r="D854" s="4" t="s">
        <v>2536</v>
      </c>
    </row>
    <row r="855" spans="1:4" x14ac:dyDescent="0.25">
      <c r="A855" s="4" t="s">
        <v>1340</v>
      </c>
      <c r="B855" s="4" t="s">
        <v>2515</v>
      </c>
      <c r="C855" s="4" t="s">
        <v>2515</v>
      </c>
      <c r="D855" s="4" t="s">
        <v>2515</v>
      </c>
    </row>
    <row r="856" spans="1:4" x14ac:dyDescent="0.25">
      <c r="A856" s="4" t="s">
        <v>1340</v>
      </c>
      <c r="B856" s="4" t="s">
        <v>2517</v>
      </c>
      <c r="C856" s="4" t="s">
        <v>2517</v>
      </c>
      <c r="D856" s="4" t="s">
        <v>2517</v>
      </c>
    </row>
    <row r="857" spans="1:4" x14ac:dyDescent="0.25">
      <c r="A857" s="4" t="s">
        <v>1342</v>
      </c>
      <c r="B857" s="4" t="s">
        <v>2498</v>
      </c>
      <c r="C857" s="4" t="s">
        <v>2498</v>
      </c>
      <c r="D857" s="4" t="s">
        <v>2498</v>
      </c>
    </row>
    <row r="858" spans="1:4" x14ac:dyDescent="0.25">
      <c r="A858" s="4" t="s">
        <v>1343</v>
      </c>
      <c r="B858" s="4" t="s">
        <v>2493</v>
      </c>
      <c r="C858" s="4" t="s">
        <v>2493</v>
      </c>
      <c r="D858" s="4" t="s">
        <v>2493</v>
      </c>
    </row>
    <row r="859" spans="1:4" x14ac:dyDescent="0.25">
      <c r="A859" s="4" t="s">
        <v>1351</v>
      </c>
      <c r="B859" s="4" t="s">
        <v>2492</v>
      </c>
      <c r="C859" s="4" t="s">
        <v>2497</v>
      </c>
      <c r="D859" s="4" t="s">
        <v>2492</v>
      </c>
    </row>
    <row r="860" spans="1:4" x14ac:dyDescent="0.25">
      <c r="A860" s="4" t="s">
        <v>1353</v>
      </c>
      <c r="B860" s="4" t="s">
        <v>2492</v>
      </c>
      <c r="C860" s="4" t="s">
        <v>1497</v>
      </c>
      <c r="D860" s="4" t="s">
        <v>2492</v>
      </c>
    </row>
    <row r="861" spans="1:4" x14ac:dyDescent="0.25">
      <c r="A861" s="4" t="s">
        <v>1353</v>
      </c>
      <c r="B861" s="4" t="s">
        <v>2551</v>
      </c>
      <c r="C861" s="4" t="s">
        <v>2551</v>
      </c>
      <c r="D861" s="4" t="s">
        <v>2551</v>
      </c>
    </row>
    <row r="862" spans="1:4" x14ac:dyDescent="0.25">
      <c r="A862" s="4" t="s">
        <v>1354</v>
      </c>
      <c r="B862" s="4" t="s">
        <v>2492</v>
      </c>
      <c r="C862" s="4" t="s">
        <v>1497</v>
      </c>
      <c r="D862" s="4" t="s">
        <v>2492</v>
      </c>
    </row>
    <row r="863" spans="1:4" x14ac:dyDescent="0.25">
      <c r="A863" s="4" t="s">
        <v>1358</v>
      </c>
      <c r="B863" s="4" t="s">
        <v>1497</v>
      </c>
      <c r="C863" s="4" t="s">
        <v>1497</v>
      </c>
      <c r="D863" s="4" t="s">
        <v>1497</v>
      </c>
    </row>
    <row r="864" spans="1:4" x14ac:dyDescent="0.25">
      <c r="A864" s="4" t="s">
        <v>1361</v>
      </c>
      <c r="B864" s="4" t="s">
        <v>2498</v>
      </c>
      <c r="C864" s="4" t="s">
        <v>2498</v>
      </c>
      <c r="D864" s="4" t="s">
        <v>2498</v>
      </c>
    </row>
    <row r="865" spans="1:4" x14ac:dyDescent="0.25">
      <c r="A865" s="4" t="s">
        <v>1363</v>
      </c>
      <c r="B865" s="4" t="s">
        <v>2492</v>
      </c>
      <c r="C865" s="4" t="s">
        <v>2497</v>
      </c>
      <c r="D865" s="4" t="s">
        <v>2492</v>
      </c>
    </row>
    <row r="866" spans="1:4" x14ac:dyDescent="0.25">
      <c r="A866" s="4" t="s">
        <v>1366</v>
      </c>
      <c r="B866" s="4" t="s">
        <v>2492</v>
      </c>
      <c r="C866" s="4" t="s">
        <v>1497</v>
      </c>
      <c r="D866" s="4" t="s">
        <v>2492</v>
      </c>
    </row>
    <row r="867" spans="1:4" x14ac:dyDescent="0.25">
      <c r="A867" s="4" t="s">
        <v>1366</v>
      </c>
      <c r="B867" s="4" t="s">
        <v>2492</v>
      </c>
      <c r="C867" s="4" t="s">
        <v>2497</v>
      </c>
      <c r="D867" s="4" t="s">
        <v>2492</v>
      </c>
    </row>
    <row r="868" spans="1:4" x14ac:dyDescent="0.25">
      <c r="A868" s="4" t="s">
        <v>1375</v>
      </c>
      <c r="B868" s="4" t="s">
        <v>1497</v>
      </c>
      <c r="C868" s="4" t="s">
        <v>1497</v>
      </c>
      <c r="D868" s="4" t="s">
        <v>1497</v>
      </c>
    </row>
    <row r="869" spans="1:4" x14ac:dyDescent="0.25">
      <c r="A869" s="4" t="s">
        <v>1378</v>
      </c>
      <c r="B869" s="4" t="s">
        <v>444</v>
      </c>
      <c r="C869" s="4" t="s">
        <v>1497</v>
      </c>
      <c r="D869" s="4" t="s">
        <v>444</v>
      </c>
    </row>
    <row r="870" spans="1:4" x14ac:dyDescent="0.25">
      <c r="A870" s="4" t="s">
        <v>1379</v>
      </c>
      <c r="B870" s="4" t="s">
        <v>444</v>
      </c>
      <c r="C870" s="4" t="s">
        <v>1497</v>
      </c>
      <c r="D870" s="4" t="s">
        <v>444</v>
      </c>
    </row>
    <row r="871" spans="1:4" x14ac:dyDescent="0.25">
      <c r="A871" s="4" t="s">
        <v>1385</v>
      </c>
      <c r="B871" s="4" t="s">
        <v>2492</v>
      </c>
      <c r="C871" s="4" t="s">
        <v>1497</v>
      </c>
      <c r="D871" s="4" t="s">
        <v>2492</v>
      </c>
    </row>
    <row r="872" spans="1:4" x14ac:dyDescent="0.25">
      <c r="A872" s="4" t="s">
        <v>1385</v>
      </c>
      <c r="B872" s="4" t="s">
        <v>2492</v>
      </c>
      <c r="C872" s="4" t="s">
        <v>2497</v>
      </c>
      <c r="D872" s="4" t="s">
        <v>2492</v>
      </c>
    </row>
    <row r="873" spans="1:4" x14ac:dyDescent="0.25">
      <c r="A873" s="4" t="s">
        <v>1387</v>
      </c>
      <c r="B873" s="4" t="s">
        <v>2492</v>
      </c>
      <c r="C873" s="4" t="s">
        <v>1497</v>
      </c>
      <c r="D873" s="4" t="s">
        <v>2492</v>
      </c>
    </row>
    <row r="874" spans="1:4" x14ac:dyDescent="0.25">
      <c r="A874" s="4" t="s">
        <v>1388</v>
      </c>
      <c r="B874" s="4" t="s">
        <v>2514</v>
      </c>
      <c r="C874" s="4" t="s">
        <v>2514</v>
      </c>
      <c r="D874" s="4" t="s">
        <v>2514</v>
      </c>
    </row>
    <row r="875" spans="1:4" x14ac:dyDescent="0.25">
      <c r="A875" s="4" t="s">
        <v>1389</v>
      </c>
      <c r="B875" s="4" t="s">
        <v>443</v>
      </c>
      <c r="C875" s="4" t="s">
        <v>1497</v>
      </c>
      <c r="D875" s="4" t="s">
        <v>443</v>
      </c>
    </row>
    <row r="876" spans="1:4" x14ac:dyDescent="0.25">
      <c r="A876" s="4" t="s">
        <v>1389</v>
      </c>
      <c r="B876" s="4" t="s">
        <v>443</v>
      </c>
      <c r="C876" s="4" t="s">
        <v>2534</v>
      </c>
      <c r="D876" s="4" t="s">
        <v>443</v>
      </c>
    </row>
    <row r="877" spans="1:4" x14ac:dyDescent="0.25">
      <c r="A877" s="4" t="s">
        <v>1389</v>
      </c>
      <c r="B877" s="4" t="s">
        <v>444</v>
      </c>
      <c r="C877" s="4" t="s">
        <v>1497</v>
      </c>
      <c r="D877" s="4" t="s">
        <v>444</v>
      </c>
    </row>
    <row r="878" spans="1:4" x14ac:dyDescent="0.25">
      <c r="A878" s="4" t="s">
        <v>1389</v>
      </c>
      <c r="B878" s="4" t="s">
        <v>444</v>
      </c>
      <c r="C878" s="4" t="s">
        <v>2534</v>
      </c>
      <c r="D878" s="4" t="s">
        <v>444</v>
      </c>
    </row>
    <row r="879" spans="1:4" x14ac:dyDescent="0.25">
      <c r="A879" s="4" t="s">
        <v>1389</v>
      </c>
      <c r="B879" s="4" t="s">
        <v>2492</v>
      </c>
      <c r="C879" s="4" t="s">
        <v>2492</v>
      </c>
      <c r="D879" s="4" t="s">
        <v>2492</v>
      </c>
    </row>
    <row r="880" spans="1:4" x14ac:dyDescent="0.25">
      <c r="A880" s="4" t="s">
        <v>1389</v>
      </c>
      <c r="B880" s="4" t="s">
        <v>2492</v>
      </c>
      <c r="C880" s="4" t="s">
        <v>1497</v>
      </c>
      <c r="D880" s="4" t="s">
        <v>2492</v>
      </c>
    </row>
    <row r="881" spans="1:4" x14ac:dyDescent="0.25">
      <c r="A881" s="4" t="s">
        <v>1389</v>
      </c>
      <c r="B881" s="4" t="s">
        <v>2492</v>
      </c>
      <c r="C881" s="4" t="s">
        <v>2497</v>
      </c>
      <c r="D881" s="4" t="s">
        <v>2492</v>
      </c>
    </row>
    <row r="882" spans="1:4" x14ac:dyDescent="0.25">
      <c r="A882" s="4" t="s">
        <v>1392</v>
      </c>
      <c r="B882" s="4" t="s">
        <v>2493</v>
      </c>
      <c r="C882" s="4" t="s">
        <v>2493</v>
      </c>
      <c r="D882" s="4" t="s">
        <v>2493</v>
      </c>
    </row>
    <row r="883" spans="1:4" x14ac:dyDescent="0.25">
      <c r="A883" s="4" t="s">
        <v>1393</v>
      </c>
      <c r="B883" s="4" t="s">
        <v>2492</v>
      </c>
      <c r="C883" s="4" t="s">
        <v>1497</v>
      </c>
      <c r="D883" s="4" t="s">
        <v>2492</v>
      </c>
    </row>
    <row r="884" spans="1:4" x14ac:dyDescent="0.25">
      <c r="A884" s="4" t="s">
        <v>1393</v>
      </c>
      <c r="B884" s="4" t="s">
        <v>2492</v>
      </c>
      <c r="C884" s="4" t="s">
        <v>2497</v>
      </c>
      <c r="D884" s="4" t="s">
        <v>2492</v>
      </c>
    </row>
    <row r="885" spans="1:4" x14ac:dyDescent="0.25">
      <c r="A885" s="4" t="s">
        <v>1395</v>
      </c>
      <c r="B885" s="4" t="s">
        <v>2513</v>
      </c>
      <c r="C885" s="4" t="s">
        <v>2513</v>
      </c>
      <c r="D885" s="4" t="s">
        <v>2513</v>
      </c>
    </row>
    <row r="886" spans="1:4" x14ac:dyDescent="0.25">
      <c r="A886" s="4" t="s">
        <v>1400</v>
      </c>
      <c r="B886" s="4" t="s">
        <v>2492</v>
      </c>
      <c r="C886" s="4" t="s">
        <v>1497</v>
      </c>
      <c r="D886" s="4" t="s">
        <v>2492</v>
      </c>
    </row>
    <row r="887" spans="1:4" x14ac:dyDescent="0.25">
      <c r="A887" s="4" t="s">
        <v>1400</v>
      </c>
      <c r="B887" s="4" t="s">
        <v>2492</v>
      </c>
      <c r="C887" s="4" t="s">
        <v>2497</v>
      </c>
      <c r="D887" s="4" t="s">
        <v>2492</v>
      </c>
    </row>
    <row r="888" spans="1:4" x14ac:dyDescent="0.25">
      <c r="A888" s="4" t="s">
        <v>1403</v>
      </c>
      <c r="B888" s="4" t="s">
        <v>2498</v>
      </c>
      <c r="C888" s="4" t="s">
        <v>2498</v>
      </c>
      <c r="D888" s="4" t="s">
        <v>2498</v>
      </c>
    </row>
    <row r="889" spans="1:4" x14ac:dyDescent="0.25">
      <c r="A889" s="4" t="s">
        <v>1405</v>
      </c>
      <c r="B889" s="4" t="s">
        <v>2492</v>
      </c>
      <c r="C889" s="4" t="s">
        <v>1497</v>
      </c>
      <c r="D889" s="4" t="s">
        <v>2492</v>
      </c>
    </row>
    <row r="890" spans="1:4" x14ac:dyDescent="0.25">
      <c r="A890" s="4" t="s">
        <v>1410</v>
      </c>
      <c r="B890" s="4" t="s">
        <v>2493</v>
      </c>
      <c r="C890" s="4" t="s">
        <v>2493</v>
      </c>
      <c r="D890" s="4" t="s">
        <v>2493</v>
      </c>
    </row>
    <row r="891" spans="1:4" x14ac:dyDescent="0.25">
      <c r="A891" s="4" t="s">
        <v>1410</v>
      </c>
      <c r="B891" s="4" t="s">
        <v>2492</v>
      </c>
      <c r="C891" s="4" t="s">
        <v>2492</v>
      </c>
      <c r="D891" s="4" t="s">
        <v>2492</v>
      </c>
    </row>
    <row r="892" spans="1:4" x14ac:dyDescent="0.25">
      <c r="A892" s="4" t="s">
        <v>1410</v>
      </c>
      <c r="B892" s="4" t="s">
        <v>1497</v>
      </c>
      <c r="C892" s="4" t="s">
        <v>1497</v>
      </c>
      <c r="D892" s="4" t="s">
        <v>1497</v>
      </c>
    </row>
    <row r="893" spans="1:4" x14ac:dyDescent="0.25">
      <c r="A893" s="4" t="s">
        <v>1413</v>
      </c>
      <c r="B893" s="4" t="s">
        <v>2492</v>
      </c>
      <c r="C893" s="4" t="s">
        <v>1497</v>
      </c>
      <c r="D893" s="4" t="s">
        <v>2492</v>
      </c>
    </row>
    <row r="894" spans="1:4" x14ac:dyDescent="0.25">
      <c r="A894" s="4" t="s">
        <v>1413</v>
      </c>
      <c r="B894" s="4" t="s">
        <v>2492</v>
      </c>
      <c r="C894" s="4" t="s">
        <v>2497</v>
      </c>
      <c r="D894" s="4" t="s">
        <v>2492</v>
      </c>
    </row>
    <row r="895" spans="1:4" x14ac:dyDescent="0.25">
      <c r="A895" s="4" t="s">
        <v>1415</v>
      </c>
      <c r="B895" s="4" t="s">
        <v>2492</v>
      </c>
      <c r="C895" s="4" t="s">
        <v>2492</v>
      </c>
      <c r="D895" s="4" t="s">
        <v>2492</v>
      </c>
    </row>
    <row r="896" spans="1:4" x14ac:dyDescent="0.25">
      <c r="A896" s="4" t="s">
        <v>1415</v>
      </c>
      <c r="B896" s="4" t="s">
        <v>1497</v>
      </c>
      <c r="C896" s="4" t="s">
        <v>1497</v>
      </c>
      <c r="D896" s="4" t="s">
        <v>1497</v>
      </c>
    </row>
    <row r="897" spans="1:4" x14ac:dyDescent="0.25">
      <c r="A897" s="4" t="s">
        <v>1423</v>
      </c>
      <c r="B897" s="4" t="s">
        <v>2492</v>
      </c>
      <c r="C897" s="4" t="s">
        <v>1497</v>
      </c>
      <c r="D897" s="4" t="s">
        <v>2492</v>
      </c>
    </row>
    <row r="898" spans="1:4" x14ac:dyDescent="0.25">
      <c r="A898" s="4" t="s">
        <v>1423</v>
      </c>
      <c r="B898" s="4" t="s">
        <v>2492</v>
      </c>
      <c r="C898" s="4" t="s">
        <v>2497</v>
      </c>
      <c r="D898" s="4" t="s">
        <v>2492</v>
      </c>
    </row>
    <row r="899" spans="1:4" x14ac:dyDescent="0.25">
      <c r="A899" s="4" t="s">
        <v>1424</v>
      </c>
      <c r="B899" s="4" t="s">
        <v>2492</v>
      </c>
      <c r="C899" s="4" t="s">
        <v>1497</v>
      </c>
      <c r="D899" s="4" t="s">
        <v>2492</v>
      </c>
    </row>
    <row r="900" spans="1:4" x14ac:dyDescent="0.25">
      <c r="A900" s="4" t="s">
        <v>1424</v>
      </c>
      <c r="B900" s="4" t="s">
        <v>2492</v>
      </c>
      <c r="C900" s="4" t="s">
        <v>2497</v>
      </c>
      <c r="D900" s="4" t="s">
        <v>2492</v>
      </c>
    </row>
    <row r="901" spans="1:4" x14ac:dyDescent="0.25">
      <c r="A901" s="4" t="s">
        <v>1429</v>
      </c>
      <c r="B901" s="4" t="s">
        <v>2492</v>
      </c>
      <c r="C901" s="4" t="s">
        <v>2497</v>
      </c>
      <c r="D901" s="4" t="s">
        <v>2492</v>
      </c>
    </row>
    <row r="902" spans="1:4" x14ac:dyDescent="0.25">
      <c r="A902" s="4" t="s">
        <v>1430</v>
      </c>
      <c r="B902" s="4" t="s">
        <v>2492</v>
      </c>
      <c r="C902" s="4" t="s">
        <v>1497</v>
      </c>
      <c r="D902" s="4" t="s">
        <v>2492</v>
      </c>
    </row>
    <row r="903" spans="1:4" x14ac:dyDescent="0.25">
      <c r="A903" s="4" t="s">
        <v>1430</v>
      </c>
      <c r="B903" s="4" t="s">
        <v>2492</v>
      </c>
      <c r="C903" s="4" t="s">
        <v>2497</v>
      </c>
      <c r="D903" s="4" t="s">
        <v>2492</v>
      </c>
    </row>
    <row r="904" spans="1:4" x14ac:dyDescent="0.25">
      <c r="A904" s="4" t="s">
        <v>1431</v>
      </c>
      <c r="B904" s="4" t="s">
        <v>2492</v>
      </c>
      <c r="C904" s="4" t="s">
        <v>2497</v>
      </c>
      <c r="D904" s="4" t="s">
        <v>2492</v>
      </c>
    </row>
    <row r="905" spans="1:4" x14ac:dyDescent="0.25">
      <c r="A905" s="4" t="s">
        <v>1432</v>
      </c>
      <c r="B905" s="4" t="s">
        <v>2492</v>
      </c>
      <c r="C905" s="4" t="s">
        <v>1497</v>
      </c>
      <c r="D905" s="4" t="s">
        <v>2492</v>
      </c>
    </row>
    <row r="906" spans="1:4" x14ac:dyDescent="0.25">
      <c r="A906" s="4" t="s">
        <v>1432</v>
      </c>
      <c r="B906" s="4" t="s">
        <v>2492</v>
      </c>
      <c r="C906" s="4" t="s">
        <v>2497</v>
      </c>
      <c r="D906" s="4" t="s">
        <v>2492</v>
      </c>
    </row>
    <row r="907" spans="1:4" x14ac:dyDescent="0.25">
      <c r="A907" s="4" t="s">
        <v>1435</v>
      </c>
      <c r="B907" s="4" t="s">
        <v>2492</v>
      </c>
      <c r="C907" s="4" t="s">
        <v>1497</v>
      </c>
      <c r="D907" s="4" t="s">
        <v>2492</v>
      </c>
    </row>
    <row r="908" spans="1:4" x14ac:dyDescent="0.25">
      <c r="A908" s="4" t="s">
        <v>1440</v>
      </c>
      <c r="B908" s="4" t="s">
        <v>2492</v>
      </c>
      <c r="C908" s="4" t="s">
        <v>1497</v>
      </c>
      <c r="D908" s="4" t="s">
        <v>2492</v>
      </c>
    </row>
    <row r="909" spans="1:4" x14ac:dyDescent="0.25">
      <c r="A909" s="4" t="s">
        <v>1445</v>
      </c>
      <c r="B909" s="4" t="s">
        <v>2492</v>
      </c>
      <c r="C909" s="4" t="s">
        <v>2497</v>
      </c>
      <c r="D909" s="4" t="s">
        <v>2492</v>
      </c>
    </row>
    <row r="910" spans="1:4" x14ac:dyDescent="0.25">
      <c r="A910" s="4" t="s">
        <v>1447</v>
      </c>
      <c r="B910" s="4" t="s">
        <v>443</v>
      </c>
      <c r="C910" s="4" t="s">
        <v>1497</v>
      </c>
      <c r="D910" s="4" t="s">
        <v>443</v>
      </c>
    </row>
    <row r="911" spans="1:4" x14ac:dyDescent="0.25">
      <c r="A911" s="4" t="s">
        <v>1452</v>
      </c>
      <c r="B911" s="4" t="s">
        <v>2494</v>
      </c>
      <c r="C911" s="4" t="s">
        <v>2494</v>
      </c>
      <c r="D911" s="4" t="s">
        <v>2494</v>
      </c>
    </row>
    <row r="912" spans="1:4" x14ac:dyDescent="0.25">
      <c r="A912" s="4" t="s">
        <v>1452</v>
      </c>
      <c r="B912" s="4" t="s">
        <v>2493</v>
      </c>
      <c r="C912" s="4" t="s">
        <v>2493</v>
      </c>
      <c r="D912" s="4" t="s">
        <v>2493</v>
      </c>
    </row>
    <row r="913" spans="1:4" x14ac:dyDescent="0.25">
      <c r="A913" s="4" t="s">
        <v>1452</v>
      </c>
      <c r="B913" s="4" t="s">
        <v>2499</v>
      </c>
      <c r="C913" s="4" t="s">
        <v>2499</v>
      </c>
      <c r="D913" s="4" t="s">
        <v>2499</v>
      </c>
    </row>
    <row r="914" spans="1:4" x14ac:dyDescent="0.25">
      <c r="A914" s="4" t="s">
        <v>1452</v>
      </c>
      <c r="B914" s="4" t="s">
        <v>2520</v>
      </c>
      <c r="C914" s="4" t="s">
        <v>2520</v>
      </c>
      <c r="D914" s="4" t="s">
        <v>2520</v>
      </c>
    </row>
    <row r="915" spans="1:4" x14ac:dyDescent="0.25">
      <c r="A915" s="4" t="s">
        <v>1452</v>
      </c>
      <c r="B915" s="4" t="s">
        <v>2500</v>
      </c>
      <c r="C915" s="4" t="s">
        <v>2500</v>
      </c>
      <c r="D915" s="4" t="s">
        <v>2500</v>
      </c>
    </row>
    <row r="916" spans="1:4" x14ac:dyDescent="0.25">
      <c r="A916" s="4" t="s">
        <v>1452</v>
      </c>
      <c r="B916" s="4" t="s">
        <v>2492</v>
      </c>
      <c r="C916" s="4" t="s">
        <v>2492</v>
      </c>
      <c r="D916" s="4" t="s">
        <v>2492</v>
      </c>
    </row>
    <row r="917" spans="1:4" x14ac:dyDescent="0.25">
      <c r="A917" s="4" t="s">
        <v>1452</v>
      </c>
      <c r="B917" s="4" t="s">
        <v>2524</v>
      </c>
      <c r="C917" s="4" t="s">
        <v>2524</v>
      </c>
      <c r="D917" s="4" t="s">
        <v>2524</v>
      </c>
    </row>
    <row r="918" spans="1:4" x14ac:dyDescent="0.25">
      <c r="A918" s="4" t="s">
        <v>1452</v>
      </c>
      <c r="B918" s="4" t="s">
        <v>2526</v>
      </c>
      <c r="C918" s="4" t="s">
        <v>2526</v>
      </c>
      <c r="D918" s="4" t="s">
        <v>2526</v>
      </c>
    </row>
    <row r="919" spans="1:4" x14ac:dyDescent="0.25">
      <c r="A919" s="4" t="s">
        <v>1452</v>
      </c>
      <c r="B919" s="4" t="s">
        <v>2527</v>
      </c>
      <c r="C919" s="4" t="s">
        <v>2527</v>
      </c>
      <c r="D919" s="4" t="s">
        <v>2527</v>
      </c>
    </row>
    <row r="920" spans="1:4" x14ac:dyDescent="0.25">
      <c r="A920" s="4" t="s">
        <v>1452</v>
      </c>
      <c r="B920" s="4" t="s">
        <v>2521</v>
      </c>
      <c r="C920" s="4" t="s">
        <v>2521</v>
      </c>
      <c r="D920" s="4" t="s">
        <v>2521</v>
      </c>
    </row>
    <row r="921" spans="1:4" x14ac:dyDescent="0.25">
      <c r="A921" s="4" t="s">
        <v>1452</v>
      </c>
      <c r="B921" s="4" t="s">
        <v>2529</v>
      </c>
      <c r="C921" s="4" t="s">
        <v>2529</v>
      </c>
      <c r="D921" s="4" t="s">
        <v>2529</v>
      </c>
    </row>
    <row r="922" spans="1:4" x14ac:dyDescent="0.25">
      <c r="A922" s="4" t="s">
        <v>1452</v>
      </c>
      <c r="B922" s="4" t="s">
        <v>2531</v>
      </c>
      <c r="C922" s="4" t="s">
        <v>2531</v>
      </c>
      <c r="D922" s="4" t="s">
        <v>2531</v>
      </c>
    </row>
    <row r="923" spans="1:4" x14ac:dyDescent="0.25">
      <c r="A923" s="4" t="s">
        <v>1452</v>
      </c>
      <c r="B923" s="4" t="s">
        <v>2510</v>
      </c>
      <c r="C923" s="4" t="s">
        <v>2510</v>
      </c>
      <c r="D923" s="4" t="s">
        <v>2510</v>
      </c>
    </row>
    <row r="924" spans="1:4" x14ac:dyDescent="0.25">
      <c r="A924" s="4" t="s">
        <v>1452</v>
      </c>
      <c r="B924" s="4" t="s">
        <v>2533</v>
      </c>
      <c r="C924" s="4" t="s">
        <v>2533</v>
      </c>
      <c r="D924" s="4" t="s">
        <v>2533</v>
      </c>
    </row>
    <row r="925" spans="1:4" x14ac:dyDescent="0.25">
      <c r="A925" s="4" t="s">
        <v>1452</v>
      </c>
      <c r="B925" s="4" t="s">
        <v>1497</v>
      </c>
      <c r="C925" s="4" t="s">
        <v>1497</v>
      </c>
      <c r="D925" s="4" t="s">
        <v>1497</v>
      </c>
    </row>
    <row r="926" spans="1:4" x14ac:dyDescent="0.25">
      <c r="A926" s="4" t="s">
        <v>1452</v>
      </c>
      <c r="B926" s="4" t="s">
        <v>2541</v>
      </c>
      <c r="C926" s="4" t="s">
        <v>2541</v>
      </c>
      <c r="D926" s="4" t="s">
        <v>2541</v>
      </c>
    </row>
    <row r="927" spans="1:4" x14ac:dyDescent="0.25">
      <c r="A927" s="4" t="s">
        <v>1452</v>
      </c>
      <c r="B927" s="4" t="s">
        <v>2536</v>
      </c>
      <c r="C927" s="4" t="s">
        <v>2536</v>
      </c>
      <c r="D927" s="4" t="s">
        <v>2536</v>
      </c>
    </row>
    <row r="928" spans="1:4" x14ac:dyDescent="0.25">
      <c r="A928" s="4" t="s">
        <v>1452</v>
      </c>
      <c r="B928" s="4" t="s">
        <v>2542</v>
      </c>
      <c r="C928" s="4" t="s">
        <v>2542</v>
      </c>
      <c r="D928" s="4" t="s">
        <v>2542</v>
      </c>
    </row>
    <row r="929" spans="1:4" x14ac:dyDescent="0.25">
      <c r="A929" s="4" t="s">
        <v>1452</v>
      </c>
      <c r="B929" s="4" t="s">
        <v>2538</v>
      </c>
      <c r="C929" s="4" t="s">
        <v>2538</v>
      </c>
      <c r="D929" s="4" t="s">
        <v>2538</v>
      </c>
    </row>
    <row r="930" spans="1:4" x14ac:dyDescent="0.25">
      <c r="A930" s="4" t="s">
        <v>1455</v>
      </c>
      <c r="B930" s="4" t="s">
        <v>2492</v>
      </c>
      <c r="C930" s="4" t="s">
        <v>1497</v>
      </c>
      <c r="D930" s="4" t="s">
        <v>2492</v>
      </c>
    </row>
    <row r="931" spans="1:4" x14ac:dyDescent="0.25">
      <c r="A931" s="4" t="s">
        <v>1455</v>
      </c>
      <c r="B931" s="4" t="s">
        <v>2492</v>
      </c>
      <c r="C931" s="4" t="s">
        <v>2497</v>
      </c>
      <c r="D931" s="4" t="s">
        <v>2492</v>
      </c>
    </row>
    <row r="932" spans="1:4" x14ac:dyDescent="0.25">
      <c r="A932" s="4" t="s">
        <v>1459</v>
      </c>
      <c r="B932" s="4" t="s">
        <v>2492</v>
      </c>
      <c r="C932" s="4" t="s">
        <v>2492</v>
      </c>
      <c r="D932" s="4" t="s">
        <v>2492</v>
      </c>
    </row>
    <row r="933" spans="1:4" x14ac:dyDescent="0.25">
      <c r="A933" s="4" t="s">
        <v>1460</v>
      </c>
      <c r="B933" s="4" t="s">
        <v>2492</v>
      </c>
      <c r="C933" s="4" t="s">
        <v>2492</v>
      </c>
      <c r="D933" s="4" t="s">
        <v>2492</v>
      </c>
    </row>
    <row r="934" spans="1:4" x14ac:dyDescent="0.25">
      <c r="A934" s="4" t="s">
        <v>1462</v>
      </c>
      <c r="B934" s="4" t="s">
        <v>2524</v>
      </c>
      <c r="C934" s="4" t="s">
        <v>2524</v>
      </c>
      <c r="D934" s="4" t="s">
        <v>2524</v>
      </c>
    </row>
    <row r="935" spans="1:4" x14ac:dyDescent="0.25">
      <c r="A935" s="4" t="s">
        <v>1466</v>
      </c>
      <c r="B935" s="4" t="s">
        <v>2492</v>
      </c>
      <c r="C935" s="4" t="s">
        <v>2497</v>
      </c>
      <c r="D935" s="4" t="s">
        <v>2492</v>
      </c>
    </row>
    <row r="936" spans="1:4" x14ac:dyDescent="0.25">
      <c r="A936" s="4" t="s">
        <v>1467</v>
      </c>
      <c r="B936" s="4" t="s">
        <v>1497</v>
      </c>
      <c r="C936" s="4" t="s">
        <v>1497</v>
      </c>
      <c r="D936" s="4" t="s">
        <v>1497</v>
      </c>
    </row>
    <row r="937" spans="1:4" x14ac:dyDescent="0.25">
      <c r="A937" s="4" t="s">
        <v>1467</v>
      </c>
      <c r="B937" s="4" t="s">
        <v>2514</v>
      </c>
      <c r="C937" s="4" t="s">
        <v>2514</v>
      </c>
      <c r="D937" s="4" t="s">
        <v>2514</v>
      </c>
    </row>
    <row r="938" spans="1:4" x14ac:dyDescent="0.25">
      <c r="A938" s="4" t="s">
        <v>1470</v>
      </c>
      <c r="B938" s="4" t="s">
        <v>2492</v>
      </c>
      <c r="C938" s="4" t="s">
        <v>2492</v>
      </c>
      <c r="D938" s="4" t="s">
        <v>2492</v>
      </c>
    </row>
    <row r="939" spans="1:4" x14ac:dyDescent="0.25">
      <c r="A939" s="4" t="s">
        <v>1474</v>
      </c>
      <c r="B939" s="4" t="s">
        <v>444</v>
      </c>
      <c r="C939" s="4" t="s">
        <v>1497</v>
      </c>
      <c r="D939" s="4" t="s">
        <v>444</v>
      </c>
    </row>
    <row r="940" spans="1:4" x14ac:dyDescent="0.25">
      <c r="A940" s="4" t="s">
        <v>1475</v>
      </c>
      <c r="B940" s="4" t="s">
        <v>1497</v>
      </c>
      <c r="C940" s="4" t="s">
        <v>1497</v>
      </c>
      <c r="D940" s="4" t="s">
        <v>1497</v>
      </c>
    </row>
    <row r="941" spans="1:4" x14ac:dyDescent="0.25">
      <c r="A941" s="4" t="s">
        <v>1481</v>
      </c>
      <c r="B941" s="4" t="s">
        <v>2494</v>
      </c>
      <c r="C941" s="4" t="s">
        <v>2494</v>
      </c>
      <c r="D941" s="4" t="s">
        <v>2494</v>
      </c>
    </row>
    <row r="942" spans="1:4" x14ac:dyDescent="0.25">
      <c r="A942" s="4" t="s">
        <v>1483</v>
      </c>
      <c r="B942" s="4" t="s">
        <v>443</v>
      </c>
      <c r="C942" s="4" t="s">
        <v>1497</v>
      </c>
      <c r="D942" s="4" t="s">
        <v>443</v>
      </c>
    </row>
    <row r="943" spans="1:4" x14ac:dyDescent="0.25">
      <c r="A943" s="4" t="s">
        <v>1483</v>
      </c>
      <c r="B943" s="4" t="s">
        <v>443</v>
      </c>
      <c r="C943" s="4" t="s">
        <v>2497</v>
      </c>
      <c r="D943" s="4" t="s">
        <v>443</v>
      </c>
    </row>
    <row r="944" spans="1:4" x14ac:dyDescent="0.25">
      <c r="A944" s="4" t="s">
        <v>1483</v>
      </c>
      <c r="B944" s="4" t="s">
        <v>444</v>
      </c>
      <c r="C944" s="4" t="s">
        <v>1497</v>
      </c>
      <c r="D944" s="4" t="s">
        <v>444</v>
      </c>
    </row>
    <row r="945" spans="1:4" x14ac:dyDescent="0.25">
      <c r="A945" s="4" t="s">
        <v>1483</v>
      </c>
      <c r="B945" s="4" t="s">
        <v>2492</v>
      </c>
      <c r="C945" s="4" t="s">
        <v>2497</v>
      </c>
      <c r="D945" s="4" t="s">
        <v>2492</v>
      </c>
    </row>
    <row r="946" spans="1:4" x14ac:dyDescent="0.25">
      <c r="A946" s="4" t="s">
        <v>1488</v>
      </c>
      <c r="B946" s="4" t="s">
        <v>2514</v>
      </c>
      <c r="C946" s="4" t="s">
        <v>2514</v>
      </c>
      <c r="D946" s="4" t="s">
        <v>2514</v>
      </c>
    </row>
    <row r="947" spans="1:4" x14ac:dyDescent="0.25">
      <c r="A947" s="4" t="s">
        <v>1488</v>
      </c>
      <c r="B947" s="4" t="s">
        <v>2498</v>
      </c>
      <c r="C947" s="4" t="s">
        <v>2498</v>
      </c>
      <c r="D947" s="4" t="s">
        <v>2498</v>
      </c>
    </row>
    <row r="948" spans="1:4" x14ac:dyDescent="0.25">
      <c r="A948" s="4" t="s">
        <v>1494</v>
      </c>
      <c r="B948" s="4" t="s">
        <v>2492</v>
      </c>
      <c r="C948" s="4" t="s">
        <v>2492</v>
      </c>
      <c r="D948" s="4" t="s">
        <v>2492</v>
      </c>
    </row>
    <row r="949" spans="1:4" x14ac:dyDescent="0.25">
      <c r="A949" s="4" t="s">
        <v>1497</v>
      </c>
      <c r="B949" s="4" t="s">
        <v>444</v>
      </c>
      <c r="C949" s="4" t="s">
        <v>1497</v>
      </c>
      <c r="D949" s="4" t="s">
        <v>444</v>
      </c>
    </row>
    <row r="950" spans="1:4" x14ac:dyDescent="0.25">
      <c r="A950" s="4" t="s">
        <v>1497</v>
      </c>
      <c r="B950" s="4" t="s">
        <v>2492</v>
      </c>
      <c r="C950" s="4" t="s">
        <v>1497</v>
      </c>
      <c r="D950" s="4" t="s">
        <v>2492</v>
      </c>
    </row>
    <row r="951" spans="1:4" x14ac:dyDescent="0.25">
      <c r="A951" s="4" t="s">
        <v>1514</v>
      </c>
      <c r="B951" s="4" t="s">
        <v>443</v>
      </c>
      <c r="C951" s="4" t="s">
        <v>1497</v>
      </c>
      <c r="D951" s="4" t="s">
        <v>443</v>
      </c>
    </row>
    <row r="952" spans="1:4" x14ac:dyDescent="0.25">
      <c r="A952" s="4" t="s">
        <v>1514</v>
      </c>
      <c r="B952" s="4" t="s">
        <v>2492</v>
      </c>
      <c r="C952" s="4" t="s">
        <v>1497</v>
      </c>
      <c r="D952" s="4" t="s">
        <v>2492</v>
      </c>
    </row>
    <row r="953" spans="1:4" x14ac:dyDescent="0.25">
      <c r="A953" s="4" t="s">
        <v>1514</v>
      </c>
      <c r="B953" s="4" t="s">
        <v>2492</v>
      </c>
      <c r="C953" s="4" t="s">
        <v>2497</v>
      </c>
      <c r="D953" s="4" t="s">
        <v>2492</v>
      </c>
    </row>
    <row r="954" spans="1:4" x14ac:dyDescent="0.25">
      <c r="A954" s="4" t="s">
        <v>1515</v>
      </c>
      <c r="B954" s="4" t="s">
        <v>443</v>
      </c>
      <c r="C954" s="4" t="s">
        <v>1497</v>
      </c>
      <c r="D954" s="4" t="s">
        <v>443</v>
      </c>
    </row>
    <row r="955" spans="1:4" x14ac:dyDescent="0.25">
      <c r="A955" s="4" t="s">
        <v>1517</v>
      </c>
      <c r="B955" s="4" t="s">
        <v>2498</v>
      </c>
      <c r="C955" s="4" t="s">
        <v>2498</v>
      </c>
      <c r="D955" s="4" t="s">
        <v>2498</v>
      </c>
    </row>
    <row r="956" spans="1:4" x14ac:dyDescent="0.25">
      <c r="A956" s="4" t="s">
        <v>1517</v>
      </c>
      <c r="B956" s="4" t="s">
        <v>2497</v>
      </c>
      <c r="C956" s="4" t="s">
        <v>2497</v>
      </c>
      <c r="D956" s="4" t="s">
        <v>2497</v>
      </c>
    </row>
    <row r="957" spans="1:4" x14ac:dyDescent="0.25">
      <c r="A957" s="4" t="s">
        <v>1518</v>
      </c>
      <c r="B957" s="4" t="s">
        <v>1497</v>
      </c>
      <c r="C957" s="4" t="s">
        <v>1497</v>
      </c>
      <c r="D957" s="4" t="s">
        <v>1497</v>
      </c>
    </row>
    <row r="958" spans="1:4" x14ac:dyDescent="0.25">
      <c r="A958" s="4" t="s">
        <v>1518</v>
      </c>
      <c r="B958" s="4" t="s">
        <v>2498</v>
      </c>
      <c r="C958" s="4" t="s">
        <v>2498</v>
      </c>
      <c r="D958" s="4" t="s">
        <v>2498</v>
      </c>
    </row>
    <row r="959" spans="1:4" x14ac:dyDescent="0.25">
      <c r="A959" s="4" t="s">
        <v>1526</v>
      </c>
      <c r="B959" s="4" t="s">
        <v>2492</v>
      </c>
      <c r="C959" s="4" t="s">
        <v>1497</v>
      </c>
      <c r="D959" s="4" t="s">
        <v>2492</v>
      </c>
    </row>
    <row r="960" spans="1:4" x14ac:dyDescent="0.25">
      <c r="A960" s="4" t="s">
        <v>1526</v>
      </c>
      <c r="B960" s="4" t="s">
        <v>2492</v>
      </c>
      <c r="C960" s="4" t="s">
        <v>2497</v>
      </c>
      <c r="D960" s="4" t="s">
        <v>2492</v>
      </c>
    </row>
    <row r="961" spans="1:4" x14ac:dyDescent="0.25">
      <c r="A961" s="4" t="s">
        <v>1527</v>
      </c>
      <c r="B961" s="4" t="s">
        <v>2492</v>
      </c>
      <c r="C961" s="4" t="s">
        <v>1497</v>
      </c>
      <c r="D961" s="4" t="s">
        <v>2492</v>
      </c>
    </row>
    <row r="962" spans="1:4" x14ac:dyDescent="0.25">
      <c r="A962" s="4" t="s">
        <v>1527</v>
      </c>
      <c r="B962" s="4" t="s">
        <v>2492</v>
      </c>
      <c r="C962" s="4" t="s">
        <v>2497</v>
      </c>
      <c r="D962" s="4" t="s">
        <v>2492</v>
      </c>
    </row>
    <row r="963" spans="1:4" x14ac:dyDescent="0.25">
      <c r="A963" s="4" t="s">
        <v>1528</v>
      </c>
      <c r="B963" s="4" t="s">
        <v>2492</v>
      </c>
      <c r="C963" s="4" t="s">
        <v>1497</v>
      </c>
      <c r="D963" s="4" t="s">
        <v>2492</v>
      </c>
    </row>
    <row r="964" spans="1:4" x14ac:dyDescent="0.25">
      <c r="A964" s="4" t="s">
        <v>1536</v>
      </c>
      <c r="B964" s="4" t="s">
        <v>1497</v>
      </c>
      <c r="C964" s="4" t="s">
        <v>1497</v>
      </c>
      <c r="D964" s="4" t="s">
        <v>1497</v>
      </c>
    </row>
    <row r="965" spans="1:4" x14ac:dyDescent="0.25">
      <c r="A965" s="4" t="s">
        <v>1538</v>
      </c>
      <c r="B965" s="4" t="s">
        <v>2492</v>
      </c>
      <c r="C965" s="4" t="s">
        <v>1497</v>
      </c>
      <c r="D965" s="4" t="s">
        <v>2492</v>
      </c>
    </row>
    <row r="966" spans="1:4" x14ac:dyDescent="0.25">
      <c r="A966" s="4" t="s">
        <v>1538</v>
      </c>
      <c r="B966" s="4" t="s">
        <v>2492</v>
      </c>
      <c r="C966" s="4" t="s">
        <v>2497</v>
      </c>
      <c r="D966" s="4" t="s">
        <v>2492</v>
      </c>
    </row>
    <row r="967" spans="1:4" x14ac:dyDescent="0.25">
      <c r="A967" s="4" t="s">
        <v>1542</v>
      </c>
      <c r="B967" s="4" t="s">
        <v>2498</v>
      </c>
      <c r="C967" s="4" t="s">
        <v>2498</v>
      </c>
      <c r="D967" s="4" t="s">
        <v>2498</v>
      </c>
    </row>
    <row r="968" spans="1:4" x14ac:dyDescent="0.25">
      <c r="A968" s="4" t="s">
        <v>1551</v>
      </c>
      <c r="B968" s="4" t="s">
        <v>1497</v>
      </c>
      <c r="C968" s="4" t="s">
        <v>1497</v>
      </c>
      <c r="D968" s="4" t="s">
        <v>1497</v>
      </c>
    </row>
    <row r="969" spans="1:4" x14ac:dyDescent="0.25">
      <c r="A969" s="4" t="s">
        <v>1553</v>
      </c>
      <c r="B969" s="4" t="s">
        <v>1497</v>
      </c>
      <c r="C969" s="4" t="s">
        <v>1497</v>
      </c>
      <c r="D969" s="4" t="s">
        <v>1497</v>
      </c>
    </row>
    <row r="970" spans="1:4" x14ac:dyDescent="0.25">
      <c r="A970" s="4" t="s">
        <v>1558</v>
      </c>
      <c r="B970" s="4" t="s">
        <v>2492</v>
      </c>
      <c r="C970" s="4" t="s">
        <v>1497</v>
      </c>
      <c r="D970" s="4" t="s">
        <v>2492</v>
      </c>
    </row>
    <row r="971" spans="1:4" x14ac:dyDescent="0.25">
      <c r="A971" s="4" t="s">
        <v>1563</v>
      </c>
      <c r="B971" s="4" t="s">
        <v>2492</v>
      </c>
      <c r="C971" s="4" t="s">
        <v>1497</v>
      </c>
      <c r="D971" s="4" t="s">
        <v>2492</v>
      </c>
    </row>
    <row r="972" spans="1:4" x14ac:dyDescent="0.25">
      <c r="A972" s="4" t="s">
        <v>1563</v>
      </c>
      <c r="B972" s="4" t="s">
        <v>2492</v>
      </c>
      <c r="C972" s="4" t="s">
        <v>2497</v>
      </c>
      <c r="D972" s="4" t="s">
        <v>2492</v>
      </c>
    </row>
    <row r="973" spans="1:4" x14ac:dyDescent="0.25">
      <c r="A973" s="4" t="s">
        <v>1567</v>
      </c>
      <c r="B973" s="4" t="s">
        <v>2492</v>
      </c>
      <c r="C973" s="4" t="s">
        <v>1497</v>
      </c>
      <c r="D973" s="4" t="s">
        <v>2492</v>
      </c>
    </row>
    <row r="974" spans="1:4" x14ac:dyDescent="0.25">
      <c r="A974" s="4" t="s">
        <v>1571</v>
      </c>
      <c r="B974" s="4" t="s">
        <v>2492</v>
      </c>
      <c r="C974" s="4" t="s">
        <v>1497</v>
      </c>
      <c r="D974" s="4" t="s">
        <v>2492</v>
      </c>
    </row>
    <row r="975" spans="1:4" x14ac:dyDescent="0.25">
      <c r="A975" s="4" t="s">
        <v>1571</v>
      </c>
      <c r="B975" s="4" t="s">
        <v>2492</v>
      </c>
      <c r="C975" s="4" t="s">
        <v>2497</v>
      </c>
      <c r="D975" s="4" t="s">
        <v>2492</v>
      </c>
    </row>
    <row r="976" spans="1:4" x14ac:dyDescent="0.25">
      <c r="A976" s="4" t="s">
        <v>1572</v>
      </c>
      <c r="B976" s="4" t="s">
        <v>2492</v>
      </c>
      <c r="C976" s="4" t="s">
        <v>1497</v>
      </c>
      <c r="D976" s="4" t="s">
        <v>2492</v>
      </c>
    </row>
    <row r="977" spans="1:4" x14ac:dyDescent="0.25">
      <c r="A977" s="4" t="s">
        <v>1572</v>
      </c>
      <c r="B977" s="4" t="s">
        <v>2492</v>
      </c>
      <c r="C977" s="4" t="s">
        <v>2497</v>
      </c>
      <c r="D977" s="4" t="s">
        <v>2492</v>
      </c>
    </row>
    <row r="978" spans="1:4" x14ac:dyDescent="0.25">
      <c r="A978" s="4" t="s">
        <v>1575</v>
      </c>
      <c r="B978" s="4" t="s">
        <v>2492</v>
      </c>
      <c r="C978" s="4" t="s">
        <v>2492</v>
      </c>
      <c r="D978" s="4" t="s">
        <v>2492</v>
      </c>
    </row>
    <row r="979" spans="1:4" x14ac:dyDescent="0.25">
      <c r="A979" s="4" t="s">
        <v>1576</v>
      </c>
      <c r="B979" s="4" t="s">
        <v>443</v>
      </c>
      <c r="C979" s="4" t="s">
        <v>2492</v>
      </c>
      <c r="D979" s="4" t="s">
        <v>443</v>
      </c>
    </row>
    <row r="980" spans="1:4" x14ac:dyDescent="0.25">
      <c r="A980" s="4" t="s">
        <v>1576</v>
      </c>
      <c r="B980" s="4" t="s">
        <v>443</v>
      </c>
      <c r="C980" s="4" t="s">
        <v>1497</v>
      </c>
      <c r="D980" s="4" t="s">
        <v>443</v>
      </c>
    </row>
    <row r="981" spans="1:4" x14ac:dyDescent="0.25">
      <c r="A981" s="4" t="s">
        <v>1576</v>
      </c>
      <c r="B981" s="4" t="s">
        <v>444</v>
      </c>
      <c r="C981" s="4" t="s">
        <v>1497</v>
      </c>
      <c r="D981" s="4" t="s">
        <v>444</v>
      </c>
    </row>
    <row r="982" spans="1:4" x14ac:dyDescent="0.25">
      <c r="A982" s="4" t="s">
        <v>1578</v>
      </c>
      <c r="B982" s="4" t="s">
        <v>2494</v>
      </c>
      <c r="C982" s="4" t="s">
        <v>2494</v>
      </c>
      <c r="D982" s="4" t="s">
        <v>2494</v>
      </c>
    </row>
    <row r="983" spans="1:4" x14ac:dyDescent="0.25">
      <c r="A983" s="4" t="s">
        <v>1578</v>
      </c>
      <c r="B983" s="4" t="s">
        <v>2493</v>
      </c>
      <c r="C983" s="4" t="s">
        <v>2493</v>
      </c>
      <c r="D983" s="4" t="s">
        <v>2493</v>
      </c>
    </row>
    <row r="984" spans="1:4" x14ac:dyDescent="0.25">
      <c r="A984" s="4" t="s">
        <v>1578</v>
      </c>
      <c r="B984" s="4" t="s">
        <v>1497</v>
      </c>
      <c r="C984" s="4" t="s">
        <v>1497</v>
      </c>
      <c r="D984" s="4" t="s">
        <v>1497</v>
      </c>
    </row>
    <row r="985" spans="1:4" x14ac:dyDescent="0.25">
      <c r="A985" s="4" t="s">
        <v>1584</v>
      </c>
      <c r="B985" s="4" t="s">
        <v>2506</v>
      </c>
      <c r="C985" s="4" t="s">
        <v>2506</v>
      </c>
      <c r="D985" s="4" t="s">
        <v>2506</v>
      </c>
    </row>
    <row r="986" spans="1:4" x14ac:dyDescent="0.25">
      <c r="A986" s="4" t="s">
        <v>1585</v>
      </c>
      <c r="B986" s="4" t="s">
        <v>443</v>
      </c>
      <c r="C986" s="4" t="s">
        <v>1497</v>
      </c>
      <c r="D986" s="4" t="s">
        <v>443</v>
      </c>
    </row>
    <row r="987" spans="1:4" x14ac:dyDescent="0.25">
      <c r="A987" s="4" t="s">
        <v>1585</v>
      </c>
      <c r="B987" s="4" t="s">
        <v>2492</v>
      </c>
      <c r="C987" s="4" t="s">
        <v>1497</v>
      </c>
      <c r="D987" s="4" t="s">
        <v>2492</v>
      </c>
    </row>
    <row r="988" spans="1:4" x14ac:dyDescent="0.25">
      <c r="A988" s="4" t="s">
        <v>1586</v>
      </c>
      <c r="B988" s="4" t="s">
        <v>443</v>
      </c>
      <c r="C988" s="4" t="s">
        <v>1497</v>
      </c>
      <c r="D988" s="4" t="s">
        <v>443</v>
      </c>
    </row>
    <row r="989" spans="1:4" x14ac:dyDescent="0.25">
      <c r="A989" s="4" t="s">
        <v>1586</v>
      </c>
      <c r="B989" s="4" t="s">
        <v>443</v>
      </c>
      <c r="C989" s="4" t="s">
        <v>1497</v>
      </c>
      <c r="D989" s="4" t="s">
        <v>2492</v>
      </c>
    </row>
    <row r="990" spans="1:4" x14ac:dyDescent="0.25">
      <c r="A990" s="4" t="s">
        <v>1586</v>
      </c>
      <c r="B990" s="4" t="s">
        <v>444</v>
      </c>
      <c r="C990" s="4" t="s">
        <v>2505</v>
      </c>
      <c r="D990" s="4" t="s">
        <v>444</v>
      </c>
    </row>
    <row r="991" spans="1:4" x14ac:dyDescent="0.25">
      <c r="A991" s="4" t="s">
        <v>1586</v>
      </c>
      <c r="B991" s="4" t="s">
        <v>444</v>
      </c>
      <c r="C991" s="4" t="s">
        <v>1497</v>
      </c>
      <c r="D991" s="4" t="s">
        <v>444</v>
      </c>
    </row>
    <row r="992" spans="1:4" x14ac:dyDescent="0.25">
      <c r="A992" s="4" t="s">
        <v>1586</v>
      </c>
      <c r="B992" s="4" t="s">
        <v>2492</v>
      </c>
      <c r="C992" s="4" t="s">
        <v>1497</v>
      </c>
      <c r="D992" s="4" t="s">
        <v>2492</v>
      </c>
    </row>
    <row r="993" spans="1:4" x14ac:dyDescent="0.25">
      <c r="A993" s="4" t="s">
        <v>1586</v>
      </c>
      <c r="B993" s="4" t="s">
        <v>2492</v>
      </c>
      <c r="C993" s="4" t="s">
        <v>2497</v>
      </c>
      <c r="D993" s="4" t="s">
        <v>2492</v>
      </c>
    </row>
    <row r="994" spans="1:4" x14ac:dyDescent="0.25">
      <c r="A994" s="4" t="s">
        <v>1592</v>
      </c>
      <c r="B994" s="4" t="s">
        <v>443</v>
      </c>
      <c r="C994" s="4" t="s">
        <v>1497</v>
      </c>
      <c r="D994" s="4" t="s">
        <v>443</v>
      </c>
    </row>
    <row r="995" spans="1:4" x14ac:dyDescent="0.25">
      <c r="A995" s="4" t="s">
        <v>1592</v>
      </c>
      <c r="B995" s="4" t="s">
        <v>443</v>
      </c>
      <c r="C995" s="4" t="s">
        <v>1497</v>
      </c>
      <c r="D995" s="4" t="s">
        <v>2492</v>
      </c>
    </row>
    <row r="996" spans="1:4" x14ac:dyDescent="0.25">
      <c r="A996" s="4" t="s">
        <v>1592</v>
      </c>
      <c r="B996" s="4" t="s">
        <v>444</v>
      </c>
      <c r="C996" s="4" t="s">
        <v>1497</v>
      </c>
      <c r="D996" s="4" t="s">
        <v>444</v>
      </c>
    </row>
    <row r="997" spans="1:4" x14ac:dyDescent="0.25">
      <c r="A997" s="4" t="s">
        <v>1592</v>
      </c>
      <c r="B997" s="4" t="s">
        <v>2492</v>
      </c>
      <c r="C997" s="4" t="s">
        <v>1497</v>
      </c>
      <c r="D997" s="4" t="s">
        <v>2492</v>
      </c>
    </row>
    <row r="998" spans="1:4" x14ac:dyDescent="0.25">
      <c r="A998" s="4" t="s">
        <v>1595</v>
      </c>
      <c r="B998" s="4" t="s">
        <v>2549</v>
      </c>
      <c r="C998" s="4" t="s">
        <v>2549</v>
      </c>
      <c r="D998" s="4" t="s">
        <v>2549</v>
      </c>
    </row>
    <row r="999" spans="1:4" x14ac:dyDescent="0.25">
      <c r="A999" s="4" t="s">
        <v>1596</v>
      </c>
      <c r="B999" s="4" t="s">
        <v>2514</v>
      </c>
      <c r="C999" s="4" t="s">
        <v>2514</v>
      </c>
      <c r="D999" s="4" t="s">
        <v>2514</v>
      </c>
    </row>
    <row r="1000" spans="1:4" x14ac:dyDescent="0.25">
      <c r="A1000" s="4" t="s">
        <v>1596</v>
      </c>
      <c r="B1000" s="4" t="s">
        <v>2516</v>
      </c>
      <c r="C1000" s="4" t="s">
        <v>2516</v>
      </c>
      <c r="D1000" s="4" t="s">
        <v>2516</v>
      </c>
    </row>
    <row r="1001" spans="1:4" x14ac:dyDescent="0.25">
      <c r="A1001" s="4" t="s">
        <v>1597</v>
      </c>
      <c r="B1001" s="4" t="s">
        <v>2498</v>
      </c>
      <c r="C1001" s="4" t="s">
        <v>2498</v>
      </c>
      <c r="D1001" s="4" t="s">
        <v>2498</v>
      </c>
    </row>
    <row r="1002" spans="1:4" x14ac:dyDescent="0.25">
      <c r="A1002" s="4" t="s">
        <v>1603</v>
      </c>
      <c r="B1002" s="4" t="s">
        <v>2492</v>
      </c>
      <c r="C1002" s="4" t="s">
        <v>1497</v>
      </c>
      <c r="D1002" s="4" t="s">
        <v>2492</v>
      </c>
    </row>
    <row r="1003" spans="1:4" x14ac:dyDescent="0.25">
      <c r="A1003" s="4" t="s">
        <v>1604</v>
      </c>
      <c r="B1003" s="4" t="s">
        <v>1497</v>
      </c>
      <c r="C1003" s="4" t="s">
        <v>1497</v>
      </c>
      <c r="D1003" s="4" t="s">
        <v>1497</v>
      </c>
    </row>
    <row r="1004" spans="1:4" x14ac:dyDescent="0.25">
      <c r="A1004" s="4" t="s">
        <v>1606</v>
      </c>
      <c r="B1004" s="4" t="s">
        <v>2552</v>
      </c>
      <c r="C1004" s="4" t="s">
        <v>2552</v>
      </c>
      <c r="D1004" s="4" t="s">
        <v>2552</v>
      </c>
    </row>
    <row r="1005" spans="1:4" x14ac:dyDescent="0.25">
      <c r="A1005" s="4" t="s">
        <v>1606</v>
      </c>
      <c r="B1005" s="4" t="s">
        <v>2493</v>
      </c>
      <c r="C1005" s="4" t="s">
        <v>2493</v>
      </c>
      <c r="D1005" s="4" t="s">
        <v>2493</v>
      </c>
    </row>
    <row r="1006" spans="1:4" x14ac:dyDescent="0.25">
      <c r="A1006" s="4" t="s">
        <v>1606</v>
      </c>
      <c r="B1006" s="4" t="s">
        <v>2499</v>
      </c>
      <c r="C1006" s="4" t="s">
        <v>2499</v>
      </c>
      <c r="D1006" s="4" t="s">
        <v>2499</v>
      </c>
    </row>
    <row r="1007" spans="1:4" x14ac:dyDescent="0.25">
      <c r="A1007" s="4" t="s">
        <v>1606</v>
      </c>
      <c r="B1007" s="4" t="s">
        <v>2520</v>
      </c>
      <c r="C1007" s="4" t="s">
        <v>2520</v>
      </c>
      <c r="D1007" s="4" t="s">
        <v>2520</v>
      </c>
    </row>
    <row r="1008" spans="1:4" x14ac:dyDescent="0.25">
      <c r="A1008" s="4" t="s">
        <v>1606</v>
      </c>
      <c r="B1008" s="4" t="s">
        <v>2492</v>
      </c>
      <c r="C1008" s="4" t="s">
        <v>2492</v>
      </c>
      <c r="D1008" s="4" t="s">
        <v>2492</v>
      </c>
    </row>
    <row r="1009" spans="1:4" x14ac:dyDescent="0.25">
      <c r="A1009" s="4" t="s">
        <v>1606</v>
      </c>
      <c r="B1009" s="4" t="s">
        <v>2540</v>
      </c>
      <c r="C1009" s="4" t="s">
        <v>2540</v>
      </c>
      <c r="D1009" s="4" t="s">
        <v>2540</v>
      </c>
    </row>
    <row r="1010" spans="1:4" x14ac:dyDescent="0.25">
      <c r="A1010" s="4" t="s">
        <v>1606</v>
      </c>
      <c r="B1010" s="4" t="s">
        <v>2547</v>
      </c>
      <c r="C1010" s="4" t="s">
        <v>2547</v>
      </c>
      <c r="D1010" s="4" t="s">
        <v>2547</v>
      </c>
    </row>
    <row r="1011" spans="1:4" x14ac:dyDescent="0.25">
      <c r="A1011" s="4" t="s">
        <v>1606</v>
      </c>
      <c r="B1011" s="4" t="s">
        <v>2508</v>
      </c>
      <c r="C1011" s="4" t="s">
        <v>2508</v>
      </c>
      <c r="D1011" s="4" t="s">
        <v>2508</v>
      </c>
    </row>
    <row r="1012" spans="1:4" x14ac:dyDescent="0.25">
      <c r="A1012" s="4" t="s">
        <v>1606</v>
      </c>
      <c r="B1012" s="4" t="s">
        <v>2526</v>
      </c>
      <c r="C1012" s="4" t="s">
        <v>2526</v>
      </c>
      <c r="D1012" s="4" t="s">
        <v>2526</v>
      </c>
    </row>
    <row r="1013" spans="1:4" x14ac:dyDescent="0.25">
      <c r="A1013" s="4" t="s">
        <v>1606</v>
      </c>
      <c r="B1013" s="4" t="s">
        <v>2548</v>
      </c>
      <c r="C1013" s="4" t="s">
        <v>2548</v>
      </c>
      <c r="D1013" s="4" t="s">
        <v>2548</v>
      </c>
    </row>
    <row r="1014" spans="1:4" x14ac:dyDescent="0.25">
      <c r="A1014" s="4" t="s">
        <v>1606</v>
      </c>
      <c r="B1014" s="4" t="s">
        <v>2521</v>
      </c>
      <c r="C1014" s="4" t="s">
        <v>2521</v>
      </c>
      <c r="D1014" s="4" t="s">
        <v>2521</v>
      </c>
    </row>
    <row r="1015" spans="1:4" x14ac:dyDescent="0.25">
      <c r="A1015" s="4" t="s">
        <v>1606</v>
      </c>
      <c r="B1015" s="4" t="s">
        <v>2501</v>
      </c>
      <c r="C1015" s="4" t="s">
        <v>2501</v>
      </c>
      <c r="D1015" s="4" t="s">
        <v>2501</v>
      </c>
    </row>
    <row r="1016" spans="1:4" x14ac:dyDescent="0.25">
      <c r="A1016" s="4" t="s">
        <v>1606</v>
      </c>
      <c r="B1016" s="4" t="s">
        <v>2530</v>
      </c>
      <c r="C1016" s="4" t="s">
        <v>2530</v>
      </c>
      <c r="D1016" s="4" t="s">
        <v>2530</v>
      </c>
    </row>
    <row r="1017" spans="1:4" x14ac:dyDescent="0.25">
      <c r="A1017" s="4" t="s">
        <v>1606</v>
      </c>
      <c r="B1017" s="4" t="s">
        <v>2531</v>
      </c>
      <c r="C1017" s="4" t="s">
        <v>2531</v>
      </c>
      <c r="D1017" s="4" t="s">
        <v>2531</v>
      </c>
    </row>
    <row r="1018" spans="1:4" x14ac:dyDescent="0.25">
      <c r="A1018" s="4" t="s">
        <v>1606</v>
      </c>
      <c r="B1018" s="4" t="s">
        <v>2510</v>
      </c>
      <c r="C1018" s="4" t="s">
        <v>2510</v>
      </c>
      <c r="D1018" s="4" t="s">
        <v>2510</v>
      </c>
    </row>
    <row r="1019" spans="1:4" x14ac:dyDescent="0.25">
      <c r="A1019" s="4" t="s">
        <v>1606</v>
      </c>
      <c r="B1019" s="4" t="s">
        <v>2512</v>
      </c>
      <c r="C1019" s="4" t="s">
        <v>2512</v>
      </c>
      <c r="D1019" s="4" t="s">
        <v>2512</v>
      </c>
    </row>
    <row r="1020" spans="1:4" x14ac:dyDescent="0.25">
      <c r="A1020" s="4" t="s">
        <v>1606</v>
      </c>
      <c r="B1020" s="4" t="s">
        <v>2495</v>
      </c>
      <c r="C1020" s="4" t="s">
        <v>2495</v>
      </c>
      <c r="D1020" s="4" t="s">
        <v>2495</v>
      </c>
    </row>
    <row r="1021" spans="1:4" x14ac:dyDescent="0.25">
      <c r="A1021" s="4" t="s">
        <v>1606</v>
      </c>
      <c r="B1021" s="4" t="s">
        <v>1497</v>
      </c>
      <c r="C1021" s="4" t="s">
        <v>1497</v>
      </c>
      <c r="D1021" s="4" t="s">
        <v>1497</v>
      </c>
    </row>
    <row r="1022" spans="1:4" x14ac:dyDescent="0.25">
      <c r="A1022" s="4" t="s">
        <v>1606</v>
      </c>
      <c r="B1022" s="4" t="s">
        <v>2534</v>
      </c>
      <c r="C1022" s="4" t="s">
        <v>2534</v>
      </c>
      <c r="D1022" s="4" t="s">
        <v>2534</v>
      </c>
    </row>
    <row r="1023" spans="1:4" x14ac:dyDescent="0.25">
      <c r="A1023" s="4" t="s">
        <v>1606</v>
      </c>
      <c r="B1023" s="4" t="s">
        <v>2535</v>
      </c>
      <c r="C1023" s="4" t="s">
        <v>2535</v>
      </c>
      <c r="D1023" s="4" t="s">
        <v>2535</v>
      </c>
    </row>
    <row r="1024" spans="1:4" x14ac:dyDescent="0.25">
      <c r="A1024" s="4" t="s">
        <v>1606</v>
      </c>
      <c r="B1024" s="4" t="s">
        <v>2513</v>
      </c>
      <c r="C1024" s="4" t="s">
        <v>2513</v>
      </c>
      <c r="D1024" s="4" t="s">
        <v>2513</v>
      </c>
    </row>
    <row r="1025" spans="1:4" x14ac:dyDescent="0.25">
      <c r="A1025" s="4" t="s">
        <v>1606</v>
      </c>
      <c r="B1025" s="4" t="s">
        <v>2502</v>
      </c>
      <c r="C1025" s="4" t="s">
        <v>2502</v>
      </c>
      <c r="D1025" s="4" t="s">
        <v>2502</v>
      </c>
    </row>
    <row r="1026" spans="1:4" x14ac:dyDescent="0.25">
      <c r="A1026" s="4" t="s">
        <v>1606</v>
      </c>
      <c r="B1026" s="4" t="s">
        <v>2541</v>
      </c>
      <c r="C1026" s="4" t="s">
        <v>2541</v>
      </c>
      <c r="D1026" s="4" t="s">
        <v>2541</v>
      </c>
    </row>
    <row r="1027" spans="1:4" x14ac:dyDescent="0.25">
      <c r="A1027" s="4" t="s">
        <v>1606</v>
      </c>
      <c r="B1027" s="4" t="s">
        <v>2496</v>
      </c>
      <c r="C1027" s="4" t="s">
        <v>2496</v>
      </c>
      <c r="D1027" s="4" t="s">
        <v>2496</v>
      </c>
    </row>
    <row r="1028" spans="1:4" x14ac:dyDescent="0.25">
      <c r="A1028" s="4" t="s">
        <v>1606</v>
      </c>
      <c r="B1028" s="4" t="s">
        <v>2498</v>
      </c>
      <c r="C1028" s="4" t="s">
        <v>2498</v>
      </c>
      <c r="D1028" s="4" t="s">
        <v>2498</v>
      </c>
    </row>
    <row r="1029" spans="1:4" x14ac:dyDescent="0.25">
      <c r="A1029" s="4" t="s">
        <v>1606</v>
      </c>
      <c r="B1029" s="4" t="s">
        <v>2517</v>
      </c>
      <c r="C1029" s="4" t="s">
        <v>2517</v>
      </c>
      <c r="D1029" s="4" t="s">
        <v>2517</v>
      </c>
    </row>
    <row r="1030" spans="1:4" x14ac:dyDescent="0.25">
      <c r="A1030" s="4" t="s">
        <v>1606</v>
      </c>
      <c r="B1030" s="4" t="s">
        <v>2523</v>
      </c>
      <c r="C1030" s="4" t="s">
        <v>2523</v>
      </c>
      <c r="D1030" s="4" t="s">
        <v>2523</v>
      </c>
    </row>
    <row r="1031" spans="1:4" x14ac:dyDescent="0.25">
      <c r="A1031" s="4" t="s">
        <v>1606</v>
      </c>
      <c r="B1031" s="4" t="s">
        <v>2538</v>
      </c>
      <c r="C1031" s="4" t="s">
        <v>2538</v>
      </c>
      <c r="D1031" s="4" t="s">
        <v>2538</v>
      </c>
    </row>
    <row r="1032" spans="1:4" x14ac:dyDescent="0.25">
      <c r="A1032" s="4" t="s">
        <v>1606</v>
      </c>
      <c r="B1032" s="4" t="s">
        <v>2539</v>
      </c>
      <c r="C1032" s="4" t="s">
        <v>2539</v>
      </c>
      <c r="D1032" s="4" t="s">
        <v>2539</v>
      </c>
    </row>
    <row r="1033" spans="1:4" x14ac:dyDescent="0.25">
      <c r="A1033" s="4" t="s">
        <v>1608</v>
      </c>
      <c r="B1033" s="4" t="s">
        <v>2498</v>
      </c>
      <c r="C1033" s="4" t="s">
        <v>2498</v>
      </c>
      <c r="D1033" s="4" t="s">
        <v>2498</v>
      </c>
    </row>
    <row r="1034" spans="1:4" x14ac:dyDescent="0.25">
      <c r="A1034" s="4" t="s">
        <v>1612</v>
      </c>
      <c r="B1034" s="4" t="s">
        <v>2492</v>
      </c>
      <c r="C1034" s="4" t="s">
        <v>1497</v>
      </c>
      <c r="D1034" s="4" t="s">
        <v>2492</v>
      </c>
    </row>
    <row r="1035" spans="1:4" x14ac:dyDescent="0.25">
      <c r="A1035" s="4" t="s">
        <v>1612</v>
      </c>
      <c r="B1035" s="4" t="s">
        <v>2492</v>
      </c>
      <c r="C1035" s="4" t="s">
        <v>2497</v>
      </c>
      <c r="D1035" s="4" t="s">
        <v>2492</v>
      </c>
    </row>
    <row r="1036" spans="1:4" x14ac:dyDescent="0.25">
      <c r="A1036" s="4" t="s">
        <v>1616</v>
      </c>
      <c r="B1036" s="4" t="s">
        <v>2492</v>
      </c>
      <c r="C1036" s="4" t="s">
        <v>1497</v>
      </c>
      <c r="D1036" s="4" t="s">
        <v>2492</v>
      </c>
    </row>
    <row r="1037" spans="1:4" x14ac:dyDescent="0.25">
      <c r="A1037" s="4" t="s">
        <v>1617</v>
      </c>
      <c r="B1037" s="4" t="s">
        <v>2492</v>
      </c>
      <c r="C1037" s="4" t="s">
        <v>1497</v>
      </c>
      <c r="D1037" s="4" t="s">
        <v>2492</v>
      </c>
    </row>
    <row r="1038" spans="1:4" x14ac:dyDescent="0.25">
      <c r="A1038" s="4" t="s">
        <v>1617</v>
      </c>
      <c r="B1038" s="4" t="s">
        <v>2492</v>
      </c>
      <c r="C1038" s="4" t="s">
        <v>2497</v>
      </c>
      <c r="D1038" s="4" t="s">
        <v>2492</v>
      </c>
    </row>
    <row r="1039" spans="1:4" x14ac:dyDescent="0.25">
      <c r="A1039" s="4" t="s">
        <v>1618</v>
      </c>
      <c r="B1039" s="4" t="s">
        <v>2492</v>
      </c>
      <c r="C1039" s="4" t="s">
        <v>2497</v>
      </c>
      <c r="D1039" s="4" t="s">
        <v>2492</v>
      </c>
    </row>
    <row r="1040" spans="1:4" x14ac:dyDescent="0.25">
      <c r="A1040" s="4" t="s">
        <v>1621</v>
      </c>
      <c r="B1040" s="4" t="s">
        <v>444</v>
      </c>
      <c r="C1040" s="4" t="s">
        <v>1497</v>
      </c>
      <c r="D1040" s="4" t="s">
        <v>444</v>
      </c>
    </row>
    <row r="1041" spans="1:4" x14ac:dyDescent="0.25">
      <c r="A1041" s="4" t="s">
        <v>1622</v>
      </c>
      <c r="B1041" s="4" t="s">
        <v>2492</v>
      </c>
      <c r="C1041" s="4" t="s">
        <v>1497</v>
      </c>
      <c r="D1041" s="4" t="s">
        <v>2492</v>
      </c>
    </row>
    <row r="1042" spans="1:4" x14ac:dyDescent="0.25">
      <c r="A1042" s="4" t="s">
        <v>1622</v>
      </c>
      <c r="B1042" s="4" t="s">
        <v>2492</v>
      </c>
      <c r="C1042" s="4" t="s">
        <v>2497</v>
      </c>
      <c r="D1042" s="4" t="s">
        <v>2492</v>
      </c>
    </row>
    <row r="1043" spans="1:4" x14ac:dyDescent="0.25">
      <c r="A1043" s="4" t="s">
        <v>1623</v>
      </c>
      <c r="B1043" s="4" t="s">
        <v>1497</v>
      </c>
      <c r="C1043" s="4" t="s">
        <v>1497</v>
      </c>
      <c r="D1043" s="4" t="s">
        <v>1497</v>
      </c>
    </row>
    <row r="1044" spans="1:4" x14ac:dyDescent="0.25">
      <c r="A1044" s="4" t="s">
        <v>1625</v>
      </c>
      <c r="B1044" s="4" t="s">
        <v>2493</v>
      </c>
      <c r="C1044" s="4" t="s">
        <v>2493</v>
      </c>
      <c r="D1044" s="4" t="s">
        <v>2493</v>
      </c>
    </row>
    <row r="1045" spans="1:4" x14ac:dyDescent="0.25">
      <c r="A1045" s="4" t="s">
        <v>1625</v>
      </c>
      <c r="B1045" s="4" t="s">
        <v>2492</v>
      </c>
      <c r="C1045" s="4" t="s">
        <v>2492</v>
      </c>
      <c r="D1045" s="4" t="s">
        <v>2492</v>
      </c>
    </row>
    <row r="1046" spans="1:4" x14ac:dyDescent="0.25">
      <c r="A1046" s="4" t="s">
        <v>1625</v>
      </c>
      <c r="B1046" s="4" t="s">
        <v>2529</v>
      </c>
      <c r="C1046" s="4" t="s">
        <v>2529</v>
      </c>
      <c r="D1046" s="4" t="s">
        <v>2529</v>
      </c>
    </row>
    <row r="1047" spans="1:4" x14ac:dyDescent="0.25">
      <c r="A1047" s="4" t="s">
        <v>1625</v>
      </c>
      <c r="B1047" s="4" t="s">
        <v>2531</v>
      </c>
      <c r="C1047" s="4" t="s">
        <v>2531</v>
      </c>
      <c r="D1047" s="4" t="s">
        <v>2531</v>
      </c>
    </row>
    <row r="1048" spans="1:4" x14ac:dyDescent="0.25">
      <c r="A1048" s="4" t="s">
        <v>1625</v>
      </c>
      <c r="B1048" s="4" t="s">
        <v>1497</v>
      </c>
      <c r="C1048" s="4" t="s">
        <v>1497</v>
      </c>
      <c r="D1048" s="4" t="s">
        <v>1497</v>
      </c>
    </row>
    <row r="1049" spans="1:4" x14ac:dyDescent="0.25">
      <c r="A1049" s="4" t="s">
        <v>1625</v>
      </c>
      <c r="B1049" s="4" t="s">
        <v>2542</v>
      </c>
      <c r="C1049" s="4" t="s">
        <v>2542</v>
      </c>
      <c r="D1049" s="4" t="s">
        <v>2542</v>
      </c>
    </row>
    <row r="1050" spans="1:4" x14ac:dyDescent="0.25">
      <c r="A1050" s="4" t="s">
        <v>1631</v>
      </c>
      <c r="B1050" s="4" t="s">
        <v>2492</v>
      </c>
      <c r="C1050" s="4" t="s">
        <v>1497</v>
      </c>
      <c r="D1050" s="4" t="s">
        <v>2492</v>
      </c>
    </row>
    <row r="1051" spans="1:4" x14ac:dyDescent="0.25">
      <c r="A1051" s="4" t="s">
        <v>1631</v>
      </c>
      <c r="B1051" s="4" t="s">
        <v>2492</v>
      </c>
      <c r="C1051" s="4" t="s">
        <v>2497</v>
      </c>
      <c r="D1051" s="4" t="s">
        <v>2492</v>
      </c>
    </row>
    <row r="1052" spans="1:4" x14ac:dyDescent="0.25">
      <c r="A1052" s="4" t="s">
        <v>1632</v>
      </c>
      <c r="B1052" s="4" t="s">
        <v>2492</v>
      </c>
      <c r="C1052" s="4" t="s">
        <v>1497</v>
      </c>
      <c r="D1052" s="4" t="s">
        <v>2492</v>
      </c>
    </row>
    <row r="1053" spans="1:4" x14ac:dyDescent="0.25">
      <c r="A1053" s="4" t="s">
        <v>1633</v>
      </c>
      <c r="B1053" s="4" t="s">
        <v>2492</v>
      </c>
      <c r="C1053" s="4" t="s">
        <v>1497</v>
      </c>
      <c r="D1053" s="4" t="s">
        <v>2492</v>
      </c>
    </row>
    <row r="1054" spans="1:4" x14ac:dyDescent="0.25">
      <c r="A1054" s="4" t="s">
        <v>1635</v>
      </c>
      <c r="B1054" s="4" t="s">
        <v>444</v>
      </c>
      <c r="C1054" s="4" t="s">
        <v>1497</v>
      </c>
      <c r="D1054" s="4" t="s">
        <v>444</v>
      </c>
    </row>
    <row r="1055" spans="1:4" x14ac:dyDescent="0.25">
      <c r="A1055" s="4" t="s">
        <v>1638</v>
      </c>
      <c r="B1055" s="4" t="s">
        <v>2492</v>
      </c>
      <c r="C1055" s="4" t="s">
        <v>2492</v>
      </c>
      <c r="D1055" s="4" t="s">
        <v>2492</v>
      </c>
    </row>
    <row r="1056" spans="1:4" x14ac:dyDescent="0.25">
      <c r="A1056" s="4" t="s">
        <v>1644</v>
      </c>
      <c r="B1056" s="4" t="s">
        <v>2493</v>
      </c>
      <c r="C1056" s="4" t="s">
        <v>2493</v>
      </c>
      <c r="D1056" s="4" t="s">
        <v>2493</v>
      </c>
    </row>
    <row r="1057" spans="1:4" x14ac:dyDescent="0.25">
      <c r="A1057" s="4" t="s">
        <v>1645</v>
      </c>
      <c r="B1057" s="4" t="s">
        <v>2493</v>
      </c>
      <c r="C1057" s="4" t="s">
        <v>2493</v>
      </c>
      <c r="D1057" s="4" t="s">
        <v>2493</v>
      </c>
    </row>
    <row r="1058" spans="1:4" x14ac:dyDescent="0.25">
      <c r="A1058" s="4" t="s">
        <v>1647</v>
      </c>
      <c r="B1058" s="4" t="s">
        <v>2498</v>
      </c>
      <c r="C1058" s="4" t="s">
        <v>2498</v>
      </c>
      <c r="D1058" s="4" t="s">
        <v>2498</v>
      </c>
    </row>
    <row r="1059" spans="1:4" x14ac:dyDescent="0.25">
      <c r="A1059" s="4" t="s">
        <v>1648</v>
      </c>
      <c r="B1059" s="4" t="s">
        <v>1497</v>
      </c>
      <c r="C1059" s="4" t="s">
        <v>1497</v>
      </c>
      <c r="D1059" s="4" t="s">
        <v>1497</v>
      </c>
    </row>
    <row r="1060" spans="1:4" x14ac:dyDescent="0.25">
      <c r="A1060" s="4" t="s">
        <v>1657</v>
      </c>
      <c r="B1060" s="4" t="s">
        <v>1497</v>
      </c>
      <c r="C1060" s="4" t="s">
        <v>1497</v>
      </c>
      <c r="D1060" s="4" t="s">
        <v>1497</v>
      </c>
    </row>
    <row r="1061" spans="1:4" x14ac:dyDescent="0.25">
      <c r="A1061" s="4" t="s">
        <v>1658</v>
      </c>
      <c r="B1061" s="4" t="s">
        <v>1497</v>
      </c>
      <c r="C1061" s="4" t="s">
        <v>1497</v>
      </c>
      <c r="D1061" s="4" t="s">
        <v>1497</v>
      </c>
    </row>
    <row r="1062" spans="1:4" x14ac:dyDescent="0.25">
      <c r="A1062" s="4" t="s">
        <v>1662</v>
      </c>
      <c r="B1062" s="4" t="s">
        <v>1497</v>
      </c>
      <c r="C1062" s="4" t="s">
        <v>1497</v>
      </c>
      <c r="D1062" s="4" t="s">
        <v>1497</v>
      </c>
    </row>
    <row r="1063" spans="1:4" x14ac:dyDescent="0.25">
      <c r="A1063" s="4" t="s">
        <v>1663</v>
      </c>
      <c r="B1063" s="4" t="s">
        <v>2492</v>
      </c>
      <c r="C1063" s="4" t="s">
        <v>2497</v>
      </c>
      <c r="D1063" s="4" t="s">
        <v>2492</v>
      </c>
    </row>
    <row r="1064" spans="1:4" x14ac:dyDescent="0.25">
      <c r="A1064" s="4" t="s">
        <v>1665</v>
      </c>
      <c r="B1064" s="4" t="s">
        <v>444</v>
      </c>
      <c r="C1064" s="4" t="s">
        <v>1497</v>
      </c>
      <c r="D1064" s="4" t="s">
        <v>444</v>
      </c>
    </row>
    <row r="1065" spans="1:4" x14ac:dyDescent="0.25">
      <c r="A1065" s="4" t="s">
        <v>1665</v>
      </c>
      <c r="B1065" s="4" t="s">
        <v>2492</v>
      </c>
      <c r="C1065" s="4" t="s">
        <v>1497</v>
      </c>
      <c r="D1065" s="4" t="s">
        <v>2492</v>
      </c>
    </row>
    <row r="1066" spans="1:4" x14ac:dyDescent="0.25">
      <c r="A1066" s="4" t="s">
        <v>1666</v>
      </c>
      <c r="B1066" s="4" t="s">
        <v>2494</v>
      </c>
      <c r="C1066" s="4" t="s">
        <v>2494</v>
      </c>
      <c r="D1066" s="4" t="s">
        <v>2494</v>
      </c>
    </row>
    <row r="1067" spans="1:4" x14ac:dyDescent="0.25">
      <c r="A1067" s="4" t="s">
        <v>1671</v>
      </c>
      <c r="B1067" s="4" t="s">
        <v>1497</v>
      </c>
      <c r="C1067" s="4" t="s">
        <v>1497</v>
      </c>
      <c r="D1067" s="4" t="s">
        <v>1497</v>
      </c>
    </row>
    <row r="1068" spans="1:4" x14ac:dyDescent="0.25">
      <c r="A1068" s="4" t="s">
        <v>1671</v>
      </c>
      <c r="B1068" s="4" t="s">
        <v>2498</v>
      </c>
      <c r="C1068" s="4" t="s">
        <v>2498</v>
      </c>
      <c r="D1068" s="4" t="s">
        <v>2498</v>
      </c>
    </row>
    <row r="1069" spans="1:4" x14ac:dyDescent="0.25">
      <c r="A1069" s="4" t="s">
        <v>1673</v>
      </c>
      <c r="B1069" s="4" t="s">
        <v>2492</v>
      </c>
      <c r="C1069" s="4" t="s">
        <v>1497</v>
      </c>
      <c r="D1069" s="4" t="s">
        <v>2492</v>
      </c>
    </row>
    <row r="1070" spans="1:4" x14ac:dyDescent="0.25">
      <c r="A1070" s="4" t="s">
        <v>1674</v>
      </c>
      <c r="B1070" s="4" t="s">
        <v>2492</v>
      </c>
      <c r="C1070" s="4" t="s">
        <v>2492</v>
      </c>
      <c r="D1070" s="4" t="s">
        <v>2492</v>
      </c>
    </row>
    <row r="1071" spans="1:4" x14ac:dyDescent="0.25">
      <c r="A1071" s="4" t="s">
        <v>1683</v>
      </c>
      <c r="B1071" s="4" t="s">
        <v>2492</v>
      </c>
      <c r="C1071" s="4" t="s">
        <v>2497</v>
      </c>
      <c r="D1071" s="4" t="s">
        <v>2492</v>
      </c>
    </row>
    <row r="1072" spans="1:4" x14ac:dyDescent="0.25">
      <c r="A1072" s="4" t="s">
        <v>1686</v>
      </c>
      <c r="B1072" s="4" t="s">
        <v>443</v>
      </c>
      <c r="C1072" s="4" t="s">
        <v>1497</v>
      </c>
      <c r="D1072" s="4" t="s">
        <v>443</v>
      </c>
    </row>
    <row r="1073" spans="1:4" x14ac:dyDescent="0.25">
      <c r="A1073" s="4" t="s">
        <v>1686</v>
      </c>
      <c r="B1073" s="4" t="s">
        <v>443</v>
      </c>
      <c r="C1073" s="4" t="s">
        <v>1497</v>
      </c>
      <c r="D1073" s="4" t="s">
        <v>2492</v>
      </c>
    </row>
    <row r="1074" spans="1:4" x14ac:dyDescent="0.25">
      <c r="A1074" s="4" t="s">
        <v>1686</v>
      </c>
      <c r="B1074" s="4" t="s">
        <v>443</v>
      </c>
      <c r="C1074" s="4" t="s">
        <v>2497</v>
      </c>
      <c r="D1074" s="4" t="s">
        <v>443</v>
      </c>
    </row>
    <row r="1075" spans="1:4" x14ac:dyDescent="0.25">
      <c r="A1075" s="4" t="s">
        <v>1686</v>
      </c>
      <c r="B1075" s="4" t="s">
        <v>443</v>
      </c>
      <c r="C1075" s="4" t="s">
        <v>2497</v>
      </c>
      <c r="D1075" s="4" t="s">
        <v>2492</v>
      </c>
    </row>
    <row r="1076" spans="1:4" x14ac:dyDescent="0.25">
      <c r="A1076" s="4" t="s">
        <v>1686</v>
      </c>
      <c r="B1076" s="4" t="s">
        <v>444</v>
      </c>
      <c r="C1076" s="4" t="s">
        <v>1497</v>
      </c>
      <c r="D1076" s="4" t="s">
        <v>444</v>
      </c>
    </row>
    <row r="1077" spans="1:4" x14ac:dyDescent="0.25">
      <c r="A1077" s="4" t="s">
        <v>1686</v>
      </c>
      <c r="B1077" s="4" t="s">
        <v>2492</v>
      </c>
      <c r="C1077" s="4" t="s">
        <v>1497</v>
      </c>
      <c r="D1077" s="4" t="s">
        <v>2492</v>
      </c>
    </row>
    <row r="1078" spans="1:4" x14ac:dyDescent="0.25">
      <c r="A1078" s="4" t="s">
        <v>1686</v>
      </c>
      <c r="B1078" s="4" t="s">
        <v>2492</v>
      </c>
      <c r="C1078" s="4" t="s">
        <v>2497</v>
      </c>
      <c r="D1078" s="4" t="s">
        <v>2492</v>
      </c>
    </row>
    <row r="1079" spans="1:4" x14ac:dyDescent="0.25">
      <c r="A1079" s="4" t="s">
        <v>1687</v>
      </c>
      <c r="B1079" s="4" t="s">
        <v>2492</v>
      </c>
      <c r="C1079" s="4" t="s">
        <v>1497</v>
      </c>
      <c r="D1079" s="4" t="s">
        <v>2492</v>
      </c>
    </row>
    <row r="1080" spans="1:4" x14ac:dyDescent="0.25">
      <c r="A1080" s="4" t="s">
        <v>1688</v>
      </c>
      <c r="B1080" s="4" t="s">
        <v>2492</v>
      </c>
      <c r="C1080" s="4" t="s">
        <v>1497</v>
      </c>
      <c r="D1080" s="4" t="s">
        <v>2492</v>
      </c>
    </row>
    <row r="1081" spans="1:4" x14ac:dyDescent="0.25">
      <c r="A1081" s="4" t="s">
        <v>1692</v>
      </c>
      <c r="B1081" s="4" t="s">
        <v>443</v>
      </c>
      <c r="C1081" s="4" t="s">
        <v>1497</v>
      </c>
      <c r="D1081" s="4" t="s">
        <v>443</v>
      </c>
    </row>
    <row r="1082" spans="1:4" x14ac:dyDescent="0.25">
      <c r="A1082" s="4" t="s">
        <v>1692</v>
      </c>
      <c r="B1082" s="4" t="s">
        <v>444</v>
      </c>
      <c r="C1082" s="4" t="s">
        <v>1497</v>
      </c>
      <c r="D1082" s="4" t="s">
        <v>444</v>
      </c>
    </row>
    <row r="1083" spans="1:4" x14ac:dyDescent="0.25">
      <c r="A1083" s="4" t="s">
        <v>1692</v>
      </c>
      <c r="B1083" s="4" t="s">
        <v>2492</v>
      </c>
      <c r="C1083" s="4" t="s">
        <v>2497</v>
      </c>
      <c r="D1083" s="4" t="s">
        <v>2492</v>
      </c>
    </row>
    <row r="1084" spans="1:4" x14ac:dyDescent="0.25">
      <c r="A1084" s="4" t="s">
        <v>1694</v>
      </c>
      <c r="B1084" s="4" t="s">
        <v>1497</v>
      </c>
      <c r="C1084" s="4" t="s">
        <v>1497</v>
      </c>
      <c r="D1084" s="4" t="s">
        <v>1497</v>
      </c>
    </row>
    <row r="1085" spans="1:4" x14ac:dyDescent="0.25">
      <c r="A1085" s="4" t="s">
        <v>1695</v>
      </c>
      <c r="B1085" s="4" t="s">
        <v>2492</v>
      </c>
      <c r="C1085" s="4" t="s">
        <v>1497</v>
      </c>
      <c r="D1085" s="4" t="s">
        <v>2492</v>
      </c>
    </row>
    <row r="1086" spans="1:4" x14ac:dyDescent="0.25">
      <c r="A1086" s="4" t="s">
        <v>1695</v>
      </c>
      <c r="B1086" s="4" t="s">
        <v>2492</v>
      </c>
      <c r="C1086" s="4" t="s">
        <v>2497</v>
      </c>
      <c r="D1086" s="4" t="s">
        <v>2492</v>
      </c>
    </row>
    <row r="1087" spans="1:4" x14ac:dyDescent="0.25">
      <c r="A1087" s="4" t="s">
        <v>1700</v>
      </c>
      <c r="B1087" s="4" t="s">
        <v>444</v>
      </c>
      <c r="C1087" s="4" t="s">
        <v>1497</v>
      </c>
      <c r="D1087" s="4" t="s">
        <v>444</v>
      </c>
    </row>
    <row r="1088" spans="1:4" x14ac:dyDescent="0.25">
      <c r="A1088" s="4" t="s">
        <v>1701</v>
      </c>
      <c r="B1088" s="4" t="s">
        <v>1497</v>
      </c>
      <c r="C1088" s="4" t="s">
        <v>1497</v>
      </c>
      <c r="D1088" s="4" t="s">
        <v>1497</v>
      </c>
    </row>
    <row r="1089" spans="1:4" x14ac:dyDescent="0.25">
      <c r="A1089" s="4" t="s">
        <v>1703</v>
      </c>
      <c r="B1089" s="4" t="s">
        <v>2514</v>
      </c>
      <c r="C1089" s="4" t="s">
        <v>2514</v>
      </c>
      <c r="D1089" s="4" t="s">
        <v>2514</v>
      </c>
    </row>
    <row r="1090" spans="1:4" x14ac:dyDescent="0.25">
      <c r="A1090" s="4" t="s">
        <v>1703</v>
      </c>
      <c r="B1090" s="4" t="s">
        <v>2497</v>
      </c>
      <c r="C1090" s="4" t="s">
        <v>1497</v>
      </c>
      <c r="D1090" s="4" t="s">
        <v>2497</v>
      </c>
    </row>
    <row r="1091" spans="1:4" x14ac:dyDescent="0.25">
      <c r="A1091" s="4" t="s">
        <v>1706</v>
      </c>
      <c r="B1091" s="4" t="s">
        <v>2492</v>
      </c>
      <c r="C1091" s="4" t="s">
        <v>2497</v>
      </c>
      <c r="D1091" s="4" t="s">
        <v>2492</v>
      </c>
    </row>
    <row r="1092" spans="1:4" x14ac:dyDescent="0.25">
      <c r="A1092" s="4" t="s">
        <v>1707</v>
      </c>
      <c r="B1092" s="4" t="s">
        <v>2492</v>
      </c>
      <c r="C1092" s="4" t="s">
        <v>1497</v>
      </c>
      <c r="D1092" s="4" t="s">
        <v>2492</v>
      </c>
    </row>
    <row r="1093" spans="1:4" x14ac:dyDescent="0.25">
      <c r="A1093" s="4" t="s">
        <v>1709</v>
      </c>
      <c r="B1093" s="4" t="s">
        <v>1497</v>
      </c>
      <c r="C1093" s="4" t="s">
        <v>1497</v>
      </c>
      <c r="D1093" s="4" t="s">
        <v>1497</v>
      </c>
    </row>
    <row r="1094" spans="1:4" x14ac:dyDescent="0.25">
      <c r="A1094" s="4" t="s">
        <v>1716</v>
      </c>
      <c r="B1094" s="4" t="s">
        <v>2506</v>
      </c>
      <c r="C1094" s="4" t="s">
        <v>2506</v>
      </c>
      <c r="D1094" s="4" t="s">
        <v>2506</v>
      </c>
    </row>
    <row r="1095" spans="1:4" x14ac:dyDescent="0.25">
      <c r="A1095" s="4" t="s">
        <v>1718</v>
      </c>
      <c r="B1095" s="4" t="s">
        <v>1497</v>
      </c>
      <c r="C1095" s="4" t="s">
        <v>1497</v>
      </c>
      <c r="D1095" s="4" t="s">
        <v>1497</v>
      </c>
    </row>
    <row r="1096" spans="1:4" x14ac:dyDescent="0.25">
      <c r="A1096" s="4" t="s">
        <v>1719</v>
      </c>
      <c r="B1096" s="4" t="s">
        <v>2492</v>
      </c>
      <c r="C1096" s="4" t="s">
        <v>1497</v>
      </c>
      <c r="D1096" s="4" t="s">
        <v>2492</v>
      </c>
    </row>
    <row r="1097" spans="1:4" x14ac:dyDescent="0.25">
      <c r="A1097" s="4" t="s">
        <v>1720</v>
      </c>
      <c r="B1097" s="4" t="s">
        <v>443</v>
      </c>
      <c r="C1097" s="4" t="s">
        <v>443</v>
      </c>
      <c r="D1097" s="4" t="s">
        <v>443</v>
      </c>
    </row>
    <row r="1098" spans="1:4" x14ac:dyDescent="0.25">
      <c r="A1098" s="4" t="s">
        <v>1720</v>
      </c>
      <c r="B1098" s="4" t="s">
        <v>443</v>
      </c>
      <c r="C1098" s="4" t="s">
        <v>2492</v>
      </c>
      <c r="D1098" s="4" t="s">
        <v>443</v>
      </c>
    </row>
    <row r="1099" spans="1:4" x14ac:dyDescent="0.25">
      <c r="A1099" s="4" t="s">
        <v>1720</v>
      </c>
      <c r="B1099" s="4" t="s">
        <v>443</v>
      </c>
      <c r="C1099" s="4" t="s">
        <v>1497</v>
      </c>
      <c r="D1099" s="4" t="s">
        <v>443</v>
      </c>
    </row>
    <row r="1100" spans="1:4" x14ac:dyDescent="0.25">
      <c r="A1100" s="4" t="s">
        <v>1720</v>
      </c>
      <c r="B1100" s="4" t="s">
        <v>443</v>
      </c>
      <c r="C1100" s="4" t="s">
        <v>1497</v>
      </c>
      <c r="D1100" s="4" t="s">
        <v>2492</v>
      </c>
    </row>
    <row r="1101" spans="1:4" x14ac:dyDescent="0.25">
      <c r="A1101" s="4" t="s">
        <v>1720</v>
      </c>
      <c r="B1101" s="4" t="s">
        <v>443</v>
      </c>
      <c r="C1101" s="4" t="s">
        <v>2497</v>
      </c>
      <c r="D1101" s="4" t="s">
        <v>443</v>
      </c>
    </row>
    <row r="1102" spans="1:4" x14ac:dyDescent="0.25">
      <c r="A1102" s="4" t="s">
        <v>1720</v>
      </c>
      <c r="B1102" s="4" t="s">
        <v>444</v>
      </c>
      <c r="C1102" s="4" t="s">
        <v>1497</v>
      </c>
      <c r="D1102" s="4" t="s">
        <v>444</v>
      </c>
    </row>
    <row r="1103" spans="1:4" x14ac:dyDescent="0.25">
      <c r="A1103" s="4" t="s">
        <v>1720</v>
      </c>
      <c r="B1103" s="4" t="s">
        <v>2492</v>
      </c>
      <c r="C1103" s="4" t="s">
        <v>2497</v>
      </c>
      <c r="D1103" s="4" t="s">
        <v>2492</v>
      </c>
    </row>
    <row r="1104" spans="1:4" x14ac:dyDescent="0.25">
      <c r="A1104" s="4" t="s">
        <v>1722</v>
      </c>
      <c r="B1104" s="4" t="s">
        <v>2498</v>
      </c>
      <c r="C1104" s="4" t="s">
        <v>2498</v>
      </c>
      <c r="D1104" s="4" t="s">
        <v>2498</v>
      </c>
    </row>
    <row r="1105" spans="1:4" x14ac:dyDescent="0.25">
      <c r="A1105" s="4" t="s">
        <v>1725</v>
      </c>
      <c r="B1105" s="4" t="s">
        <v>2538</v>
      </c>
      <c r="C1105" s="4" t="s">
        <v>2538</v>
      </c>
      <c r="D1105" s="4" t="s">
        <v>2538</v>
      </c>
    </row>
    <row r="1106" spans="1:4" x14ac:dyDescent="0.25">
      <c r="A1106" s="4" t="s">
        <v>1726</v>
      </c>
      <c r="B1106" s="4" t="s">
        <v>2492</v>
      </c>
      <c r="C1106" s="4" t="s">
        <v>2492</v>
      </c>
      <c r="D1106" s="4" t="s">
        <v>2492</v>
      </c>
    </row>
    <row r="1107" spans="1:4" x14ac:dyDescent="0.25">
      <c r="A1107" s="4" t="s">
        <v>1729</v>
      </c>
      <c r="B1107" s="4" t="s">
        <v>2492</v>
      </c>
      <c r="C1107" s="4" t="s">
        <v>2492</v>
      </c>
      <c r="D1107" s="4" t="s">
        <v>2492</v>
      </c>
    </row>
    <row r="1108" spans="1:4" x14ac:dyDescent="0.25">
      <c r="A1108" s="4" t="s">
        <v>1729</v>
      </c>
      <c r="B1108" s="4" t="s">
        <v>2540</v>
      </c>
      <c r="C1108" s="4" t="s">
        <v>2540</v>
      </c>
      <c r="D1108" s="4" t="s">
        <v>2540</v>
      </c>
    </row>
    <row r="1109" spans="1:4" x14ac:dyDescent="0.25">
      <c r="A1109" s="4" t="s">
        <v>1729</v>
      </c>
      <c r="B1109" s="4" t="s">
        <v>2524</v>
      </c>
      <c r="C1109" s="4" t="s">
        <v>2524</v>
      </c>
      <c r="D1109" s="4" t="s">
        <v>2524</v>
      </c>
    </row>
    <row r="1110" spans="1:4" x14ac:dyDescent="0.25">
      <c r="A1110" s="4" t="s">
        <v>1729</v>
      </c>
      <c r="B1110" s="4" t="s">
        <v>2525</v>
      </c>
      <c r="C1110" s="4" t="s">
        <v>2525</v>
      </c>
      <c r="D1110" s="4" t="s">
        <v>2525</v>
      </c>
    </row>
    <row r="1111" spans="1:4" x14ac:dyDescent="0.25">
      <c r="A1111" s="4" t="s">
        <v>1729</v>
      </c>
      <c r="B1111" s="4" t="s">
        <v>2526</v>
      </c>
      <c r="C1111" s="4" t="s">
        <v>2526</v>
      </c>
      <c r="D1111" s="4" t="s">
        <v>2526</v>
      </c>
    </row>
    <row r="1112" spans="1:4" x14ac:dyDescent="0.25">
      <c r="A1112" s="4" t="s">
        <v>1729</v>
      </c>
      <c r="B1112" s="4" t="s">
        <v>2527</v>
      </c>
      <c r="C1112" s="4" t="s">
        <v>2527</v>
      </c>
      <c r="D1112" s="4" t="s">
        <v>2527</v>
      </c>
    </row>
    <row r="1113" spans="1:4" x14ac:dyDescent="0.25">
      <c r="A1113" s="4" t="s">
        <v>1729</v>
      </c>
      <c r="B1113" s="4" t="s">
        <v>2509</v>
      </c>
      <c r="C1113" s="4" t="s">
        <v>2509</v>
      </c>
      <c r="D1113" s="4" t="s">
        <v>2509</v>
      </c>
    </row>
    <row r="1114" spans="1:4" x14ac:dyDescent="0.25">
      <c r="A1114" s="4" t="s">
        <v>1729</v>
      </c>
      <c r="B1114" s="4" t="s">
        <v>2529</v>
      </c>
      <c r="C1114" s="4" t="s">
        <v>2529</v>
      </c>
      <c r="D1114" s="4" t="s">
        <v>2529</v>
      </c>
    </row>
    <row r="1115" spans="1:4" x14ac:dyDescent="0.25">
      <c r="A1115" s="4" t="s">
        <v>1729</v>
      </c>
      <c r="B1115" s="4" t="s">
        <v>2533</v>
      </c>
      <c r="C1115" s="4" t="s">
        <v>2533</v>
      </c>
      <c r="D1115" s="4" t="s">
        <v>2533</v>
      </c>
    </row>
    <row r="1116" spans="1:4" x14ac:dyDescent="0.25">
      <c r="A1116" s="4" t="s">
        <v>1729</v>
      </c>
      <c r="B1116" s="4" t="s">
        <v>2495</v>
      </c>
      <c r="C1116" s="4" t="s">
        <v>2495</v>
      </c>
      <c r="D1116" s="4" t="s">
        <v>2495</v>
      </c>
    </row>
    <row r="1117" spans="1:4" x14ac:dyDescent="0.25">
      <c r="A1117" s="4" t="s">
        <v>1729</v>
      </c>
      <c r="B1117" s="4" t="s">
        <v>2534</v>
      </c>
      <c r="C1117" s="4" t="s">
        <v>2534</v>
      </c>
      <c r="D1117" s="4" t="s">
        <v>2534</v>
      </c>
    </row>
    <row r="1118" spans="1:4" x14ac:dyDescent="0.25">
      <c r="A1118" s="4" t="s">
        <v>1729</v>
      </c>
      <c r="B1118" s="4" t="s">
        <v>2514</v>
      </c>
      <c r="C1118" s="4" t="s">
        <v>2514</v>
      </c>
      <c r="D1118" s="4" t="s">
        <v>2514</v>
      </c>
    </row>
    <row r="1119" spans="1:4" x14ac:dyDescent="0.25">
      <c r="A1119" s="4" t="s">
        <v>1729</v>
      </c>
      <c r="B1119" s="4" t="s">
        <v>2541</v>
      </c>
      <c r="C1119" s="4" t="s">
        <v>2541</v>
      </c>
      <c r="D1119" s="4" t="s">
        <v>2541</v>
      </c>
    </row>
    <row r="1120" spans="1:4" x14ac:dyDescent="0.25">
      <c r="A1120" s="4" t="s">
        <v>1729</v>
      </c>
      <c r="B1120" s="4" t="s">
        <v>2496</v>
      </c>
      <c r="C1120" s="4" t="s">
        <v>2496</v>
      </c>
      <c r="D1120" s="4" t="s">
        <v>2496</v>
      </c>
    </row>
    <row r="1121" spans="1:4" x14ac:dyDescent="0.25">
      <c r="A1121" s="4" t="s">
        <v>1729</v>
      </c>
      <c r="B1121" s="4" t="s">
        <v>2515</v>
      </c>
      <c r="C1121" s="4" t="s">
        <v>2515</v>
      </c>
      <c r="D1121" s="4" t="s">
        <v>2515</v>
      </c>
    </row>
    <row r="1122" spans="1:4" x14ac:dyDescent="0.25">
      <c r="A1122" s="4" t="s">
        <v>1729</v>
      </c>
      <c r="B1122" s="4" t="s">
        <v>2516</v>
      </c>
      <c r="C1122" s="4" t="s">
        <v>2516</v>
      </c>
      <c r="D1122" s="4" t="s">
        <v>2516</v>
      </c>
    </row>
    <row r="1123" spans="1:4" x14ac:dyDescent="0.25">
      <c r="A1123" s="4" t="s">
        <v>1729</v>
      </c>
      <c r="B1123" s="4" t="s">
        <v>2549</v>
      </c>
      <c r="C1123" s="4" t="s">
        <v>2549</v>
      </c>
      <c r="D1123" s="4" t="s">
        <v>2549</v>
      </c>
    </row>
    <row r="1124" spans="1:4" x14ac:dyDescent="0.25">
      <c r="A1124" s="4" t="s">
        <v>1729</v>
      </c>
      <c r="B1124" s="4" t="s">
        <v>2537</v>
      </c>
      <c r="C1124" s="4" t="s">
        <v>2537</v>
      </c>
      <c r="D1124" s="4" t="s">
        <v>2537</v>
      </c>
    </row>
    <row r="1125" spans="1:4" x14ac:dyDescent="0.25">
      <c r="A1125" s="4" t="s">
        <v>1730</v>
      </c>
      <c r="B1125" s="4" t="s">
        <v>1497</v>
      </c>
      <c r="C1125" s="4" t="s">
        <v>1497</v>
      </c>
      <c r="D1125" s="4" t="s">
        <v>1497</v>
      </c>
    </row>
    <row r="1126" spans="1:4" x14ac:dyDescent="0.25">
      <c r="A1126" s="4" t="s">
        <v>1730</v>
      </c>
      <c r="B1126" s="4" t="s">
        <v>2498</v>
      </c>
      <c r="C1126" s="4" t="s">
        <v>2498</v>
      </c>
      <c r="D1126" s="4" t="s">
        <v>2498</v>
      </c>
    </row>
    <row r="1127" spans="1:4" x14ac:dyDescent="0.25">
      <c r="A1127" s="4" t="s">
        <v>1731</v>
      </c>
      <c r="B1127" s="4" t="s">
        <v>1497</v>
      </c>
      <c r="C1127" s="4" t="s">
        <v>1497</v>
      </c>
      <c r="D1127" s="4" t="s">
        <v>1497</v>
      </c>
    </row>
    <row r="1128" spans="1:4" x14ac:dyDescent="0.25">
      <c r="A1128" s="4" t="s">
        <v>1734</v>
      </c>
      <c r="B1128" s="4" t="s">
        <v>2492</v>
      </c>
      <c r="C1128" s="4" t="s">
        <v>2492</v>
      </c>
      <c r="D1128" s="4" t="s">
        <v>2492</v>
      </c>
    </row>
    <row r="1129" spans="1:4" x14ac:dyDescent="0.25">
      <c r="A1129" s="4" t="s">
        <v>1734</v>
      </c>
      <c r="B1129" s="4" t="s">
        <v>2492</v>
      </c>
      <c r="C1129" s="4" t="s">
        <v>1497</v>
      </c>
      <c r="D1129" s="4" t="s">
        <v>2492</v>
      </c>
    </row>
    <row r="1130" spans="1:4" x14ac:dyDescent="0.25">
      <c r="A1130" s="4" t="s">
        <v>1734</v>
      </c>
      <c r="B1130" s="4" t="s">
        <v>2492</v>
      </c>
      <c r="C1130" s="4" t="s">
        <v>2497</v>
      </c>
      <c r="D1130" s="4" t="s">
        <v>2492</v>
      </c>
    </row>
    <row r="1131" spans="1:4" x14ac:dyDescent="0.25">
      <c r="A1131" s="4" t="s">
        <v>1736</v>
      </c>
      <c r="B1131" s="4" t="s">
        <v>2494</v>
      </c>
      <c r="C1131" s="4" t="s">
        <v>2494</v>
      </c>
      <c r="D1131" s="4" t="s">
        <v>2494</v>
      </c>
    </row>
    <row r="1132" spans="1:4" x14ac:dyDescent="0.25">
      <c r="A1132" s="4" t="s">
        <v>1736</v>
      </c>
      <c r="B1132" s="4" t="s">
        <v>2498</v>
      </c>
      <c r="C1132" s="4" t="s">
        <v>2498</v>
      </c>
      <c r="D1132" s="4" t="s">
        <v>2498</v>
      </c>
    </row>
    <row r="1133" spans="1:4" x14ac:dyDescent="0.25">
      <c r="A1133" s="4" t="s">
        <v>1737</v>
      </c>
      <c r="B1133" s="4" t="s">
        <v>2494</v>
      </c>
      <c r="C1133" s="4" t="s">
        <v>2494</v>
      </c>
      <c r="D1133" s="4" t="s">
        <v>2494</v>
      </c>
    </row>
    <row r="1134" spans="1:4" x14ac:dyDescent="0.25">
      <c r="A1134" s="4" t="s">
        <v>1740</v>
      </c>
      <c r="B1134" s="4" t="s">
        <v>2492</v>
      </c>
      <c r="C1134" s="4" t="s">
        <v>2492</v>
      </c>
      <c r="D1134" s="4" t="s">
        <v>2492</v>
      </c>
    </row>
    <row r="1135" spans="1:4" x14ac:dyDescent="0.25">
      <c r="A1135" s="4" t="s">
        <v>1741</v>
      </c>
      <c r="B1135" s="4" t="s">
        <v>2492</v>
      </c>
      <c r="C1135" s="4" t="s">
        <v>2492</v>
      </c>
      <c r="D1135" s="4" t="s">
        <v>2492</v>
      </c>
    </row>
    <row r="1136" spans="1:4" x14ac:dyDescent="0.25">
      <c r="A1136" s="4" t="s">
        <v>1745</v>
      </c>
      <c r="B1136" s="4" t="s">
        <v>2498</v>
      </c>
      <c r="C1136" s="4" t="s">
        <v>2498</v>
      </c>
      <c r="D1136" s="4" t="s">
        <v>2498</v>
      </c>
    </row>
    <row r="1137" spans="1:4" x14ac:dyDescent="0.25">
      <c r="A1137" s="4" t="s">
        <v>1746</v>
      </c>
      <c r="B1137" s="4" t="s">
        <v>2492</v>
      </c>
      <c r="C1137" s="4" t="s">
        <v>1497</v>
      </c>
      <c r="D1137" s="4" t="s">
        <v>2492</v>
      </c>
    </row>
    <row r="1138" spans="1:4" x14ac:dyDescent="0.25">
      <c r="A1138" s="4" t="s">
        <v>1746</v>
      </c>
      <c r="B1138" s="4" t="s">
        <v>2492</v>
      </c>
      <c r="C1138" s="4" t="s">
        <v>2497</v>
      </c>
      <c r="D1138" s="4" t="s">
        <v>2492</v>
      </c>
    </row>
    <row r="1139" spans="1:4" x14ac:dyDescent="0.25">
      <c r="A1139" s="4" t="s">
        <v>1749</v>
      </c>
      <c r="B1139" s="4" t="s">
        <v>2492</v>
      </c>
      <c r="C1139" s="4" t="s">
        <v>1497</v>
      </c>
      <c r="D1139" s="4" t="s">
        <v>2492</v>
      </c>
    </row>
    <row r="1140" spans="1:4" x14ac:dyDescent="0.25">
      <c r="A1140" s="4" t="s">
        <v>1749</v>
      </c>
      <c r="B1140" s="4" t="s">
        <v>2492</v>
      </c>
      <c r="C1140" s="4" t="s">
        <v>2497</v>
      </c>
      <c r="D1140" s="4" t="s">
        <v>2492</v>
      </c>
    </row>
    <row r="1141" spans="1:4" x14ac:dyDescent="0.25">
      <c r="A1141" s="4" t="s">
        <v>1754</v>
      </c>
      <c r="B1141" s="4" t="s">
        <v>2492</v>
      </c>
      <c r="C1141" s="4" t="s">
        <v>2497</v>
      </c>
      <c r="D1141" s="4" t="s">
        <v>2492</v>
      </c>
    </row>
    <row r="1142" spans="1:4" x14ac:dyDescent="0.25">
      <c r="A1142" s="4" t="s">
        <v>1758</v>
      </c>
      <c r="B1142" s="4" t="s">
        <v>2492</v>
      </c>
      <c r="C1142" s="4" t="s">
        <v>2497</v>
      </c>
      <c r="D1142" s="4" t="s">
        <v>2492</v>
      </c>
    </row>
    <row r="1143" spans="1:4" x14ac:dyDescent="0.25">
      <c r="A1143" s="4" t="s">
        <v>1761</v>
      </c>
      <c r="B1143" s="4" t="s">
        <v>2498</v>
      </c>
      <c r="C1143" s="4" t="s">
        <v>2498</v>
      </c>
      <c r="D1143" s="4" t="s">
        <v>2498</v>
      </c>
    </row>
    <row r="1144" spans="1:4" x14ac:dyDescent="0.25">
      <c r="A1144" s="4" t="s">
        <v>1763</v>
      </c>
      <c r="B1144" s="4" t="s">
        <v>444</v>
      </c>
      <c r="C1144" s="4" t="s">
        <v>1497</v>
      </c>
      <c r="D1144" s="4" t="s">
        <v>444</v>
      </c>
    </row>
    <row r="1145" spans="1:4" x14ac:dyDescent="0.25">
      <c r="A1145" s="4" t="s">
        <v>1766</v>
      </c>
      <c r="B1145" s="4" t="s">
        <v>2492</v>
      </c>
      <c r="C1145" s="4" t="s">
        <v>1497</v>
      </c>
      <c r="D1145" s="4" t="s">
        <v>2492</v>
      </c>
    </row>
    <row r="1146" spans="1:4" x14ac:dyDescent="0.25">
      <c r="A1146" s="4" t="s">
        <v>1767</v>
      </c>
      <c r="B1146" s="4" t="s">
        <v>2492</v>
      </c>
      <c r="C1146" s="4" t="s">
        <v>2497</v>
      </c>
      <c r="D1146" s="4" t="s">
        <v>2492</v>
      </c>
    </row>
    <row r="1147" spans="1:4" x14ac:dyDescent="0.25">
      <c r="A1147" s="4" t="s">
        <v>1771</v>
      </c>
      <c r="B1147" s="4" t="s">
        <v>2498</v>
      </c>
      <c r="C1147" s="4" t="s">
        <v>2498</v>
      </c>
      <c r="D1147" s="4" t="s">
        <v>2498</v>
      </c>
    </row>
    <row r="1148" spans="1:4" x14ac:dyDescent="0.25">
      <c r="A1148" s="4" t="s">
        <v>1776</v>
      </c>
      <c r="B1148" s="4" t="s">
        <v>1497</v>
      </c>
      <c r="C1148" s="4" t="s">
        <v>1497</v>
      </c>
      <c r="D1148" s="4" t="s">
        <v>1497</v>
      </c>
    </row>
    <row r="1149" spans="1:4" x14ac:dyDescent="0.25">
      <c r="A1149" s="4" t="s">
        <v>1777</v>
      </c>
      <c r="B1149" s="4" t="s">
        <v>443</v>
      </c>
      <c r="C1149" s="4" t="s">
        <v>1497</v>
      </c>
      <c r="D1149" s="4" t="s">
        <v>443</v>
      </c>
    </row>
    <row r="1150" spans="1:4" x14ac:dyDescent="0.25">
      <c r="A1150" s="4" t="s">
        <v>1777</v>
      </c>
      <c r="B1150" s="4" t="s">
        <v>444</v>
      </c>
      <c r="C1150" s="4" t="s">
        <v>1497</v>
      </c>
      <c r="D1150" s="4" t="s">
        <v>444</v>
      </c>
    </row>
    <row r="1151" spans="1:4" x14ac:dyDescent="0.25">
      <c r="A1151" s="4" t="s">
        <v>1777</v>
      </c>
      <c r="B1151" s="4" t="s">
        <v>2492</v>
      </c>
      <c r="C1151" s="4" t="s">
        <v>2497</v>
      </c>
      <c r="D1151" s="4" t="s">
        <v>2492</v>
      </c>
    </row>
    <row r="1152" spans="1:4" x14ac:dyDescent="0.25">
      <c r="A1152" s="4" t="s">
        <v>1778</v>
      </c>
      <c r="B1152" s="4" t="s">
        <v>1497</v>
      </c>
      <c r="C1152" s="4" t="s">
        <v>1497</v>
      </c>
      <c r="D1152" s="4" t="s">
        <v>1497</v>
      </c>
    </row>
    <row r="1153" spans="1:4" x14ac:dyDescent="0.25">
      <c r="A1153" s="4" t="s">
        <v>1781</v>
      </c>
      <c r="B1153" s="4" t="s">
        <v>2514</v>
      </c>
      <c r="C1153" s="4" t="s">
        <v>2514</v>
      </c>
      <c r="D1153" s="4" t="s">
        <v>2514</v>
      </c>
    </row>
    <row r="1154" spans="1:4" x14ac:dyDescent="0.25">
      <c r="A1154" s="4" t="s">
        <v>1784</v>
      </c>
      <c r="B1154" s="4" t="s">
        <v>2494</v>
      </c>
      <c r="C1154" s="4" t="s">
        <v>2494</v>
      </c>
      <c r="D1154" s="4" t="s">
        <v>2494</v>
      </c>
    </row>
    <row r="1155" spans="1:4" x14ac:dyDescent="0.25">
      <c r="A1155" s="4" t="s">
        <v>1784</v>
      </c>
      <c r="B1155" s="4" t="s">
        <v>2493</v>
      </c>
      <c r="C1155" s="4" t="s">
        <v>2493</v>
      </c>
      <c r="D1155" s="4" t="s">
        <v>2493</v>
      </c>
    </row>
    <row r="1156" spans="1:4" x14ac:dyDescent="0.25">
      <c r="A1156" s="4" t="s">
        <v>1784</v>
      </c>
      <c r="B1156" s="4" t="s">
        <v>1497</v>
      </c>
      <c r="C1156" s="4" t="s">
        <v>1497</v>
      </c>
      <c r="D1156" s="4" t="s">
        <v>1497</v>
      </c>
    </row>
    <row r="1157" spans="1:4" x14ac:dyDescent="0.25">
      <c r="A1157" s="4" t="s">
        <v>1784</v>
      </c>
      <c r="B1157" s="4" t="s">
        <v>2497</v>
      </c>
      <c r="C1157" s="4" t="s">
        <v>1497</v>
      </c>
      <c r="D1157" s="4" t="s">
        <v>2497</v>
      </c>
    </row>
    <row r="1158" spans="1:4" x14ac:dyDescent="0.25">
      <c r="A1158" s="4" t="s">
        <v>1788</v>
      </c>
      <c r="B1158" s="4" t="s">
        <v>2492</v>
      </c>
      <c r="C1158" s="4" t="s">
        <v>2497</v>
      </c>
      <c r="D1158" s="4" t="s">
        <v>2492</v>
      </c>
    </row>
    <row r="1159" spans="1:4" x14ac:dyDescent="0.25">
      <c r="A1159" s="4" t="s">
        <v>1808</v>
      </c>
      <c r="B1159" s="4" t="s">
        <v>2492</v>
      </c>
      <c r="C1159" s="4" t="s">
        <v>2492</v>
      </c>
      <c r="D1159" s="4" t="s">
        <v>2492</v>
      </c>
    </row>
    <row r="1160" spans="1:4" x14ac:dyDescent="0.25">
      <c r="A1160" s="4" t="s">
        <v>1810</v>
      </c>
      <c r="B1160" s="4" t="s">
        <v>444</v>
      </c>
      <c r="C1160" s="4" t="s">
        <v>1497</v>
      </c>
      <c r="D1160" s="4" t="s">
        <v>444</v>
      </c>
    </row>
    <row r="1161" spans="1:4" x14ac:dyDescent="0.25">
      <c r="A1161" s="4" t="s">
        <v>1810</v>
      </c>
      <c r="B1161" s="4" t="s">
        <v>2492</v>
      </c>
      <c r="C1161" s="4" t="s">
        <v>1497</v>
      </c>
      <c r="D1161" s="4" t="s">
        <v>2492</v>
      </c>
    </row>
    <row r="1162" spans="1:4" x14ac:dyDescent="0.25">
      <c r="A1162" s="4" t="s">
        <v>1811</v>
      </c>
      <c r="B1162" s="4" t="s">
        <v>2498</v>
      </c>
      <c r="C1162" s="4" t="s">
        <v>2498</v>
      </c>
      <c r="D1162" s="4" t="s">
        <v>2498</v>
      </c>
    </row>
    <row r="1163" spans="1:4" x14ac:dyDescent="0.25">
      <c r="A1163" s="4" t="s">
        <v>1817</v>
      </c>
      <c r="B1163" s="4" t="s">
        <v>2492</v>
      </c>
      <c r="C1163" s="4" t="s">
        <v>2497</v>
      </c>
      <c r="D1163" s="4" t="s">
        <v>2492</v>
      </c>
    </row>
    <row r="1164" spans="1:4" x14ac:dyDescent="0.25">
      <c r="A1164" s="4" t="s">
        <v>1818</v>
      </c>
      <c r="B1164" s="4" t="s">
        <v>2492</v>
      </c>
      <c r="C1164" s="4" t="s">
        <v>1497</v>
      </c>
      <c r="D1164" s="4" t="s">
        <v>2492</v>
      </c>
    </row>
    <row r="1165" spans="1:4" x14ac:dyDescent="0.25">
      <c r="A1165" s="4" t="s">
        <v>1818</v>
      </c>
      <c r="B1165" s="4" t="s">
        <v>2492</v>
      </c>
      <c r="C1165" s="4" t="s">
        <v>2497</v>
      </c>
      <c r="D1165" s="4" t="s">
        <v>2492</v>
      </c>
    </row>
    <row r="1166" spans="1:4" x14ac:dyDescent="0.25">
      <c r="A1166" s="4" t="s">
        <v>1821</v>
      </c>
      <c r="B1166" s="4" t="s">
        <v>2501</v>
      </c>
      <c r="C1166" s="4" t="s">
        <v>2501</v>
      </c>
      <c r="D1166" s="4" t="s">
        <v>2501</v>
      </c>
    </row>
    <row r="1167" spans="1:4" x14ac:dyDescent="0.25">
      <c r="A1167" s="4" t="s">
        <v>1821</v>
      </c>
      <c r="B1167" s="4" t="s">
        <v>2510</v>
      </c>
      <c r="C1167" s="4" t="s">
        <v>2510</v>
      </c>
      <c r="D1167" s="4" t="s">
        <v>2510</v>
      </c>
    </row>
    <row r="1168" spans="1:4" x14ac:dyDescent="0.25">
      <c r="A1168" s="4" t="s">
        <v>1821</v>
      </c>
      <c r="B1168" s="4" t="s">
        <v>2513</v>
      </c>
      <c r="C1168" s="4" t="s">
        <v>2513</v>
      </c>
      <c r="D1168" s="4" t="s">
        <v>2513</v>
      </c>
    </row>
    <row r="1169" spans="1:4" x14ac:dyDescent="0.25">
      <c r="A1169" s="4" t="s">
        <v>1821</v>
      </c>
      <c r="B1169" s="4" t="s">
        <v>2514</v>
      </c>
      <c r="C1169" s="4" t="s">
        <v>2514</v>
      </c>
      <c r="D1169" s="4" t="s">
        <v>2514</v>
      </c>
    </row>
    <row r="1170" spans="1:4" x14ac:dyDescent="0.25">
      <c r="A1170" s="4" t="s">
        <v>1821</v>
      </c>
      <c r="B1170" s="4" t="s">
        <v>2536</v>
      </c>
      <c r="C1170" s="4" t="s">
        <v>2536</v>
      </c>
      <c r="D1170" s="4" t="s">
        <v>2536</v>
      </c>
    </row>
    <row r="1171" spans="1:4" x14ac:dyDescent="0.25">
      <c r="A1171" s="4" t="s">
        <v>1821</v>
      </c>
      <c r="B1171" s="4" t="s">
        <v>2516</v>
      </c>
      <c r="C1171" s="4" t="s">
        <v>2516</v>
      </c>
      <c r="D1171" s="4" t="s">
        <v>2516</v>
      </c>
    </row>
    <row r="1172" spans="1:4" x14ac:dyDescent="0.25">
      <c r="A1172" s="4" t="s">
        <v>1828</v>
      </c>
      <c r="B1172" s="4" t="s">
        <v>1497</v>
      </c>
      <c r="C1172" s="4" t="s">
        <v>1497</v>
      </c>
      <c r="D1172" s="4" t="s">
        <v>1497</v>
      </c>
    </row>
    <row r="1173" spans="1:4" x14ac:dyDescent="0.25">
      <c r="A1173" s="4" t="s">
        <v>1828</v>
      </c>
      <c r="B1173" s="4" t="s">
        <v>2498</v>
      </c>
      <c r="C1173" s="4" t="s">
        <v>2498</v>
      </c>
      <c r="D1173" s="4" t="s">
        <v>2498</v>
      </c>
    </row>
    <row r="1174" spans="1:4" x14ac:dyDescent="0.25">
      <c r="A1174" s="4" t="s">
        <v>1842</v>
      </c>
      <c r="B1174" s="4" t="s">
        <v>2492</v>
      </c>
      <c r="C1174" s="4" t="s">
        <v>1497</v>
      </c>
      <c r="D1174" s="4" t="s">
        <v>2492</v>
      </c>
    </row>
    <row r="1175" spans="1:4" x14ac:dyDescent="0.25">
      <c r="A1175" s="4" t="s">
        <v>1842</v>
      </c>
      <c r="B1175" s="4" t="s">
        <v>2492</v>
      </c>
      <c r="C1175" s="4" t="s">
        <v>2497</v>
      </c>
      <c r="D1175" s="4" t="s">
        <v>2492</v>
      </c>
    </row>
    <row r="1176" spans="1:4" x14ac:dyDescent="0.25">
      <c r="A1176" s="4" t="s">
        <v>1843</v>
      </c>
      <c r="B1176" s="4" t="s">
        <v>2500</v>
      </c>
      <c r="C1176" s="4" t="s">
        <v>2500</v>
      </c>
      <c r="D1176" s="4" t="s">
        <v>2500</v>
      </c>
    </row>
    <row r="1177" spans="1:4" x14ac:dyDescent="0.25">
      <c r="A1177" s="4" t="s">
        <v>1843</v>
      </c>
      <c r="B1177" s="4" t="s">
        <v>2524</v>
      </c>
      <c r="C1177" s="4" t="s">
        <v>2524</v>
      </c>
      <c r="D1177" s="4" t="s">
        <v>2524</v>
      </c>
    </row>
    <row r="1178" spans="1:4" x14ac:dyDescent="0.25">
      <c r="A1178" s="4" t="s">
        <v>1843</v>
      </c>
      <c r="B1178" s="4" t="s">
        <v>2525</v>
      </c>
      <c r="C1178" s="4" t="s">
        <v>2525</v>
      </c>
      <c r="D1178" s="4" t="s">
        <v>2525</v>
      </c>
    </row>
    <row r="1179" spans="1:4" x14ac:dyDescent="0.25">
      <c r="A1179" s="4" t="s">
        <v>1843</v>
      </c>
      <c r="B1179" s="4" t="s">
        <v>2527</v>
      </c>
      <c r="C1179" s="4" t="s">
        <v>2527</v>
      </c>
      <c r="D1179" s="4" t="s">
        <v>2527</v>
      </c>
    </row>
    <row r="1180" spans="1:4" x14ac:dyDescent="0.25">
      <c r="A1180" s="4" t="s">
        <v>1843</v>
      </c>
      <c r="B1180" s="4" t="s">
        <v>2521</v>
      </c>
      <c r="C1180" s="4" t="s">
        <v>2521</v>
      </c>
      <c r="D1180" s="4" t="s">
        <v>2521</v>
      </c>
    </row>
    <row r="1181" spans="1:4" x14ac:dyDescent="0.25">
      <c r="A1181" s="4" t="s">
        <v>1843</v>
      </c>
      <c r="B1181" s="4" t="s">
        <v>2522</v>
      </c>
      <c r="C1181" s="4" t="s">
        <v>2522</v>
      </c>
      <c r="D1181" s="4" t="s">
        <v>2522</v>
      </c>
    </row>
    <row r="1182" spans="1:4" x14ac:dyDescent="0.25">
      <c r="A1182" s="4" t="s">
        <v>1843</v>
      </c>
      <c r="B1182" s="4" t="s">
        <v>2528</v>
      </c>
      <c r="C1182" s="4" t="s">
        <v>2528</v>
      </c>
      <c r="D1182" s="4" t="s">
        <v>2528</v>
      </c>
    </row>
    <row r="1183" spans="1:4" x14ac:dyDescent="0.25">
      <c r="A1183" s="4" t="s">
        <v>1843</v>
      </c>
      <c r="B1183" s="4" t="s">
        <v>2529</v>
      </c>
      <c r="C1183" s="4" t="s">
        <v>2529</v>
      </c>
      <c r="D1183" s="4" t="s">
        <v>2529</v>
      </c>
    </row>
    <row r="1184" spans="1:4" x14ac:dyDescent="0.25">
      <c r="A1184" s="4" t="s">
        <v>1843</v>
      </c>
      <c r="B1184" s="4" t="s">
        <v>2531</v>
      </c>
      <c r="C1184" s="4" t="s">
        <v>2531</v>
      </c>
      <c r="D1184" s="4" t="s">
        <v>2531</v>
      </c>
    </row>
    <row r="1185" spans="1:4" x14ac:dyDescent="0.25">
      <c r="A1185" s="4" t="s">
        <v>1843</v>
      </c>
      <c r="B1185" s="4" t="s">
        <v>1497</v>
      </c>
      <c r="C1185" s="4" t="s">
        <v>1497</v>
      </c>
      <c r="D1185" s="4" t="s">
        <v>1497</v>
      </c>
    </row>
    <row r="1186" spans="1:4" x14ac:dyDescent="0.25">
      <c r="A1186" s="4" t="s">
        <v>1843</v>
      </c>
      <c r="B1186" s="4" t="s">
        <v>2534</v>
      </c>
      <c r="C1186" s="4" t="s">
        <v>2534</v>
      </c>
      <c r="D1186" s="4" t="s">
        <v>2534</v>
      </c>
    </row>
    <row r="1187" spans="1:4" x14ac:dyDescent="0.25">
      <c r="A1187" s="4" t="s">
        <v>1843</v>
      </c>
      <c r="B1187" s="4" t="s">
        <v>2535</v>
      </c>
      <c r="C1187" s="4" t="s">
        <v>2535</v>
      </c>
      <c r="D1187" s="4" t="s">
        <v>2535</v>
      </c>
    </row>
    <row r="1188" spans="1:4" x14ac:dyDescent="0.25">
      <c r="A1188" s="4" t="s">
        <v>1843</v>
      </c>
      <c r="B1188" s="4" t="s">
        <v>2514</v>
      </c>
      <c r="C1188" s="4" t="s">
        <v>2514</v>
      </c>
      <c r="D1188" s="4" t="s">
        <v>2514</v>
      </c>
    </row>
    <row r="1189" spans="1:4" x14ac:dyDescent="0.25">
      <c r="A1189" s="4" t="s">
        <v>1843</v>
      </c>
      <c r="B1189" s="4" t="s">
        <v>2503</v>
      </c>
      <c r="C1189" s="4" t="s">
        <v>2503</v>
      </c>
      <c r="D1189" s="4" t="s">
        <v>2503</v>
      </c>
    </row>
    <row r="1190" spans="1:4" x14ac:dyDescent="0.25">
      <c r="A1190" s="4" t="s">
        <v>1843</v>
      </c>
      <c r="B1190" s="4" t="s">
        <v>2549</v>
      </c>
      <c r="C1190" s="4" t="s">
        <v>2497</v>
      </c>
      <c r="D1190" s="4" t="s">
        <v>2497</v>
      </c>
    </row>
    <row r="1191" spans="1:4" x14ac:dyDescent="0.25">
      <c r="A1191" s="4" t="s">
        <v>1843</v>
      </c>
      <c r="B1191" s="4" t="s">
        <v>2549</v>
      </c>
      <c r="C1191" s="4" t="s">
        <v>2549</v>
      </c>
      <c r="D1191" s="4" t="s">
        <v>2549</v>
      </c>
    </row>
    <row r="1192" spans="1:4" x14ac:dyDescent="0.25">
      <c r="A1192" s="4" t="s">
        <v>1843</v>
      </c>
      <c r="B1192" s="4" t="s">
        <v>2542</v>
      </c>
      <c r="C1192" s="4" t="s">
        <v>2542</v>
      </c>
      <c r="D1192" s="4" t="s">
        <v>2542</v>
      </c>
    </row>
    <row r="1193" spans="1:4" x14ac:dyDescent="0.25">
      <c r="A1193" s="4" t="s">
        <v>1848</v>
      </c>
      <c r="B1193" s="4" t="s">
        <v>443</v>
      </c>
      <c r="C1193" s="4" t="s">
        <v>2492</v>
      </c>
      <c r="D1193" s="4" t="s">
        <v>443</v>
      </c>
    </row>
    <row r="1194" spans="1:4" x14ac:dyDescent="0.25">
      <c r="A1194" s="4" t="s">
        <v>1848</v>
      </c>
      <c r="B1194" s="4" t="s">
        <v>443</v>
      </c>
      <c r="C1194" s="4" t="s">
        <v>1497</v>
      </c>
      <c r="D1194" s="4" t="s">
        <v>443</v>
      </c>
    </row>
    <row r="1195" spans="1:4" x14ac:dyDescent="0.25">
      <c r="A1195" s="4" t="s">
        <v>1850</v>
      </c>
      <c r="B1195" s="4" t="s">
        <v>1497</v>
      </c>
      <c r="C1195" s="4" t="s">
        <v>1497</v>
      </c>
      <c r="D1195" s="4" t="s">
        <v>1497</v>
      </c>
    </row>
    <row r="1196" spans="1:4" x14ac:dyDescent="0.25">
      <c r="A1196" s="4" t="s">
        <v>1850</v>
      </c>
      <c r="B1196" s="4" t="s">
        <v>2550</v>
      </c>
      <c r="C1196" s="4" t="s">
        <v>2550</v>
      </c>
      <c r="D1196" s="4" t="s">
        <v>2550</v>
      </c>
    </row>
    <row r="1197" spans="1:4" x14ac:dyDescent="0.25">
      <c r="A1197" s="4" t="s">
        <v>1853</v>
      </c>
      <c r="B1197" s="4" t="s">
        <v>2550</v>
      </c>
      <c r="C1197" s="4" t="s">
        <v>2550</v>
      </c>
      <c r="D1197" s="4" t="s">
        <v>2550</v>
      </c>
    </row>
    <row r="1198" spans="1:4" x14ac:dyDescent="0.25">
      <c r="A1198" s="4" t="s">
        <v>1853</v>
      </c>
      <c r="B1198" s="4" t="s">
        <v>2498</v>
      </c>
      <c r="C1198" s="4" t="s">
        <v>2498</v>
      </c>
      <c r="D1198" s="4" t="s">
        <v>2498</v>
      </c>
    </row>
    <row r="1199" spans="1:4" x14ac:dyDescent="0.25">
      <c r="A1199" s="4" t="s">
        <v>1857</v>
      </c>
      <c r="B1199" s="4" t="s">
        <v>1497</v>
      </c>
      <c r="C1199" s="4" t="s">
        <v>1497</v>
      </c>
      <c r="D1199" s="4" t="s">
        <v>1497</v>
      </c>
    </row>
    <row r="1200" spans="1:4" x14ac:dyDescent="0.25">
      <c r="A1200" s="4" t="s">
        <v>1860</v>
      </c>
      <c r="B1200" s="4" t="s">
        <v>1497</v>
      </c>
      <c r="C1200" s="4" t="s">
        <v>1497</v>
      </c>
      <c r="D1200" s="4" t="s">
        <v>1497</v>
      </c>
    </row>
    <row r="1201" spans="1:4" x14ac:dyDescent="0.25">
      <c r="A1201" s="4" t="s">
        <v>1860</v>
      </c>
      <c r="B1201" s="4" t="s">
        <v>2507</v>
      </c>
      <c r="C1201" s="4" t="s">
        <v>2507</v>
      </c>
      <c r="D1201" s="4" t="s">
        <v>2507</v>
      </c>
    </row>
    <row r="1202" spans="1:4" x14ac:dyDescent="0.25">
      <c r="A1202" s="4" t="s">
        <v>1868</v>
      </c>
      <c r="B1202" s="4" t="s">
        <v>2492</v>
      </c>
      <c r="C1202" s="4" t="s">
        <v>1497</v>
      </c>
      <c r="D1202" s="4" t="s">
        <v>2492</v>
      </c>
    </row>
    <row r="1203" spans="1:4" x14ac:dyDescent="0.25">
      <c r="A1203" s="4" t="s">
        <v>1872</v>
      </c>
      <c r="B1203" s="4" t="s">
        <v>2492</v>
      </c>
      <c r="C1203" s="4" t="s">
        <v>1497</v>
      </c>
      <c r="D1203" s="4" t="s">
        <v>2492</v>
      </c>
    </row>
    <row r="1204" spans="1:4" x14ac:dyDescent="0.25">
      <c r="A1204" s="4" t="s">
        <v>1872</v>
      </c>
      <c r="B1204" s="4" t="s">
        <v>2492</v>
      </c>
      <c r="C1204" s="4" t="s">
        <v>2497</v>
      </c>
      <c r="D1204" s="4" t="s">
        <v>2492</v>
      </c>
    </row>
    <row r="1205" spans="1:4" x14ac:dyDescent="0.25">
      <c r="A1205" s="4" t="s">
        <v>1876</v>
      </c>
      <c r="B1205" s="4" t="s">
        <v>1497</v>
      </c>
      <c r="C1205" s="4" t="s">
        <v>1497</v>
      </c>
      <c r="D1205" s="4" t="s">
        <v>1497</v>
      </c>
    </row>
    <row r="1206" spans="1:4" x14ac:dyDescent="0.25">
      <c r="A1206" s="4" t="s">
        <v>1876</v>
      </c>
      <c r="B1206" s="4" t="s">
        <v>2498</v>
      </c>
      <c r="C1206" s="4" t="s">
        <v>2498</v>
      </c>
      <c r="D1206" s="4" t="s">
        <v>2498</v>
      </c>
    </row>
    <row r="1207" spans="1:4" x14ac:dyDescent="0.25">
      <c r="A1207" s="4" t="s">
        <v>1879</v>
      </c>
      <c r="B1207" s="4" t="s">
        <v>2492</v>
      </c>
      <c r="C1207" s="4" t="s">
        <v>1497</v>
      </c>
      <c r="D1207" s="4" t="s">
        <v>2492</v>
      </c>
    </row>
    <row r="1208" spans="1:4" x14ac:dyDescent="0.25">
      <c r="A1208" s="4" t="s">
        <v>1879</v>
      </c>
      <c r="B1208" s="4" t="s">
        <v>2492</v>
      </c>
      <c r="C1208" s="4" t="s">
        <v>2497</v>
      </c>
      <c r="D1208" s="4" t="s">
        <v>2492</v>
      </c>
    </row>
    <row r="1209" spans="1:4" x14ac:dyDescent="0.25">
      <c r="A1209" s="4" t="s">
        <v>1880</v>
      </c>
      <c r="B1209" s="4" t="s">
        <v>443</v>
      </c>
      <c r="C1209" s="4" t="s">
        <v>1497</v>
      </c>
      <c r="D1209" s="4" t="s">
        <v>443</v>
      </c>
    </row>
    <row r="1210" spans="1:4" x14ac:dyDescent="0.25">
      <c r="A1210" s="4" t="s">
        <v>1880</v>
      </c>
      <c r="B1210" s="4" t="s">
        <v>444</v>
      </c>
      <c r="C1210" s="4" t="s">
        <v>1497</v>
      </c>
      <c r="D1210" s="4" t="s">
        <v>444</v>
      </c>
    </row>
    <row r="1211" spans="1:4" x14ac:dyDescent="0.25">
      <c r="A1211" s="4" t="s">
        <v>1880</v>
      </c>
      <c r="B1211" s="4" t="s">
        <v>2492</v>
      </c>
      <c r="C1211" s="4" t="s">
        <v>1497</v>
      </c>
      <c r="D1211" s="4" t="s">
        <v>2492</v>
      </c>
    </row>
    <row r="1212" spans="1:4" x14ac:dyDescent="0.25">
      <c r="A1212" s="4" t="s">
        <v>1880</v>
      </c>
      <c r="B1212" s="4" t="s">
        <v>2492</v>
      </c>
      <c r="C1212" s="4" t="s">
        <v>2497</v>
      </c>
      <c r="D1212" s="4" t="s">
        <v>2492</v>
      </c>
    </row>
    <row r="1213" spans="1:4" x14ac:dyDescent="0.25">
      <c r="A1213" s="4" t="s">
        <v>1888</v>
      </c>
      <c r="B1213" s="4" t="s">
        <v>2492</v>
      </c>
      <c r="C1213" s="4" t="s">
        <v>2497</v>
      </c>
      <c r="D1213" s="4" t="s">
        <v>2492</v>
      </c>
    </row>
    <row r="1214" spans="1:4" x14ac:dyDescent="0.25">
      <c r="A1214" s="4" t="s">
        <v>1890</v>
      </c>
      <c r="B1214" s="4" t="s">
        <v>2498</v>
      </c>
      <c r="C1214" s="4" t="s">
        <v>2498</v>
      </c>
      <c r="D1214" s="4" t="s">
        <v>2498</v>
      </c>
    </row>
    <row r="1215" spans="1:4" x14ac:dyDescent="0.25">
      <c r="A1215" s="4" t="s">
        <v>1891</v>
      </c>
      <c r="B1215" s="4" t="s">
        <v>2492</v>
      </c>
      <c r="C1215" s="4" t="s">
        <v>2492</v>
      </c>
      <c r="D1215" s="4" t="s">
        <v>2492</v>
      </c>
    </row>
    <row r="1216" spans="1:4" x14ac:dyDescent="0.25">
      <c r="A1216" s="4" t="s">
        <v>1895</v>
      </c>
      <c r="B1216" s="4" t="s">
        <v>2493</v>
      </c>
      <c r="C1216" s="4" t="s">
        <v>2493</v>
      </c>
      <c r="D1216" s="4" t="s">
        <v>2493</v>
      </c>
    </row>
    <row r="1217" spans="1:4" x14ac:dyDescent="0.25">
      <c r="A1217" s="4" t="s">
        <v>1895</v>
      </c>
      <c r="B1217" s="4" t="s">
        <v>2492</v>
      </c>
      <c r="C1217" s="4" t="s">
        <v>2492</v>
      </c>
      <c r="D1217" s="4" t="s">
        <v>2492</v>
      </c>
    </row>
    <row r="1218" spans="1:4" x14ac:dyDescent="0.25">
      <c r="A1218" s="4" t="s">
        <v>1897</v>
      </c>
      <c r="B1218" s="4" t="s">
        <v>2498</v>
      </c>
      <c r="C1218" s="4" t="s">
        <v>2498</v>
      </c>
      <c r="D1218" s="4" t="s">
        <v>2498</v>
      </c>
    </row>
    <row r="1219" spans="1:4" x14ac:dyDescent="0.25">
      <c r="A1219" s="4" t="s">
        <v>1900</v>
      </c>
      <c r="B1219" s="4" t="s">
        <v>2492</v>
      </c>
      <c r="C1219" s="4" t="s">
        <v>1497</v>
      </c>
      <c r="D1219" s="4" t="s">
        <v>2492</v>
      </c>
    </row>
    <row r="1220" spans="1:4" x14ac:dyDescent="0.25">
      <c r="A1220" s="4" t="s">
        <v>1900</v>
      </c>
      <c r="B1220" s="4" t="s">
        <v>2492</v>
      </c>
      <c r="C1220" s="4" t="s">
        <v>2497</v>
      </c>
      <c r="D1220" s="4" t="s">
        <v>2492</v>
      </c>
    </row>
    <row r="1221" spans="1:4" x14ac:dyDescent="0.25">
      <c r="A1221" s="4" t="s">
        <v>1910</v>
      </c>
      <c r="B1221" s="4" t="s">
        <v>2492</v>
      </c>
      <c r="C1221" s="4" t="s">
        <v>2497</v>
      </c>
      <c r="D1221" s="4" t="s">
        <v>2492</v>
      </c>
    </row>
    <row r="1222" spans="1:4" x14ac:dyDescent="0.25">
      <c r="A1222" s="4" t="s">
        <v>1911</v>
      </c>
      <c r="B1222" s="4" t="s">
        <v>1497</v>
      </c>
      <c r="C1222" s="4" t="s">
        <v>1497</v>
      </c>
      <c r="D1222" s="4" t="s">
        <v>1497</v>
      </c>
    </row>
    <row r="1223" spans="1:4" x14ac:dyDescent="0.25">
      <c r="A1223" s="4" t="s">
        <v>1912</v>
      </c>
      <c r="B1223" s="4" t="s">
        <v>2492</v>
      </c>
      <c r="C1223" s="4" t="s">
        <v>1497</v>
      </c>
      <c r="D1223" s="4" t="s">
        <v>2492</v>
      </c>
    </row>
    <row r="1224" spans="1:4" x14ac:dyDescent="0.25">
      <c r="A1224" s="4" t="s">
        <v>1912</v>
      </c>
      <c r="B1224" s="4" t="s">
        <v>2492</v>
      </c>
      <c r="C1224" s="4" t="s">
        <v>2497</v>
      </c>
      <c r="D1224" s="4" t="s">
        <v>2492</v>
      </c>
    </row>
    <row r="1225" spans="1:4" x14ac:dyDescent="0.25">
      <c r="A1225" s="4" t="s">
        <v>1916</v>
      </c>
      <c r="B1225" s="4" t="s">
        <v>2492</v>
      </c>
      <c r="C1225" s="4" t="s">
        <v>1497</v>
      </c>
      <c r="D1225" s="4" t="s">
        <v>2492</v>
      </c>
    </row>
    <row r="1226" spans="1:4" x14ac:dyDescent="0.25">
      <c r="A1226" s="4" t="s">
        <v>1919</v>
      </c>
      <c r="B1226" s="4" t="s">
        <v>443</v>
      </c>
      <c r="C1226" s="4" t="s">
        <v>1497</v>
      </c>
      <c r="D1226" s="4" t="s">
        <v>443</v>
      </c>
    </row>
    <row r="1227" spans="1:4" x14ac:dyDescent="0.25">
      <c r="A1227" s="4" t="s">
        <v>1919</v>
      </c>
      <c r="B1227" s="4" t="s">
        <v>443</v>
      </c>
      <c r="C1227" s="4" t="s">
        <v>1497</v>
      </c>
      <c r="D1227" s="4" t="s">
        <v>2508</v>
      </c>
    </row>
    <row r="1228" spans="1:4" x14ac:dyDescent="0.25">
      <c r="A1228" s="4" t="s">
        <v>1919</v>
      </c>
      <c r="B1228" s="4" t="s">
        <v>444</v>
      </c>
      <c r="C1228" s="4" t="s">
        <v>1497</v>
      </c>
      <c r="D1228" s="4" t="s">
        <v>444</v>
      </c>
    </row>
    <row r="1229" spans="1:4" x14ac:dyDescent="0.25">
      <c r="A1229" s="4" t="s">
        <v>1919</v>
      </c>
      <c r="B1229" s="4" t="s">
        <v>2492</v>
      </c>
      <c r="C1229" s="4" t="s">
        <v>1497</v>
      </c>
      <c r="D1229" s="4" t="s">
        <v>2492</v>
      </c>
    </row>
    <row r="1230" spans="1:4" x14ac:dyDescent="0.25">
      <c r="A1230" s="4" t="s">
        <v>1919</v>
      </c>
      <c r="B1230" s="4" t="s">
        <v>2492</v>
      </c>
      <c r="C1230" s="4" t="s">
        <v>2497</v>
      </c>
      <c r="D1230" s="4" t="s">
        <v>2492</v>
      </c>
    </row>
    <row r="1231" spans="1:4" x14ac:dyDescent="0.25">
      <c r="A1231" s="4" t="s">
        <v>1920</v>
      </c>
      <c r="B1231" s="4" t="s">
        <v>1497</v>
      </c>
      <c r="C1231" s="4" t="s">
        <v>1497</v>
      </c>
      <c r="D1231" s="4" t="s">
        <v>1497</v>
      </c>
    </row>
    <row r="1232" spans="1:4" x14ac:dyDescent="0.25">
      <c r="A1232" s="4" t="s">
        <v>1921</v>
      </c>
      <c r="B1232" s="4" t="s">
        <v>1497</v>
      </c>
      <c r="C1232" s="4" t="s">
        <v>1497</v>
      </c>
      <c r="D1232" s="4" t="s">
        <v>1497</v>
      </c>
    </row>
    <row r="1233" spans="1:4" x14ac:dyDescent="0.25">
      <c r="A1233" s="4" t="s">
        <v>1923</v>
      </c>
      <c r="B1233" s="4" t="s">
        <v>2514</v>
      </c>
      <c r="C1233" s="4" t="s">
        <v>2514</v>
      </c>
      <c r="D1233" s="4" t="s">
        <v>2514</v>
      </c>
    </row>
    <row r="1234" spans="1:4" x14ac:dyDescent="0.25">
      <c r="A1234" s="4" t="s">
        <v>1925</v>
      </c>
      <c r="B1234" s="4" t="s">
        <v>2498</v>
      </c>
      <c r="C1234" s="4" t="s">
        <v>2498</v>
      </c>
      <c r="D1234" s="4" t="s">
        <v>2498</v>
      </c>
    </row>
    <row r="1235" spans="1:4" x14ac:dyDescent="0.25">
      <c r="A1235" s="4" t="s">
        <v>1932</v>
      </c>
      <c r="B1235" s="4" t="s">
        <v>2498</v>
      </c>
      <c r="C1235" s="4" t="s">
        <v>2498</v>
      </c>
      <c r="D1235" s="4" t="s">
        <v>2498</v>
      </c>
    </row>
    <row r="1236" spans="1:4" x14ac:dyDescent="0.25">
      <c r="A1236" s="4" t="s">
        <v>1933</v>
      </c>
      <c r="B1236" s="4" t="s">
        <v>443</v>
      </c>
      <c r="C1236" s="4" t="s">
        <v>2497</v>
      </c>
      <c r="D1236" s="4" t="s">
        <v>443</v>
      </c>
    </row>
    <row r="1237" spans="1:4" x14ac:dyDescent="0.25">
      <c r="A1237" s="4" t="s">
        <v>1933</v>
      </c>
      <c r="B1237" s="4" t="s">
        <v>2492</v>
      </c>
      <c r="C1237" s="4" t="s">
        <v>2497</v>
      </c>
      <c r="D1237" s="4" t="s">
        <v>2492</v>
      </c>
    </row>
    <row r="1238" spans="1:4" x14ac:dyDescent="0.25">
      <c r="A1238" s="4" t="s">
        <v>1935</v>
      </c>
      <c r="B1238" s="4" t="s">
        <v>2492</v>
      </c>
      <c r="C1238" s="4" t="s">
        <v>1497</v>
      </c>
      <c r="D1238" s="4" t="s">
        <v>2492</v>
      </c>
    </row>
    <row r="1239" spans="1:4" x14ac:dyDescent="0.25">
      <c r="A1239" s="4" t="s">
        <v>1935</v>
      </c>
      <c r="B1239" s="4" t="s">
        <v>2492</v>
      </c>
      <c r="C1239" s="4" t="s">
        <v>2497</v>
      </c>
      <c r="D1239" s="4" t="s">
        <v>2492</v>
      </c>
    </row>
    <row r="1240" spans="1:4" x14ac:dyDescent="0.25">
      <c r="A1240" s="4" t="s">
        <v>1941</v>
      </c>
      <c r="B1240" s="4" t="s">
        <v>2492</v>
      </c>
      <c r="C1240" s="4" t="s">
        <v>1497</v>
      </c>
      <c r="D1240" s="4" t="s">
        <v>2492</v>
      </c>
    </row>
    <row r="1241" spans="1:4" x14ac:dyDescent="0.25">
      <c r="A1241" s="4" t="s">
        <v>1943</v>
      </c>
      <c r="B1241" s="4" t="s">
        <v>443</v>
      </c>
      <c r="C1241" s="4" t="s">
        <v>1497</v>
      </c>
      <c r="D1241" s="4" t="s">
        <v>443</v>
      </c>
    </row>
    <row r="1242" spans="1:4" x14ac:dyDescent="0.25">
      <c r="A1242" s="4" t="s">
        <v>1943</v>
      </c>
      <c r="B1242" s="4" t="s">
        <v>444</v>
      </c>
      <c r="C1242" s="4" t="s">
        <v>1497</v>
      </c>
      <c r="D1242" s="4" t="s">
        <v>444</v>
      </c>
    </row>
    <row r="1243" spans="1:4" x14ac:dyDescent="0.25">
      <c r="A1243" s="4" t="s">
        <v>1943</v>
      </c>
      <c r="B1243" s="4" t="s">
        <v>2492</v>
      </c>
      <c r="C1243" s="4" t="s">
        <v>1497</v>
      </c>
      <c r="D1243" s="4" t="s">
        <v>2492</v>
      </c>
    </row>
    <row r="1244" spans="1:4" x14ac:dyDescent="0.25">
      <c r="A1244" s="4" t="s">
        <v>1943</v>
      </c>
      <c r="B1244" s="4" t="s">
        <v>2492</v>
      </c>
      <c r="C1244" s="4" t="s">
        <v>2497</v>
      </c>
      <c r="D1244" s="4" t="s">
        <v>2492</v>
      </c>
    </row>
    <row r="1245" spans="1:4" x14ac:dyDescent="0.25">
      <c r="A1245" s="4" t="s">
        <v>1944</v>
      </c>
      <c r="B1245" s="4" t="s">
        <v>2492</v>
      </c>
      <c r="C1245" s="4" t="s">
        <v>1497</v>
      </c>
      <c r="D1245" s="4" t="s">
        <v>2492</v>
      </c>
    </row>
    <row r="1246" spans="1:4" x14ac:dyDescent="0.25">
      <c r="A1246" s="4" t="s">
        <v>1946</v>
      </c>
      <c r="B1246" s="4" t="s">
        <v>2494</v>
      </c>
      <c r="C1246" s="4" t="s">
        <v>2494</v>
      </c>
      <c r="D1246" s="4" t="s">
        <v>2494</v>
      </c>
    </row>
    <row r="1247" spans="1:4" x14ac:dyDescent="0.25">
      <c r="A1247" s="4" t="s">
        <v>1946</v>
      </c>
      <c r="B1247" s="4" t="s">
        <v>2550</v>
      </c>
      <c r="C1247" s="4" t="s">
        <v>2550</v>
      </c>
      <c r="D1247" s="4" t="s">
        <v>2550</v>
      </c>
    </row>
    <row r="1248" spans="1:4" x14ac:dyDescent="0.25">
      <c r="A1248" s="4" t="s">
        <v>1952</v>
      </c>
      <c r="B1248" s="4" t="s">
        <v>2492</v>
      </c>
      <c r="C1248" s="4" t="s">
        <v>1497</v>
      </c>
      <c r="D1248" s="4" t="s">
        <v>2492</v>
      </c>
    </row>
    <row r="1249" spans="1:4" x14ac:dyDescent="0.25">
      <c r="A1249" s="4" t="s">
        <v>1955</v>
      </c>
      <c r="B1249" s="4" t="s">
        <v>2498</v>
      </c>
      <c r="C1249" s="4" t="s">
        <v>2498</v>
      </c>
      <c r="D1249" s="4" t="s">
        <v>2498</v>
      </c>
    </row>
    <row r="1250" spans="1:4" x14ac:dyDescent="0.25">
      <c r="A1250" s="4" t="s">
        <v>1964</v>
      </c>
      <c r="B1250" s="4" t="s">
        <v>2492</v>
      </c>
      <c r="C1250" s="4" t="s">
        <v>2492</v>
      </c>
      <c r="D1250" s="4" t="s">
        <v>2492</v>
      </c>
    </row>
    <row r="1251" spans="1:4" x14ac:dyDescent="0.25">
      <c r="A1251" s="4" t="s">
        <v>1965</v>
      </c>
      <c r="B1251" s="4" t="s">
        <v>2492</v>
      </c>
      <c r="C1251" s="4" t="s">
        <v>2492</v>
      </c>
      <c r="D1251" s="4" t="s">
        <v>2492</v>
      </c>
    </row>
    <row r="1252" spans="1:4" x14ac:dyDescent="0.25">
      <c r="A1252" s="4" t="s">
        <v>1966</v>
      </c>
      <c r="B1252" s="4" t="s">
        <v>2492</v>
      </c>
      <c r="C1252" s="4" t="s">
        <v>2492</v>
      </c>
      <c r="D1252" s="4" t="s">
        <v>2492</v>
      </c>
    </row>
    <row r="1253" spans="1:4" x14ac:dyDescent="0.25">
      <c r="A1253" s="4" t="s">
        <v>1968</v>
      </c>
      <c r="B1253" s="4" t="s">
        <v>2492</v>
      </c>
      <c r="C1253" s="4" t="s">
        <v>2492</v>
      </c>
      <c r="D1253" s="4" t="s">
        <v>2492</v>
      </c>
    </row>
    <row r="1254" spans="1:4" x14ac:dyDescent="0.25">
      <c r="A1254" s="4" t="s">
        <v>1969</v>
      </c>
      <c r="B1254" s="4" t="s">
        <v>2492</v>
      </c>
      <c r="C1254" s="4" t="s">
        <v>2492</v>
      </c>
      <c r="D1254" s="4" t="s">
        <v>2492</v>
      </c>
    </row>
    <row r="1255" spans="1:4" x14ac:dyDescent="0.25">
      <c r="A1255" s="4" t="s">
        <v>1970</v>
      </c>
      <c r="B1255" s="4" t="s">
        <v>2492</v>
      </c>
      <c r="C1255" s="4" t="s">
        <v>2497</v>
      </c>
      <c r="D1255" s="4" t="s">
        <v>2492</v>
      </c>
    </row>
    <row r="1256" spans="1:4" x14ac:dyDescent="0.25">
      <c r="A1256" s="4" t="s">
        <v>1975</v>
      </c>
      <c r="B1256" s="4" t="s">
        <v>2492</v>
      </c>
      <c r="C1256" s="4" t="s">
        <v>2492</v>
      </c>
      <c r="D1256" s="4" t="s">
        <v>2492</v>
      </c>
    </row>
    <row r="1257" spans="1:4" x14ac:dyDescent="0.25">
      <c r="A1257" s="4" t="s">
        <v>1981</v>
      </c>
      <c r="B1257" s="4" t="s">
        <v>2492</v>
      </c>
      <c r="C1257" s="4" t="s">
        <v>1497</v>
      </c>
      <c r="D1257" s="4" t="s">
        <v>2492</v>
      </c>
    </row>
    <row r="1258" spans="1:4" x14ac:dyDescent="0.25">
      <c r="A1258" s="4" t="s">
        <v>1982</v>
      </c>
      <c r="B1258" s="4" t="s">
        <v>2492</v>
      </c>
      <c r="C1258" s="4" t="s">
        <v>2492</v>
      </c>
      <c r="D1258" s="4" t="s">
        <v>2492</v>
      </c>
    </row>
    <row r="1259" spans="1:4" x14ac:dyDescent="0.25">
      <c r="A1259" s="4" t="s">
        <v>1984</v>
      </c>
      <c r="B1259" s="4" t="s">
        <v>1497</v>
      </c>
      <c r="C1259" s="4" t="s">
        <v>1497</v>
      </c>
      <c r="D1259" s="4" t="s">
        <v>1497</v>
      </c>
    </row>
    <row r="1260" spans="1:4" x14ac:dyDescent="0.25">
      <c r="A1260" s="4" t="s">
        <v>1987</v>
      </c>
      <c r="B1260" s="4" t="s">
        <v>2492</v>
      </c>
      <c r="C1260" s="4" t="s">
        <v>2492</v>
      </c>
      <c r="D1260" s="4" t="s">
        <v>2492</v>
      </c>
    </row>
    <row r="1261" spans="1:4" x14ac:dyDescent="0.25">
      <c r="A1261" s="4" t="s">
        <v>1992</v>
      </c>
      <c r="B1261" s="4" t="s">
        <v>2492</v>
      </c>
      <c r="C1261" s="4" t="s">
        <v>2492</v>
      </c>
      <c r="D1261" s="4" t="s">
        <v>2492</v>
      </c>
    </row>
    <row r="1262" spans="1:4" x14ac:dyDescent="0.25">
      <c r="A1262" s="4" t="s">
        <v>1993</v>
      </c>
      <c r="B1262" s="4" t="s">
        <v>444</v>
      </c>
      <c r="C1262" s="4" t="s">
        <v>1497</v>
      </c>
      <c r="D1262" s="4" t="s">
        <v>444</v>
      </c>
    </row>
    <row r="1263" spans="1:4" x14ac:dyDescent="0.25">
      <c r="A1263" s="4" t="s">
        <v>1997</v>
      </c>
      <c r="B1263" s="4" t="s">
        <v>2492</v>
      </c>
      <c r="C1263" s="4" t="s">
        <v>2497</v>
      </c>
      <c r="D1263" s="4" t="s">
        <v>2492</v>
      </c>
    </row>
    <row r="1264" spans="1:4" x14ac:dyDescent="0.25">
      <c r="A1264" s="4" t="s">
        <v>2002</v>
      </c>
      <c r="B1264" s="4" t="s">
        <v>1497</v>
      </c>
      <c r="C1264" s="4" t="s">
        <v>1497</v>
      </c>
      <c r="D1264" s="4" t="s">
        <v>1497</v>
      </c>
    </row>
    <row r="1265" spans="1:4" x14ac:dyDescent="0.25">
      <c r="A1265" s="4" t="s">
        <v>2005</v>
      </c>
      <c r="B1265" s="4" t="s">
        <v>2493</v>
      </c>
      <c r="C1265" s="4" t="s">
        <v>2493</v>
      </c>
      <c r="D1265" s="4" t="s">
        <v>2493</v>
      </c>
    </row>
    <row r="1266" spans="1:4" x14ac:dyDescent="0.25">
      <c r="A1266" s="4" t="s">
        <v>2008</v>
      </c>
      <c r="B1266" s="4" t="s">
        <v>2520</v>
      </c>
      <c r="C1266" s="4" t="s">
        <v>2520</v>
      </c>
      <c r="D1266" s="4" t="s">
        <v>2520</v>
      </c>
    </row>
    <row r="1267" spans="1:4" x14ac:dyDescent="0.25">
      <c r="A1267" s="4" t="s">
        <v>2008</v>
      </c>
      <c r="B1267" s="4" t="s">
        <v>2492</v>
      </c>
      <c r="C1267" s="4" t="s">
        <v>2492</v>
      </c>
      <c r="D1267" s="4" t="s">
        <v>2492</v>
      </c>
    </row>
    <row r="1268" spans="1:4" x14ac:dyDescent="0.25">
      <c r="A1268" s="4" t="s">
        <v>2008</v>
      </c>
      <c r="B1268" s="4" t="s">
        <v>2526</v>
      </c>
      <c r="C1268" s="4" t="s">
        <v>2526</v>
      </c>
      <c r="D1268" s="4" t="s">
        <v>2526</v>
      </c>
    </row>
    <row r="1269" spans="1:4" x14ac:dyDescent="0.25">
      <c r="A1269" s="4" t="s">
        <v>2008</v>
      </c>
      <c r="B1269" s="4" t="s">
        <v>2548</v>
      </c>
      <c r="C1269" s="4" t="s">
        <v>2548</v>
      </c>
      <c r="D1269" s="4" t="s">
        <v>2548</v>
      </c>
    </row>
    <row r="1270" spans="1:4" x14ac:dyDescent="0.25">
      <c r="A1270" s="4" t="s">
        <v>2008</v>
      </c>
      <c r="B1270" s="4" t="s">
        <v>2501</v>
      </c>
      <c r="C1270" s="4" t="s">
        <v>2501</v>
      </c>
      <c r="D1270" s="4" t="s">
        <v>2501</v>
      </c>
    </row>
    <row r="1271" spans="1:4" x14ac:dyDescent="0.25">
      <c r="A1271" s="4" t="s">
        <v>2008</v>
      </c>
      <c r="B1271" s="4" t="s">
        <v>2532</v>
      </c>
      <c r="C1271" s="4" t="s">
        <v>2532</v>
      </c>
      <c r="D1271" s="4" t="s">
        <v>2532</v>
      </c>
    </row>
    <row r="1272" spans="1:4" x14ac:dyDescent="0.25">
      <c r="A1272" s="4" t="s">
        <v>2008</v>
      </c>
      <c r="B1272" s="4" t="s">
        <v>1497</v>
      </c>
      <c r="C1272" s="4" t="s">
        <v>1497</v>
      </c>
      <c r="D1272" s="4" t="s">
        <v>1497</v>
      </c>
    </row>
    <row r="1273" spans="1:4" x14ac:dyDescent="0.25">
      <c r="A1273" s="4" t="s">
        <v>2008</v>
      </c>
      <c r="B1273" s="4" t="s">
        <v>2534</v>
      </c>
      <c r="C1273" s="4" t="s">
        <v>2534</v>
      </c>
      <c r="D1273" s="4" t="s">
        <v>2534</v>
      </c>
    </row>
    <row r="1274" spans="1:4" x14ac:dyDescent="0.25">
      <c r="A1274" s="4" t="s">
        <v>2008</v>
      </c>
      <c r="B1274" s="4" t="s">
        <v>2496</v>
      </c>
      <c r="C1274" s="4" t="s">
        <v>2496</v>
      </c>
      <c r="D1274" s="4" t="s">
        <v>2496</v>
      </c>
    </row>
    <row r="1275" spans="1:4" x14ac:dyDescent="0.25">
      <c r="A1275" s="4" t="s">
        <v>2008</v>
      </c>
      <c r="B1275" s="4" t="s">
        <v>2549</v>
      </c>
      <c r="C1275" s="4" t="s">
        <v>2549</v>
      </c>
      <c r="D1275" s="4" t="s">
        <v>2549</v>
      </c>
    </row>
    <row r="1276" spans="1:4" x14ac:dyDescent="0.25">
      <c r="A1276" s="4" t="s">
        <v>2008</v>
      </c>
      <c r="B1276" s="4" t="s">
        <v>2542</v>
      </c>
      <c r="C1276" s="4" t="s">
        <v>2542</v>
      </c>
      <c r="D1276" s="4" t="s">
        <v>2542</v>
      </c>
    </row>
    <row r="1277" spans="1:4" x14ac:dyDescent="0.25">
      <c r="A1277" s="4" t="s">
        <v>2008</v>
      </c>
      <c r="B1277" s="4" t="s">
        <v>2538</v>
      </c>
      <c r="C1277" s="4" t="s">
        <v>2538</v>
      </c>
      <c r="D1277" s="4" t="s">
        <v>2538</v>
      </c>
    </row>
    <row r="1278" spans="1:4" x14ac:dyDescent="0.25">
      <c r="A1278" s="4" t="s">
        <v>2010</v>
      </c>
      <c r="B1278" s="4" t="s">
        <v>2498</v>
      </c>
      <c r="C1278" s="4" t="s">
        <v>2498</v>
      </c>
      <c r="D1278" s="4" t="s">
        <v>2498</v>
      </c>
    </row>
    <row r="1279" spans="1:4" x14ac:dyDescent="0.25">
      <c r="A1279" s="4" t="s">
        <v>2012</v>
      </c>
      <c r="B1279" s="4" t="s">
        <v>443</v>
      </c>
      <c r="C1279" s="4" t="s">
        <v>1497</v>
      </c>
      <c r="D1279" s="4" t="s">
        <v>443</v>
      </c>
    </row>
    <row r="1280" spans="1:4" x14ac:dyDescent="0.25">
      <c r="A1280" s="4" t="s">
        <v>2012</v>
      </c>
      <c r="B1280" s="4" t="s">
        <v>444</v>
      </c>
      <c r="C1280" s="4" t="s">
        <v>1497</v>
      </c>
      <c r="D1280" s="4" t="s">
        <v>444</v>
      </c>
    </row>
    <row r="1281" spans="1:4" x14ac:dyDescent="0.25">
      <c r="A1281" s="4" t="s">
        <v>2012</v>
      </c>
      <c r="B1281" s="4" t="s">
        <v>2492</v>
      </c>
      <c r="C1281" s="4" t="s">
        <v>1497</v>
      </c>
      <c r="D1281" s="4" t="s">
        <v>2492</v>
      </c>
    </row>
    <row r="1282" spans="1:4" x14ac:dyDescent="0.25">
      <c r="A1282" s="4" t="s">
        <v>2012</v>
      </c>
      <c r="B1282" s="4" t="s">
        <v>2492</v>
      </c>
      <c r="C1282" s="4" t="s">
        <v>2497</v>
      </c>
      <c r="D1282" s="4" t="s">
        <v>2492</v>
      </c>
    </row>
    <row r="1283" spans="1:4" x14ac:dyDescent="0.25">
      <c r="A1283" s="4" t="s">
        <v>2013</v>
      </c>
      <c r="B1283" s="4" t="s">
        <v>2526</v>
      </c>
      <c r="C1283" s="4" t="s">
        <v>2526</v>
      </c>
      <c r="D1283" s="4" t="s">
        <v>2526</v>
      </c>
    </row>
    <row r="1284" spans="1:4" x14ac:dyDescent="0.25">
      <c r="A1284" s="4" t="s">
        <v>2013</v>
      </c>
      <c r="B1284" s="4" t="s">
        <v>2509</v>
      </c>
      <c r="C1284" s="4" t="s">
        <v>2509</v>
      </c>
      <c r="D1284" s="4" t="s">
        <v>2509</v>
      </c>
    </row>
    <row r="1285" spans="1:4" x14ac:dyDescent="0.25">
      <c r="A1285" s="4" t="s">
        <v>2013</v>
      </c>
      <c r="B1285" s="4" t="s">
        <v>2528</v>
      </c>
      <c r="C1285" s="4" t="s">
        <v>2528</v>
      </c>
      <c r="D1285" s="4" t="s">
        <v>2528</v>
      </c>
    </row>
    <row r="1286" spans="1:4" x14ac:dyDescent="0.25">
      <c r="A1286" s="4" t="s">
        <v>2014</v>
      </c>
      <c r="B1286" s="4" t="s">
        <v>2492</v>
      </c>
      <c r="C1286" s="4" t="s">
        <v>1497</v>
      </c>
      <c r="D1286" s="4" t="s">
        <v>2492</v>
      </c>
    </row>
    <row r="1287" spans="1:4" x14ac:dyDescent="0.25">
      <c r="A1287" s="4" t="s">
        <v>2014</v>
      </c>
      <c r="B1287" s="4" t="s">
        <v>2492</v>
      </c>
      <c r="C1287" s="4" t="s">
        <v>2497</v>
      </c>
      <c r="D1287" s="4" t="s">
        <v>2492</v>
      </c>
    </row>
    <row r="1288" spans="1:4" x14ac:dyDescent="0.25">
      <c r="A1288" s="4" t="s">
        <v>2016</v>
      </c>
      <c r="B1288" s="4" t="s">
        <v>2492</v>
      </c>
      <c r="C1288" s="4" t="s">
        <v>1497</v>
      </c>
      <c r="D1288" s="4" t="s">
        <v>2492</v>
      </c>
    </row>
    <row r="1289" spans="1:4" x14ac:dyDescent="0.25">
      <c r="A1289" s="4" t="s">
        <v>2016</v>
      </c>
      <c r="B1289" s="4" t="s">
        <v>2492</v>
      </c>
      <c r="C1289" s="4" t="s">
        <v>2497</v>
      </c>
      <c r="D1289" s="4" t="s">
        <v>2492</v>
      </c>
    </row>
    <row r="1290" spans="1:4" x14ac:dyDescent="0.25">
      <c r="A1290" s="4" t="s">
        <v>2022</v>
      </c>
      <c r="B1290" s="4" t="s">
        <v>2492</v>
      </c>
      <c r="C1290" s="4" t="s">
        <v>1497</v>
      </c>
      <c r="D1290" s="4" t="s">
        <v>2492</v>
      </c>
    </row>
    <row r="1291" spans="1:4" x14ac:dyDescent="0.25">
      <c r="A1291" s="4" t="s">
        <v>2022</v>
      </c>
      <c r="B1291" s="4" t="s">
        <v>2492</v>
      </c>
      <c r="C1291" s="4" t="s">
        <v>2497</v>
      </c>
      <c r="D1291" s="4" t="s">
        <v>2492</v>
      </c>
    </row>
    <row r="1292" spans="1:4" x14ac:dyDescent="0.25">
      <c r="A1292" s="4" t="s">
        <v>2025</v>
      </c>
      <c r="B1292" s="4" t="s">
        <v>2492</v>
      </c>
      <c r="C1292" s="4" t="s">
        <v>1497</v>
      </c>
      <c r="D1292" s="4" t="s">
        <v>2492</v>
      </c>
    </row>
    <row r="1293" spans="1:4" x14ac:dyDescent="0.25">
      <c r="A1293" s="4" t="s">
        <v>2025</v>
      </c>
      <c r="B1293" s="4" t="s">
        <v>2492</v>
      </c>
      <c r="C1293" s="4" t="s">
        <v>2497</v>
      </c>
      <c r="D1293" s="4" t="s">
        <v>2492</v>
      </c>
    </row>
    <row r="1294" spans="1:4" x14ac:dyDescent="0.25">
      <c r="A1294" s="4" t="s">
        <v>2027</v>
      </c>
      <c r="B1294" s="4" t="s">
        <v>1497</v>
      </c>
      <c r="C1294" s="4" t="s">
        <v>1497</v>
      </c>
      <c r="D1294" s="4" t="s">
        <v>1497</v>
      </c>
    </row>
    <row r="1295" spans="1:4" x14ac:dyDescent="0.25">
      <c r="A1295" s="4" t="s">
        <v>2034</v>
      </c>
      <c r="B1295" s="4" t="s">
        <v>2492</v>
      </c>
      <c r="C1295" s="4" t="s">
        <v>1497</v>
      </c>
      <c r="D1295" s="4" t="s">
        <v>2492</v>
      </c>
    </row>
    <row r="1296" spans="1:4" x14ac:dyDescent="0.25">
      <c r="A1296" s="4" t="s">
        <v>2040</v>
      </c>
      <c r="B1296" s="4" t="s">
        <v>2492</v>
      </c>
      <c r="C1296" s="4" t="s">
        <v>1497</v>
      </c>
      <c r="D1296" s="4" t="s">
        <v>2492</v>
      </c>
    </row>
    <row r="1297" spans="1:4" x14ac:dyDescent="0.25">
      <c r="A1297" s="4" t="s">
        <v>2040</v>
      </c>
      <c r="B1297" s="4" t="s">
        <v>2492</v>
      </c>
      <c r="C1297" s="4" t="s">
        <v>2497</v>
      </c>
      <c r="D1297" s="4" t="s">
        <v>2492</v>
      </c>
    </row>
    <row r="1298" spans="1:4" x14ac:dyDescent="0.25">
      <c r="A1298" s="4" t="s">
        <v>2042</v>
      </c>
      <c r="B1298" s="4" t="s">
        <v>2492</v>
      </c>
      <c r="C1298" s="4" t="s">
        <v>2492</v>
      </c>
      <c r="D1298" s="4" t="s">
        <v>2492</v>
      </c>
    </row>
    <row r="1299" spans="1:4" x14ac:dyDescent="0.25">
      <c r="A1299" s="4" t="s">
        <v>2044</v>
      </c>
      <c r="B1299" s="4" t="s">
        <v>2492</v>
      </c>
      <c r="C1299" s="4" t="s">
        <v>2497</v>
      </c>
      <c r="D1299" s="4" t="s">
        <v>2492</v>
      </c>
    </row>
    <row r="1300" spans="1:4" x14ac:dyDescent="0.25">
      <c r="A1300" s="4" t="s">
        <v>2045</v>
      </c>
      <c r="B1300" s="4" t="s">
        <v>2492</v>
      </c>
      <c r="C1300" s="4" t="s">
        <v>1497</v>
      </c>
      <c r="D1300" s="4" t="s">
        <v>2492</v>
      </c>
    </row>
    <row r="1301" spans="1:4" x14ac:dyDescent="0.25">
      <c r="A1301" s="4" t="s">
        <v>2046</v>
      </c>
      <c r="B1301" s="4" t="s">
        <v>2492</v>
      </c>
      <c r="C1301" s="4" t="s">
        <v>2497</v>
      </c>
      <c r="D1301" s="4" t="s">
        <v>2492</v>
      </c>
    </row>
    <row r="1302" spans="1:4" x14ac:dyDescent="0.25">
      <c r="A1302" s="4" t="s">
        <v>2047</v>
      </c>
      <c r="B1302" s="4" t="s">
        <v>1497</v>
      </c>
      <c r="C1302" s="4" t="s">
        <v>1497</v>
      </c>
      <c r="D1302" s="4" t="s">
        <v>1497</v>
      </c>
    </row>
    <row r="1303" spans="1:4" x14ac:dyDescent="0.25">
      <c r="A1303" s="4" t="s">
        <v>2047</v>
      </c>
      <c r="B1303" s="4" t="s">
        <v>2498</v>
      </c>
      <c r="C1303" s="4" t="s">
        <v>2498</v>
      </c>
      <c r="D1303" s="4" t="s">
        <v>2498</v>
      </c>
    </row>
    <row r="1304" spans="1:4" x14ac:dyDescent="0.25">
      <c r="A1304" s="4" t="s">
        <v>2056</v>
      </c>
      <c r="B1304" s="4" t="s">
        <v>443</v>
      </c>
      <c r="C1304" s="4" t="s">
        <v>1497</v>
      </c>
      <c r="D1304" s="4" t="s">
        <v>443</v>
      </c>
    </row>
    <row r="1305" spans="1:4" x14ac:dyDescent="0.25">
      <c r="A1305" s="4" t="s">
        <v>2056</v>
      </c>
      <c r="B1305" s="4" t="s">
        <v>2492</v>
      </c>
      <c r="C1305" s="4" t="s">
        <v>1497</v>
      </c>
      <c r="D1305" s="4" t="s">
        <v>2492</v>
      </c>
    </row>
    <row r="1306" spans="1:4" x14ac:dyDescent="0.25">
      <c r="A1306" s="4" t="s">
        <v>2056</v>
      </c>
      <c r="B1306" s="4" t="s">
        <v>2492</v>
      </c>
      <c r="C1306" s="4" t="s">
        <v>2497</v>
      </c>
      <c r="D1306" s="4" t="s">
        <v>2492</v>
      </c>
    </row>
    <row r="1307" spans="1:4" x14ac:dyDescent="0.25">
      <c r="A1307" s="4" t="s">
        <v>2058</v>
      </c>
      <c r="B1307" s="4" t="s">
        <v>2492</v>
      </c>
      <c r="C1307" s="4" t="s">
        <v>1497</v>
      </c>
      <c r="D1307" s="4" t="s">
        <v>2492</v>
      </c>
    </row>
    <row r="1308" spans="1:4" x14ac:dyDescent="0.25">
      <c r="A1308" s="4" t="s">
        <v>2058</v>
      </c>
      <c r="B1308" s="4" t="s">
        <v>2492</v>
      </c>
      <c r="C1308" s="4" t="s">
        <v>2497</v>
      </c>
      <c r="D1308" s="4" t="s">
        <v>2492</v>
      </c>
    </row>
    <row r="1309" spans="1:4" x14ac:dyDescent="0.25">
      <c r="A1309" s="4" t="s">
        <v>2059</v>
      </c>
      <c r="B1309" s="4" t="s">
        <v>2492</v>
      </c>
      <c r="C1309" s="4" t="s">
        <v>1497</v>
      </c>
      <c r="D1309" s="4" t="s">
        <v>2492</v>
      </c>
    </row>
    <row r="1310" spans="1:4" x14ac:dyDescent="0.25">
      <c r="A1310" s="4" t="s">
        <v>2060</v>
      </c>
      <c r="B1310" s="4" t="s">
        <v>443</v>
      </c>
      <c r="C1310" s="4" t="s">
        <v>1497</v>
      </c>
      <c r="D1310" s="4" t="s">
        <v>443</v>
      </c>
    </row>
    <row r="1311" spans="1:4" x14ac:dyDescent="0.25">
      <c r="A1311" s="4" t="s">
        <v>2060</v>
      </c>
      <c r="B1311" s="4" t="s">
        <v>444</v>
      </c>
      <c r="C1311" s="4" t="s">
        <v>1497</v>
      </c>
      <c r="D1311" s="4" t="s">
        <v>444</v>
      </c>
    </row>
    <row r="1312" spans="1:4" x14ac:dyDescent="0.25">
      <c r="A1312" s="4" t="s">
        <v>2060</v>
      </c>
      <c r="B1312" s="4" t="s">
        <v>2492</v>
      </c>
      <c r="C1312" s="4" t="s">
        <v>1497</v>
      </c>
      <c r="D1312" s="4" t="s">
        <v>2492</v>
      </c>
    </row>
    <row r="1313" spans="1:4" x14ac:dyDescent="0.25">
      <c r="A1313" s="4" t="s">
        <v>2062</v>
      </c>
      <c r="B1313" s="4" t="s">
        <v>2498</v>
      </c>
      <c r="C1313" s="4" t="s">
        <v>2498</v>
      </c>
      <c r="D1313" s="4" t="s">
        <v>2498</v>
      </c>
    </row>
    <row r="1314" spans="1:4" x14ac:dyDescent="0.25">
      <c r="A1314" s="4" t="s">
        <v>2065</v>
      </c>
      <c r="B1314" s="4" t="s">
        <v>2492</v>
      </c>
      <c r="C1314" s="4" t="s">
        <v>1497</v>
      </c>
      <c r="D1314" s="4" t="s">
        <v>2492</v>
      </c>
    </row>
    <row r="1315" spans="1:4" x14ac:dyDescent="0.25">
      <c r="A1315" s="4" t="s">
        <v>2065</v>
      </c>
      <c r="B1315" s="4" t="s">
        <v>2492</v>
      </c>
      <c r="C1315" s="4" t="s">
        <v>2497</v>
      </c>
      <c r="D1315" s="4" t="s">
        <v>2492</v>
      </c>
    </row>
    <row r="1316" spans="1:4" x14ac:dyDescent="0.25">
      <c r="A1316" s="4" t="s">
        <v>2068</v>
      </c>
      <c r="B1316" s="4" t="s">
        <v>1497</v>
      </c>
      <c r="C1316" s="4" t="s">
        <v>1497</v>
      </c>
      <c r="D1316" s="4" t="s">
        <v>1497</v>
      </c>
    </row>
    <row r="1317" spans="1:4" x14ac:dyDescent="0.25">
      <c r="A1317" s="4" t="s">
        <v>2072</v>
      </c>
      <c r="B1317" s="4" t="s">
        <v>2492</v>
      </c>
      <c r="C1317" s="4" t="s">
        <v>2492</v>
      </c>
      <c r="D1317" s="4" t="s">
        <v>2492</v>
      </c>
    </row>
    <row r="1318" spans="1:4" x14ac:dyDescent="0.25">
      <c r="A1318" s="4" t="s">
        <v>2072</v>
      </c>
      <c r="B1318" s="4" t="s">
        <v>1497</v>
      </c>
      <c r="C1318" s="4" t="s">
        <v>1497</v>
      </c>
      <c r="D1318" s="4" t="s">
        <v>1497</v>
      </c>
    </row>
    <row r="1319" spans="1:4" x14ac:dyDescent="0.25">
      <c r="A1319" s="4" t="s">
        <v>2073</v>
      </c>
      <c r="B1319" s="4" t="s">
        <v>2493</v>
      </c>
      <c r="C1319" s="4" t="s">
        <v>2493</v>
      </c>
      <c r="D1319" s="4" t="s">
        <v>2493</v>
      </c>
    </row>
    <row r="1320" spans="1:4" x14ac:dyDescent="0.25">
      <c r="A1320" s="4" t="s">
        <v>2080</v>
      </c>
      <c r="B1320" s="4" t="s">
        <v>2494</v>
      </c>
      <c r="C1320" s="4" t="s">
        <v>2494</v>
      </c>
      <c r="D1320" s="4" t="s">
        <v>2494</v>
      </c>
    </row>
    <row r="1321" spans="1:4" x14ac:dyDescent="0.25">
      <c r="A1321" s="4" t="s">
        <v>2080</v>
      </c>
      <c r="B1321" s="4" t="s">
        <v>2506</v>
      </c>
      <c r="C1321" s="4" t="s">
        <v>2506</v>
      </c>
      <c r="D1321" s="4" t="s">
        <v>2506</v>
      </c>
    </row>
    <row r="1322" spans="1:4" x14ac:dyDescent="0.25">
      <c r="A1322" s="4" t="s">
        <v>2084</v>
      </c>
      <c r="B1322" s="4" t="s">
        <v>2492</v>
      </c>
      <c r="C1322" s="4" t="s">
        <v>2497</v>
      </c>
      <c r="D1322" s="4" t="s">
        <v>2492</v>
      </c>
    </row>
    <row r="1323" spans="1:4" x14ac:dyDescent="0.25">
      <c r="A1323" s="4" t="s">
        <v>2086</v>
      </c>
      <c r="B1323" s="4" t="s">
        <v>2506</v>
      </c>
      <c r="C1323" s="4" t="s">
        <v>2506</v>
      </c>
      <c r="D1323" s="4" t="s">
        <v>2506</v>
      </c>
    </row>
    <row r="1324" spans="1:4" x14ac:dyDescent="0.25">
      <c r="A1324" s="4" t="s">
        <v>2088</v>
      </c>
      <c r="B1324" s="4" t="s">
        <v>2492</v>
      </c>
      <c r="C1324" s="4" t="s">
        <v>2497</v>
      </c>
      <c r="D1324" s="4" t="s">
        <v>2492</v>
      </c>
    </row>
    <row r="1325" spans="1:4" x14ac:dyDescent="0.25">
      <c r="A1325" s="4" t="s">
        <v>2090</v>
      </c>
      <c r="B1325" s="4" t="s">
        <v>2498</v>
      </c>
      <c r="C1325" s="4" t="s">
        <v>2498</v>
      </c>
      <c r="D1325" s="4" t="s">
        <v>2498</v>
      </c>
    </row>
    <row r="1326" spans="1:4" x14ac:dyDescent="0.25">
      <c r="A1326" s="4" t="s">
        <v>2095</v>
      </c>
      <c r="B1326" s="4" t="s">
        <v>2492</v>
      </c>
      <c r="C1326" s="4" t="s">
        <v>2497</v>
      </c>
      <c r="D1326" s="4" t="s">
        <v>2492</v>
      </c>
    </row>
    <row r="1327" spans="1:4" x14ac:dyDescent="0.25">
      <c r="A1327" s="4" t="s">
        <v>2097</v>
      </c>
      <c r="B1327" s="4" t="s">
        <v>2492</v>
      </c>
      <c r="C1327" s="4" t="s">
        <v>2497</v>
      </c>
      <c r="D1327" s="4" t="s">
        <v>2492</v>
      </c>
    </row>
    <row r="1328" spans="1:4" x14ac:dyDescent="0.25">
      <c r="A1328" s="4" t="s">
        <v>2102</v>
      </c>
      <c r="B1328" s="4" t="s">
        <v>2499</v>
      </c>
      <c r="C1328" s="4" t="s">
        <v>2499</v>
      </c>
      <c r="D1328" s="4" t="s">
        <v>2499</v>
      </c>
    </row>
    <row r="1329" spans="1:4" x14ac:dyDescent="0.25">
      <c r="A1329" s="4" t="s">
        <v>2102</v>
      </c>
      <c r="B1329" s="4" t="s">
        <v>2500</v>
      </c>
      <c r="C1329" s="4" t="s">
        <v>2500</v>
      </c>
      <c r="D1329" s="4" t="s">
        <v>2500</v>
      </c>
    </row>
    <row r="1330" spans="1:4" x14ac:dyDescent="0.25">
      <c r="A1330" s="4" t="s">
        <v>2102</v>
      </c>
      <c r="B1330" s="4" t="s">
        <v>2547</v>
      </c>
      <c r="C1330" s="4" t="s">
        <v>2547</v>
      </c>
      <c r="D1330" s="4" t="s">
        <v>2547</v>
      </c>
    </row>
    <row r="1331" spans="1:4" x14ac:dyDescent="0.25">
      <c r="A1331" s="4" t="s">
        <v>2102</v>
      </c>
      <c r="B1331" s="4" t="s">
        <v>2508</v>
      </c>
      <c r="C1331" s="4" t="s">
        <v>2508</v>
      </c>
      <c r="D1331" s="4" t="s">
        <v>2508</v>
      </c>
    </row>
    <row r="1332" spans="1:4" x14ac:dyDescent="0.25">
      <c r="A1332" s="4" t="s">
        <v>2102</v>
      </c>
      <c r="B1332" s="4" t="s">
        <v>2521</v>
      </c>
      <c r="C1332" s="4" t="s">
        <v>2521</v>
      </c>
      <c r="D1332" s="4" t="s">
        <v>2521</v>
      </c>
    </row>
    <row r="1333" spans="1:4" x14ac:dyDescent="0.25">
      <c r="A1333" s="4" t="s">
        <v>2102</v>
      </c>
      <c r="B1333" s="4" t="s">
        <v>2522</v>
      </c>
      <c r="C1333" s="4" t="s">
        <v>2522</v>
      </c>
      <c r="D1333" s="4" t="s">
        <v>2522</v>
      </c>
    </row>
    <row r="1334" spans="1:4" x14ac:dyDescent="0.25">
      <c r="A1334" s="4" t="s">
        <v>2102</v>
      </c>
      <c r="B1334" s="4" t="s">
        <v>2528</v>
      </c>
      <c r="C1334" s="4" t="s">
        <v>2528</v>
      </c>
      <c r="D1334" s="4" t="s">
        <v>2528</v>
      </c>
    </row>
    <row r="1335" spans="1:4" x14ac:dyDescent="0.25">
      <c r="A1335" s="4" t="s">
        <v>2102</v>
      </c>
      <c r="B1335" s="4" t="s">
        <v>2495</v>
      </c>
      <c r="C1335" s="4" t="s">
        <v>2495</v>
      </c>
      <c r="D1335" s="4" t="s">
        <v>2495</v>
      </c>
    </row>
    <row r="1336" spans="1:4" x14ac:dyDescent="0.25">
      <c r="A1336" s="4" t="s">
        <v>2102</v>
      </c>
      <c r="B1336" s="4" t="s">
        <v>1497</v>
      </c>
      <c r="C1336" s="4" t="s">
        <v>1497</v>
      </c>
      <c r="D1336" s="4" t="s">
        <v>1497</v>
      </c>
    </row>
    <row r="1337" spans="1:4" x14ac:dyDescent="0.25">
      <c r="A1337" s="4" t="s">
        <v>2102</v>
      </c>
      <c r="B1337" s="4" t="s">
        <v>2535</v>
      </c>
      <c r="C1337" s="4" t="s">
        <v>2535</v>
      </c>
      <c r="D1337" s="4" t="s">
        <v>2535</v>
      </c>
    </row>
    <row r="1338" spans="1:4" x14ac:dyDescent="0.25">
      <c r="A1338" s="4" t="s">
        <v>2102</v>
      </c>
      <c r="B1338" s="4" t="s">
        <v>2541</v>
      </c>
      <c r="C1338" s="4" t="s">
        <v>2541</v>
      </c>
      <c r="D1338" s="4" t="s">
        <v>2541</v>
      </c>
    </row>
    <row r="1339" spans="1:4" x14ac:dyDescent="0.25">
      <c r="A1339" s="4" t="s">
        <v>2102</v>
      </c>
      <c r="B1339" s="4" t="s">
        <v>2496</v>
      </c>
      <c r="C1339" s="4" t="s">
        <v>2496</v>
      </c>
      <c r="D1339" s="4" t="s">
        <v>2496</v>
      </c>
    </row>
    <row r="1340" spans="1:4" x14ac:dyDescent="0.25">
      <c r="A1340" s="4" t="s">
        <v>2102</v>
      </c>
      <c r="B1340" s="4" t="s">
        <v>2515</v>
      </c>
      <c r="C1340" s="4" t="s">
        <v>2515</v>
      </c>
      <c r="D1340" s="4" t="s">
        <v>2515</v>
      </c>
    </row>
    <row r="1341" spans="1:4" x14ac:dyDescent="0.25">
      <c r="A1341" s="4" t="s">
        <v>2102</v>
      </c>
      <c r="B1341" s="4" t="s">
        <v>2498</v>
      </c>
      <c r="C1341" s="4" t="s">
        <v>2498</v>
      </c>
      <c r="D1341" s="4" t="s">
        <v>2498</v>
      </c>
    </row>
    <row r="1342" spans="1:4" x14ac:dyDescent="0.25">
      <c r="A1342" s="4" t="s">
        <v>2102</v>
      </c>
      <c r="B1342" s="4" t="s">
        <v>2517</v>
      </c>
      <c r="C1342" s="4" t="s">
        <v>2517</v>
      </c>
      <c r="D1342" s="4" t="s">
        <v>2517</v>
      </c>
    </row>
    <row r="1343" spans="1:4" x14ac:dyDescent="0.25">
      <c r="A1343" s="4" t="s">
        <v>2102</v>
      </c>
      <c r="B1343" s="4" t="s">
        <v>2549</v>
      </c>
      <c r="C1343" s="4" t="s">
        <v>2549</v>
      </c>
      <c r="D1343" s="4" t="s">
        <v>2549</v>
      </c>
    </row>
    <row r="1344" spans="1:4" x14ac:dyDescent="0.25">
      <c r="A1344" s="4" t="s">
        <v>2102</v>
      </c>
      <c r="B1344" s="4" t="s">
        <v>2523</v>
      </c>
      <c r="C1344" s="4" t="s">
        <v>2523</v>
      </c>
      <c r="D1344" s="4" t="s">
        <v>2523</v>
      </c>
    </row>
    <row r="1345" spans="1:4" x14ac:dyDescent="0.25">
      <c r="A1345" s="4" t="s">
        <v>2102</v>
      </c>
      <c r="B1345" s="4" t="s">
        <v>2537</v>
      </c>
      <c r="C1345" s="4" t="s">
        <v>2537</v>
      </c>
      <c r="D1345" s="4" t="s">
        <v>2537</v>
      </c>
    </row>
    <row r="1346" spans="1:4" x14ac:dyDescent="0.25">
      <c r="A1346" s="4" t="s">
        <v>2106</v>
      </c>
      <c r="B1346" s="4" t="s">
        <v>2492</v>
      </c>
      <c r="C1346" s="4" t="s">
        <v>2492</v>
      </c>
      <c r="D1346" s="4" t="s">
        <v>2492</v>
      </c>
    </row>
    <row r="1347" spans="1:4" x14ac:dyDescent="0.25">
      <c r="A1347" s="4" t="s">
        <v>2106</v>
      </c>
      <c r="B1347" s="4" t="s">
        <v>2501</v>
      </c>
      <c r="C1347" s="4" t="s">
        <v>2501</v>
      </c>
      <c r="D1347" s="4" t="s">
        <v>2501</v>
      </c>
    </row>
    <row r="1348" spans="1:4" x14ac:dyDescent="0.25">
      <c r="A1348" s="4" t="s">
        <v>2108</v>
      </c>
      <c r="B1348" s="4" t="s">
        <v>2492</v>
      </c>
      <c r="C1348" s="4" t="s">
        <v>2497</v>
      </c>
      <c r="D1348" s="4" t="s">
        <v>2492</v>
      </c>
    </row>
    <row r="1349" spans="1:4" x14ac:dyDescent="0.25">
      <c r="A1349" s="4" t="s">
        <v>2116</v>
      </c>
      <c r="B1349" s="4" t="s">
        <v>444</v>
      </c>
      <c r="C1349" s="4" t="s">
        <v>1497</v>
      </c>
      <c r="D1349" s="4" t="s">
        <v>444</v>
      </c>
    </row>
    <row r="1350" spans="1:4" x14ac:dyDescent="0.25">
      <c r="A1350" s="4" t="s">
        <v>2116</v>
      </c>
      <c r="B1350" s="4" t="s">
        <v>2492</v>
      </c>
      <c r="C1350" s="4" t="s">
        <v>1497</v>
      </c>
      <c r="D1350" s="4" t="s">
        <v>2492</v>
      </c>
    </row>
    <row r="1351" spans="1:4" x14ac:dyDescent="0.25">
      <c r="A1351" s="4" t="s">
        <v>2121</v>
      </c>
      <c r="B1351" s="4" t="s">
        <v>2493</v>
      </c>
      <c r="C1351" s="4" t="s">
        <v>2493</v>
      </c>
      <c r="D1351" s="4" t="s">
        <v>2493</v>
      </c>
    </row>
    <row r="1352" spans="1:4" x14ac:dyDescent="0.25">
      <c r="A1352" s="4" t="s">
        <v>2123</v>
      </c>
      <c r="B1352" s="4" t="s">
        <v>2492</v>
      </c>
      <c r="C1352" s="4" t="s">
        <v>2497</v>
      </c>
      <c r="D1352" s="4" t="s">
        <v>2492</v>
      </c>
    </row>
    <row r="1353" spans="1:4" x14ac:dyDescent="0.25">
      <c r="A1353" s="4" t="s">
        <v>2124</v>
      </c>
      <c r="B1353" s="4" t="s">
        <v>2492</v>
      </c>
      <c r="C1353" s="4" t="s">
        <v>1497</v>
      </c>
      <c r="D1353" s="4" t="s">
        <v>2492</v>
      </c>
    </row>
    <row r="1354" spans="1:4" x14ac:dyDescent="0.25">
      <c r="A1354" s="4" t="s">
        <v>2124</v>
      </c>
      <c r="B1354" s="4" t="s">
        <v>2492</v>
      </c>
      <c r="C1354" s="4" t="s">
        <v>2497</v>
      </c>
      <c r="D1354" s="4" t="s">
        <v>2492</v>
      </c>
    </row>
    <row r="1355" spans="1:4" x14ac:dyDescent="0.25">
      <c r="A1355" s="4" t="s">
        <v>2129</v>
      </c>
      <c r="B1355" s="4" t="s">
        <v>2492</v>
      </c>
      <c r="C1355" s="4" t="s">
        <v>1497</v>
      </c>
      <c r="D1355" s="4" t="s">
        <v>2492</v>
      </c>
    </row>
    <row r="1356" spans="1:4" x14ac:dyDescent="0.25">
      <c r="A1356" s="4" t="s">
        <v>2134</v>
      </c>
      <c r="B1356" s="4" t="s">
        <v>2514</v>
      </c>
      <c r="C1356" s="4" t="s">
        <v>2514</v>
      </c>
      <c r="D1356" s="4" t="s">
        <v>2514</v>
      </c>
    </row>
    <row r="1357" spans="1:4" x14ac:dyDescent="0.25">
      <c r="A1357" s="4" t="s">
        <v>2136</v>
      </c>
      <c r="B1357" s="4" t="s">
        <v>443</v>
      </c>
      <c r="C1357" s="4" t="s">
        <v>1497</v>
      </c>
      <c r="D1357" s="4" t="s">
        <v>443</v>
      </c>
    </row>
    <row r="1358" spans="1:4" x14ac:dyDescent="0.25">
      <c r="A1358" s="4" t="s">
        <v>2136</v>
      </c>
      <c r="B1358" s="4" t="s">
        <v>443</v>
      </c>
      <c r="C1358" s="4" t="s">
        <v>2497</v>
      </c>
      <c r="D1358" s="4" t="s">
        <v>443</v>
      </c>
    </row>
    <row r="1359" spans="1:4" x14ac:dyDescent="0.25">
      <c r="A1359" s="4" t="s">
        <v>2136</v>
      </c>
      <c r="B1359" s="4" t="s">
        <v>2492</v>
      </c>
      <c r="C1359" s="4" t="s">
        <v>1497</v>
      </c>
      <c r="D1359" s="4" t="s">
        <v>2492</v>
      </c>
    </row>
    <row r="1360" spans="1:4" x14ac:dyDescent="0.25">
      <c r="A1360" s="4" t="s">
        <v>2136</v>
      </c>
      <c r="B1360" s="4" t="s">
        <v>2492</v>
      </c>
      <c r="C1360" s="4" t="s">
        <v>2497</v>
      </c>
      <c r="D1360" s="4" t="s">
        <v>2492</v>
      </c>
    </row>
    <row r="1361" spans="1:4" x14ac:dyDescent="0.25">
      <c r="A1361" s="4" t="s">
        <v>2139</v>
      </c>
      <c r="B1361" s="4" t="s">
        <v>1497</v>
      </c>
      <c r="C1361" s="4" t="s">
        <v>1497</v>
      </c>
      <c r="D1361" s="4" t="s">
        <v>1497</v>
      </c>
    </row>
    <row r="1362" spans="1:4" x14ac:dyDescent="0.25">
      <c r="A1362" s="4" t="s">
        <v>2140</v>
      </c>
      <c r="B1362" s="4" t="s">
        <v>1497</v>
      </c>
      <c r="C1362" s="4" t="s">
        <v>1497</v>
      </c>
      <c r="D1362" s="4" t="s">
        <v>1497</v>
      </c>
    </row>
    <row r="1363" spans="1:4" x14ac:dyDescent="0.25">
      <c r="A1363" s="4" t="s">
        <v>2140</v>
      </c>
      <c r="B1363" s="4" t="s">
        <v>2498</v>
      </c>
      <c r="C1363" s="4" t="s">
        <v>2498</v>
      </c>
      <c r="D1363" s="4" t="s">
        <v>2498</v>
      </c>
    </row>
    <row r="1364" spans="1:4" x14ac:dyDescent="0.25">
      <c r="A1364" s="4" t="s">
        <v>2141</v>
      </c>
      <c r="B1364" s="4" t="s">
        <v>2494</v>
      </c>
      <c r="C1364" s="4" t="s">
        <v>2494</v>
      </c>
      <c r="D1364" s="4" t="s">
        <v>2494</v>
      </c>
    </row>
    <row r="1365" spans="1:4" x14ac:dyDescent="0.25">
      <c r="A1365" s="4" t="s">
        <v>2141</v>
      </c>
      <c r="B1365" s="4" t="s">
        <v>2499</v>
      </c>
      <c r="C1365" s="4" t="s">
        <v>2499</v>
      </c>
      <c r="D1365" s="4" t="s">
        <v>2499</v>
      </c>
    </row>
    <row r="1366" spans="1:4" x14ac:dyDescent="0.25">
      <c r="A1366" s="4" t="s">
        <v>2141</v>
      </c>
      <c r="B1366" s="4" t="s">
        <v>2500</v>
      </c>
      <c r="C1366" s="4" t="s">
        <v>2500</v>
      </c>
      <c r="D1366" s="4" t="s">
        <v>2500</v>
      </c>
    </row>
    <row r="1367" spans="1:4" x14ac:dyDescent="0.25">
      <c r="A1367" s="4" t="s">
        <v>2141</v>
      </c>
      <c r="B1367" s="4" t="s">
        <v>2524</v>
      </c>
      <c r="C1367" s="4" t="s">
        <v>2524</v>
      </c>
      <c r="D1367" s="4" t="s">
        <v>2524</v>
      </c>
    </row>
    <row r="1368" spans="1:4" x14ac:dyDescent="0.25">
      <c r="A1368" s="4" t="s">
        <v>2141</v>
      </c>
      <c r="B1368" s="4" t="s">
        <v>2521</v>
      </c>
      <c r="C1368" s="4" t="s">
        <v>2521</v>
      </c>
      <c r="D1368" s="4" t="s">
        <v>2521</v>
      </c>
    </row>
    <row r="1369" spans="1:4" x14ac:dyDescent="0.25">
      <c r="A1369" s="4" t="s">
        <v>2145</v>
      </c>
      <c r="B1369" s="4" t="s">
        <v>2492</v>
      </c>
      <c r="C1369" s="4" t="s">
        <v>2492</v>
      </c>
      <c r="D1369" s="4" t="s">
        <v>2492</v>
      </c>
    </row>
    <row r="1370" spans="1:4" x14ac:dyDescent="0.25">
      <c r="A1370" s="4" t="s">
        <v>2147</v>
      </c>
      <c r="B1370" s="4" t="s">
        <v>2492</v>
      </c>
      <c r="C1370" s="4" t="s">
        <v>1497</v>
      </c>
      <c r="D1370" s="4" t="s">
        <v>2492</v>
      </c>
    </row>
    <row r="1371" spans="1:4" x14ac:dyDescent="0.25">
      <c r="A1371" s="4" t="s">
        <v>2149</v>
      </c>
      <c r="B1371" s="4" t="s">
        <v>1497</v>
      </c>
      <c r="C1371" s="4" t="s">
        <v>1497</v>
      </c>
      <c r="D1371" s="4" t="s">
        <v>1497</v>
      </c>
    </row>
    <row r="1372" spans="1:4" x14ac:dyDescent="0.25">
      <c r="A1372" s="4" t="s">
        <v>2154</v>
      </c>
      <c r="B1372" s="4" t="s">
        <v>2492</v>
      </c>
      <c r="C1372" s="4" t="s">
        <v>1497</v>
      </c>
      <c r="D1372" s="4" t="s">
        <v>2492</v>
      </c>
    </row>
    <row r="1373" spans="1:4" x14ac:dyDescent="0.25">
      <c r="A1373" s="4" t="s">
        <v>2160</v>
      </c>
      <c r="B1373" s="4" t="s">
        <v>1497</v>
      </c>
      <c r="C1373" s="4" t="s">
        <v>1497</v>
      </c>
      <c r="D1373" s="4" t="s">
        <v>1497</v>
      </c>
    </row>
    <row r="1374" spans="1:4" x14ac:dyDescent="0.25">
      <c r="A1374" s="4" t="s">
        <v>2163</v>
      </c>
      <c r="B1374" s="4" t="s">
        <v>2492</v>
      </c>
      <c r="C1374" s="4" t="s">
        <v>2492</v>
      </c>
      <c r="D1374" s="4" t="s">
        <v>2492</v>
      </c>
    </row>
    <row r="1375" spans="1:4" x14ac:dyDescent="0.25">
      <c r="A1375" s="4" t="s">
        <v>2163</v>
      </c>
      <c r="B1375" s="4" t="s">
        <v>1497</v>
      </c>
      <c r="C1375" s="4" t="s">
        <v>1497</v>
      </c>
      <c r="D1375" s="4" t="s">
        <v>1497</v>
      </c>
    </row>
    <row r="1376" spans="1:4" x14ac:dyDescent="0.25">
      <c r="A1376" s="4" t="s">
        <v>2163</v>
      </c>
      <c r="B1376" s="4" t="s">
        <v>2498</v>
      </c>
      <c r="C1376" s="4" t="s">
        <v>2498</v>
      </c>
      <c r="D1376" s="4" t="s">
        <v>2498</v>
      </c>
    </row>
    <row r="1377" spans="1:4" x14ac:dyDescent="0.25">
      <c r="A1377" s="4" t="s">
        <v>2164</v>
      </c>
      <c r="B1377" s="4" t="s">
        <v>2492</v>
      </c>
      <c r="C1377" s="4" t="s">
        <v>2492</v>
      </c>
      <c r="D1377" s="4" t="s">
        <v>2492</v>
      </c>
    </row>
    <row r="1378" spans="1:4" x14ac:dyDescent="0.25">
      <c r="A1378" s="4" t="s">
        <v>2164</v>
      </c>
      <c r="B1378" s="4" t="s">
        <v>2540</v>
      </c>
      <c r="C1378" s="4" t="s">
        <v>2540</v>
      </c>
      <c r="D1378" s="4" t="s">
        <v>2540</v>
      </c>
    </row>
    <row r="1379" spans="1:4" x14ac:dyDescent="0.25">
      <c r="A1379" s="4" t="s">
        <v>2164</v>
      </c>
      <c r="B1379" s="4" t="s">
        <v>2531</v>
      </c>
      <c r="C1379" s="4" t="s">
        <v>2531</v>
      </c>
      <c r="D1379" s="4" t="s">
        <v>2531</v>
      </c>
    </row>
    <row r="1380" spans="1:4" x14ac:dyDescent="0.25">
      <c r="A1380" s="4" t="s">
        <v>2164</v>
      </c>
      <c r="B1380" s="4" t="s">
        <v>1497</v>
      </c>
      <c r="C1380" s="4" t="s">
        <v>1497</v>
      </c>
      <c r="D1380" s="4" t="s">
        <v>1497</v>
      </c>
    </row>
    <row r="1381" spans="1:4" x14ac:dyDescent="0.25">
      <c r="A1381" s="4" t="s">
        <v>2164</v>
      </c>
      <c r="B1381" s="4" t="s">
        <v>2541</v>
      </c>
      <c r="C1381" s="4" t="s">
        <v>2541</v>
      </c>
      <c r="D1381" s="4" t="s">
        <v>2541</v>
      </c>
    </row>
    <row r="1382" spans="1:4" x14ac:dyDescent="0.25">
      <c r="A1382" s="4" t="s">
        <v>2164</v>
      </c>
      <c r="B1382" s="4" t="s">
        <v>2515</v>
      </c>
      <c r="C1382" s="4" t="s">
        <v>2515</v>
      </c>
      <c r="D1382" s="4" t="s">
        <v>2515</v>
      </c>
    </row>
    <row r="1383" spans="1:4" x14ac:dyDescent="0.25">
      <c r="A1383" s="4" t="s">
        <v>2164</v>
      </c>
      <c r="B1383" s="4" t="s">
        <v>2498</v>
      </c>
      <c r="C1383" s="4" t="s">
        <v>2498</v>
      </c>
      <c r="D1383" s="4" t="s">
        <v>2498</v>
      </c>
    </row>
    <row r="1384" spans="1:4" x14ac:dyDescent="0.25">
      <c r="A1384" s="4" t="s">
        <v>2164</v>
      </c>
      <c r="B1384" s="4" t="s">
        <v>2542</v>
      </c>
      <c r="C1384" s="4" t="s">
        <v>2542</v>
      </c>
      <c r="D1384" s="4" t="s">
        <v>2542</v>
      </c>
    </row>
    <row r="1385" spans="1:4" x14ac:dyDescent="0.25">
      <c r="A1385" s="4" t="s">
        <v>2168</v>
      </c>
      <c r="B1385" s="4" t="s">
        <v>444</v>
      </c>
      <c r="C1385" s="4" t="s">
        <v>1497</v>
      </c>
      <c r="D1385" s="4" t="s">
        <v>444</v>
      </c>
    </row>
    <row r="1386" spans="1:4" x14ac:dyDescent="0.25">
      <c r="A1386" s="4" t="s">
        <v>2168</v>
      </c>
      <c r="B1386" s="4" t="s">
        <v>2492</v>
      </c>
      <c r="C1386" s="4" t="s">
        <v>2492</v>
      </c>
      <c r="D1386" s="4" t="s">
        <v>2492</v>
      </c>
    </row>
    <row r="1387" spans="1:4" x14ac:dyDescent="0.25">
      <c r="A1387" s="4" t="s">
        <v>2168</v>
      </c>
      <c r="B1387" s="4" t="s">
        <v>2492</v>
      </c>
      <c r="C1387" s="4" t="s">
        <v>2497</v>
      </c>
      <c r="D1387" s="4" t="s">
        <v>2492</v>
      </c>
    </row>
    <row r="1388" spans="1:4" x14ac:dyDescent="0.25">
      <c r="A1388" s="4" t="s">
        <v>2169</v>
      </c>
      <c r="B1388" s="4" t="s">
        <v>443</v>
      </c>
      <c r="C1388" s="4" t="s">
        <v>1497</v>
      </c>
      <c r="D1388" s="4" t="s">
        <v>443</v>
      </c>
    </row>
    <row r="1389" spans="1:4" x14ac:dyDescent="0.25">
      <c r="A1389" s="4" t="s">
        <v>2169</v>
      </c>
      <c r="B1389" s="4" t="s">
        <v>443</v>
      </c>
      <c r="C1389" s="4" t="s">
        <v>2497</v>
      </c>
      <c r="D1389" s="4" t="s">
        <v>443</v>
      </c>
    </row>
    <row r="1390" spans="1:4" x14ac:dyDescent="0.25">
      <c r="A1390" s="4" t="s">
        <v>2169</v>
      </c>
      <c r="B1390" s="4" t="s">
        <v>444</v>
      </c>
      <c r="C1390" s="4" t="s">
        <v>1497</v>
      </c>
      <c r="D1390" s="4" t="s">
        <v>444</v>
      </c>
    </row>
    <row r="1391" spans="1:4" x14ac:dyDescent="0.25">
      <c r="A1391" s="4" t="s">
        <v>2169</v>
      </c>
      <c r="B1391" s="4" t="s">
        <v>2492</v>
      </c>
      <c r="C1391" s="4" t="s">
        <v>2497</v>
      </c>
      <c r="D1391" s="4" t="s">
        <v>2492</v>
      </c>
    </row>
    <row r="1392" spans="1:4" x14ac:dyDescent="0.25">
      <c r="A1392" s="4" t="s">
        <v>2171</v>
      </c>
      <c r="B1392" s="4" t="s">
        <v>2492</v>
      </c>
      <c r="C1392" s="4" t="s">
        <v>2497</v>
      </c>
      <c r="D1392" s="4" t="s">
        <v>2492</v>
      </c>
    </row>
    <row r="1393" spans="1:4" x14ac:dyDescent="0.25">
      <c r="A1393" s="4" t="s">
        <v>2173</v>
      </c>
      <c r="B1393" s="4" t="s">
        <v>2492</v>
      </c>
      <c r="C1393" s="4" t="s">
        <v>1497</v>
      </c>
      <c r="D1393" s="4" t="s">
        <v>2492</v>
      </c>
    </row>
    <row r="1394" spans="1:4" x14ac:dyDescent="0.25">
      <c r="A1394" s="4" t="s">
        <v>2173</v>
      </c>
      <c r="B1394" s="4" t="s">
        <v>2492</v>
      </c>
      <c r="C1394" s="4" t="s">
        <v>2497</v>
      </c>
      <c r="D1394" s="4" t="s">
        <v>2492</v>
      </c>
    </row>
    <row r="1395" spans="1:4" x14ac:dyDescent="0.25">
      <c r="A1395" s="4" t="s">
        <v>2178</v>
      </c>
      <c r="B1395" s="4" t="s">
        <v>443</v>
      </c>
      <c r="C1395" s="4" t="s">
        <v>1497</v>
      </c>
      <c r="D1395" s="4" t="s">
        <v>443</v>
      </c>
    </row>
    <row r="1396" spans="1:4" x14ac:dyDescent="0.25">
      <c r="A1396" s="4" t="s">
        <v>2178</v>
      </c>
      <c r="B1396" s="4" t="s">
        <v>444</v>
      </c>
      <c r="C1396" s="4" t="s">
        <v>1497</v>
      </c>
      <c r="D1396" s="4" t="s">
        <v>444</v>
      </c>
    </row>
    <row r="1397" spans="1:4" x14ac:dyDescent="0.25">
      <c r="A1397" s="4" t="s">
        <v>2179</v>
      </c>
      <c r="B1397" s="4" t="s">
        <v>443</v>
      </c>
      <c r="C1397" s="4" t="s">
        <v>2492</v>
      </c>
      <c r="D1397" s="4" t="s">
        <v>443</v>
      </c>
    </row>
    <row r="1398" spans="1:4" x14ac:dyDescent="0.25">
      <c r="A1398" s="4" t="s">
        <v>2179</v>
      </c>
      <c r="B1398" s="4" t="s">
        <v>443</v>
      </c>
      <c r="C1398" s="4" t="s">
        <v>1497</v>
      </c>
      <c r="D1398" s="4" t="s">
        <v>443</v>
      </c>
    </row>
    <row r="1399" spans="1:4" x14ac:dyDescent="0.25">
      <c r="A1399" s="4" t="s">
        <v>2179</v>
      </c>
      <c r="B1399" s="4" t="s">
        <v>443</v>
      </c>
      <c r="C1399" s="4" t="s">
        <v>1497</v>
      </c>
      <c r="D1399" s="4" t="s">
        <v>2492</v>
      </c>
    </row>
    <row r="1400" spans="1:4" x14ac:dyDescent="0.25">
      <c r="A1400" s="4" t="s">
        <v>2179</v>
      </c>
      <c r="B1400" s="4" t="s">
        <v>444</v>
      </c>
      <c r="C1400" s="4" t="s">
        <v>1497</v>
      </c>
      <c r="D1400" s="4" t="s">
        <v>444</v>
      </c>
    </row>
    <row r="1401" spans="1:4" x14ac:dyDescent="0.25">
      <c r="A1401" s="4" t="s">
        <v>2179</v>
      </c>
      <c r="B1401" s="4" t="s">
        <v>2492</v>
      </c>
      <c r="C1401" s="4" t="s">
        <v>1497</v>
      </c>
      <c r="D1401" s="4" t="s">
        <v>2492</v>
      </c>
    </row>
    <row r="1402" spans="1:4" x14ac:dyDescent="0.25">
      <c r="A1402" s="4" t="s">
        <v>2179</v>
      </c>
      <c r="B1402" s="4" t="s">
        <v>2492</v>
      </c>
      <c r="C1402" s="4" t="s">
        <v>2497</v>
      </c>
      <c r="D1402" s="4" t="s">
        <v>2492</v>
      </c>
    </row>
    <row r="1403" spans="1:4" x14ac:dyDescent="0.25">
      <c r="A1403" s="4" t="s">
        <v>2181</v>
      </c>
      <c r="B1403" s="4" t="s">
        <v>1497</v>
      </c>
      <c r="C1403" s="4" t="s">
        <v>1497</v>
      </c>
      <c r="D1403" s="4" t="s">
        <v>1497</v>
      </c>
    </row>
    <row r="1404" spans="1:4" x14ac:dyDescent="0.25">
      <c r="A1404" s="4" t="s">
        <v>2186</v>
      </c>
      <c r="B1404" s="4" t="s">
        <v>2492</v>
      </c>
      <c r="C1404" s="4" t="s">
        <v>2492</v>
      </c>
      <c r="D1404" s="4" t="s">
        <v>2492</v>
      </c>
    </row>
    <row r="1405" spans="1:4" x14ac:dyDescent="0.25">
      <c r="A1405" s="4" t="s">
        <v>2187</v>
      </c>
      <c r="B1405" s="4" t="s">
        <v>1497</v>
      </c>
      <c r="C1405" s="4" t="s">
        <v>1497</v>
      </c>
      <c r="D1405" s="4" t="s">
        <v>1497</v>
      </c>
    </row>
    <row r="1406" spans="1:4" x14ac:dyDescent="0.25">
      <c r="A1406" s="4" t="s">
        <v>2189</v>
      </c>
      <c r="B1406" s="4" t="s">
        <v>2492</v>
      </c>
      <c r="C1406" s="4" t="s">
        <v>2492</v>
      </c>
      <c r="D1406" s="4" t="s">
        <v>2492</v>
      </c>
    </row>
    <row r="1407" spans="1:4" x14ac:dyDescent="0.25">
      <c r="A1407" s="4" t="s">
        <v>2194</v>
      </c>
      <c r="B1407" s="4" t="s">
        <v>444</v>
      </c>
      <c r="C1407" s="4" t="s">
        <v>1497</v>
      </c>
      <c r="D1407" s="4" t="s">
        <v>444</v>
      </c>
    </row>
    <row r="1408" spans="1:4" x14ac:dyDescent="0.25">
      <c r="A1408" s="4" t="s">
        <v>2195</v>
      </c>
      <c r="B1408" s="4" t="s">
        <v>2492</v>
      </c>
      <c r="C1408" s="4" t="s">
        <v>2497</v>
      </c>
      <c r="D1408" s="4" t="s">
        <v>2492</v>
      </c>
    </row>
    <row r="1409" spans="1:4" x14ac:dyDescent="0.25">
      <c r="A1409" s="4" t="s">
        <v>2196</v>
      </c>
      <c r="B1409" s="4" t="s">
        <v>443</v>
      </c>
      <c r="C1409" s="4" t="s">
        <v>2492</v>
      </c>
      <c r="D1409" s="4" t="s">
        <v>443</v>
      </c>
    </row>
    <row r="1410" spans="1:4" x14ac:dyDescent="0.25">
      <c r="A1410" s="4" t="s">
        <v>2196</v>
      </c>
      <c r="B1410" s="4" t="s">
        <v>443</v>
      </c>
      <c r="C1410" s="4" t="s">
        <v>1497</v>
      </c>
      <c r="D1410" s="4" t="s">
        <v>443</v>
      </c>
    </row>
    <row r="1411" spans="1:4" x14ac:dyDescent="0.25">
      <c r="A1411" s="4" t="s">
        <v>2196</v>
      </c>
      <c r="B1411" s="4" t="s">
        <v>443</v>
      </c>
      <c r="C1411" s="4" t="s">
        <v>1497</v>
      </c>
      <c r="D1411" s="4" t="s">
        <v>2492</v>
      </c>
    </row>
    <row r="1412" spans="1:4" x14ac:dyDescent="0.25">
      <c r="A1412" s="4" t="s">
        <v>2196</v>
      </c>
      <c r="B1412" s="4" t="s">
        <v>443</v>
      </c>
      <c r="C1412" s="4" t="s">
        <v>2497</v>
      </c>
      <c r="D1412" s="4" t="s">
        <v>443</v>
      </c>
    </row>
    <row r="1413" spans="1:4" x14ac:dyDescent="0.25">
      <c r="A1413" s="4" t="s">
        <v>2196</v>
      </c>
      <c r="B1413" s="4" t="s">
        <v>443</v>
      </c>
      <c r="C1413" s="4" t="s">
        <v>2497</v>
      </c>
      <c r="D1413" s="4" t="s">
        <v>2492</v>
      </c>
    </row>
    <row r="1414" spans="1:4" x14ac:dyDescent="0.25">
      <c r="A1414" s="4" t="s">
        <v>2196</v>
      </c>
      <c r="B1414" s="4" t="s">
        <v>444</v>
      </c>
      <c r="C1414" s="4" t="s">
        <v>1497</v>
      </c>
      <c r="D1414" s="4" t="s">
        <v>444</v>
      </c>
    </row>
    <row r="1415" spans="1:4" x14ac:dyDescent="0.25">
      <c r="A1415" s="4" t="s">
        <v>2196</v>
      </c>
      <c r="B1415" s="4" t="s">
        <v>2492</v>
      </c>
      <c r="C1415" s="4" t="s">
        <v>1497</v>
      </c>
      <c r="D1415" s="4" t="s">
        <v>2492</v>
      </c>
    </row>
    <row r="1416" spans="1:4" x14ac:dyDescent="0.25">
      <c r="A1416" s="4" t="s">
        <v>2196</v>
      </c>
      <c r="B1416" s="4" t="s">
        <v>2492</v>
      </c>
      <c r="C1416" s="4" t="s">
        <v>2497</v>
      </c>
      <c r="D1416" s="4" t="s">
        <v>2492</v>
      </c>
    </row>
    <row r="1417" spans="1:4" x14ac:dyDescent="0.25">
      <c r="A1417" s="4" t="s">
        <v>2198</v>
      </c>
      <c r="B1417" s="4" t="s">
        <v>444</v>
      </c>
      <c r="C1417" s="4" t="s">
        <v>1497</v>
      </c>
      <c r="D1417" s="4" t="s">
        <v>444</v>
      </c>
    </row>
    <row r="1418" spans="1:4" x14ac:dyDescent="0.25">
      <c r="A1418" s="4" t="s">
        <v>2201</v>
      </c>
      <c r="B1418" s="4" t="s">
        <v>2492</v>
      </c>
      <c r="C1418" s="4" t="s">
        <v>1497</v>
      </c>
      <c r="D1418" s="4" t="s">
        <v>2492</v>
      </c>
    </row>
    <row r="1419" spans="1:4" x14ac:dyDescent="0.25">
      <c r="A1419" s="4" t="s">
        <v>2203</v>
      </c>
      <c r="B1419" s="4" t="s">
        <v>2492</v>
      </c>
      <c r="C1419" s="4" t="s">
        <v>2497</v>
      </c>
      <c r="D1419" s="4" t="s">
        <v>2492</v>
      </c>
    </row>
    <row r="1420" spans="1:4" x14ac:dyDescent="0.25">
      <c r="A1420" s="4" t="s">
        <v>2207</v>
      </c>
      <c r="B1420" s="4" t="s">
        <v>2492</v>
      </c>
      <c r="C1420" s="4" t="s">
        <v>2497</v>
      </c>
      <c r="D1420" s="4" t="s">
        <v>2492</v>
      </c>
    </row>
    <row r="1421" spans="1:4" x14ac:dyDescent="0.25">
      <c r="A1421" s="4" t="s">
        <v>2215</v>
      </c>
      <c r="B1421" s="4" t="s">
        <v>2493</v>
      </c>
      <c r="C1421" s="4" t="s">
        <v>2493</v>
      </c>
      <c r="D1421" s="4" t="s">
        <v>2493</v>
      </c>
    </row>
    <row r="1422" spans="1:4" x14ac:dyDescent="0.25">
      <c r="A1422" s="4" t="s">
        <v>2216</v>
      </c>
      <c r="B1422" s="4" t="s">
        <v>1497</v>
      </c>
      <c r="C1422" s="4" t="s">
        <v>1497</v>
      </c>
      <c r="D1422" s="4" t="s">
        <v>1497</v>
      </c>
    </row>
    <row r="1423" spans="1:4" x14ac:dyDescent="0.25">
      <c r="A1423" s="4" t="s">
        <v>2225</v>
      </c>
      <c r="B1423" s="4" t="s">
        <v>2500</v>
      </c>
      <c r="C1423" s="4" t="s">
        <v>2500</v>
      </c>
      <c r="D1423" s="4" t="s">
        <v>2500</v>
      </c>
    </row>
    <row r="1424" spans="1:4" x14ac:dyDescent="0.25">
      <c r="A1424" s="4" t="s">
        <v>2225</v>
      </c>
      <c r="B1424" s="4" t="s">
        <v>2492</v>
      </c>
      <c r="C1424" s="4" t="s">
        <v>2492</v>
      </c>
      <c r="D1424" s="4" t="s">
        <v>2492</v>
      </c>
    </row>
    <row r="1425" spans="1:4" x14ac:dyDescent="0.25">
      <c r="A1425" s="4" t="s">
        <v>2226</v>
      </c>
      <c r="B1425" s="4" t="s">
        <v>1497</v>
      </c>
      <c r="C1425" s="4" t="s">
        <v>1497</v>
      </c>
      <c r="D1425" s="4" t="s">
        <v>1497</v>
      </c>
    </row>
    <row r="1426" spans="1:4" x14ac:dyDescent="0.25">
      <c r="A1426" s="4" t="s">
        <v>2227</v>
      </c>
      <c r="B1426" s="4" t="s">
        <v>2498</v>
      </c>
      <c r="C1426" s="4" t="s">
        <v>2498</v>
      </c>
      <c r="D1426" s="4" t="s">
        <v>2498</v>
      </c>
    </row>
    <row r="1427" spans="1:4" x14ac:dyDescent="0.25">
      <c r="A1427" s="4" t="s">
        <v>2232</v>
      </c>
      <c r="B1427" s="4" t="s">
        <v>443</v>
      </c>
      <c r="C1427" s="4" t="s">
        <v>1497</v>
      </c>
      <c r="D1427" s="4" t="s">
        <v>443</v>
      </c>
    </row>
    <row r="1428" spans="1:4" x14ac:dyDescent="0.25">
      <c r="A1428" s="4" t="s">
        <v>2232</v>
      </c>
      <c r="B1428" s="4" t="s">
        <v>2492</v>
      </c>
      <c r="C1428" s="4" t="s">
        <v>2497</v>
      </c>
      <c r="D1428" s="4" t="s">
        <v>2492</v>
      </c>
    </row>
    <row r="1429" spans="1:4" x14ac:dyDescent="0.25">
      <c r="A1429" s="4" t="s">
        <v>2233</v>
      </c>
      <c r="B1429" s="4" t="s">
        <v>2493</v>
      </c>
      <c r="C1429" s="4" t="s">
        <v>2493</v>
      </c>
      <c r="D1429" s="4" t="s">
        <v>2493</v>
      </c>
    </row>
    <row r="1430" spans="1:4" x14ac:dyDescent="0.25">
      <c r="A1430" s="4" t="s">
        <v>2234</v>
      </c>
      <c r="B1430" s="4" t="s">
        <v>2492</v>
      </c>
      <c r="C1430" s="4" t="s">
        <v>1497</v>
      </c>
      <c r="D1430" s="4" t="s">
        <v>2492</v>
      </c>
    </row>
    <row r="1431" spans="1:4" x14ac:dyDescent="0.25">
      <c r="A1431" s="4" t="s">
        <v>2235</v>
      </c>
      <c r="B1431" s="4" t="s">
        <v>2519</v>
      </c>
      <c r="C1431" s="4" t="s">
        <v>2519</v>
      </c>
      <c r="D1431" s="4" t="s">
        <v>2519</v>
      </c>
    </row>
    <row r="1432" spans="1:4" x14ac:dyDescent="0.25">
      <c r="A1432" s="4" t="s">
        <v>2238</v>
      </c>
      <c r="B1432" s="4" t="s">
        <v>2493</v>
      </c>
      <c r="C1432" s="4" t="s">
        <v>2493</v>
      </c>
      <c r="D1432" s="4" t="s">
        <v>2493</v>
      </c>
    </row>
    <row r="1433" spans="1:4" x14ac:dyDescent="0.25">
      <c r="A1433" s="4" t="s">
        <v>2239</v>
      </c>
      <c r="B1433" s="4" t="s">
        <v>2522</v>
      </c>
      <c r="C1433" s="4" t="s">
        <v>2522</v>
      </c>
      <c r="D1433" s="4" t="s">
        <v>2522</v>
      </c>
    </row>
    <row r="1434" spans="1:4" x14ac:dyDescent="0.25">
      <c r="A1434" s="4" t="s">
        <v>2239</v>
      </c>
      <c r="B1434" s="4" t="s">
        <v>2541</v>
      </c>
      <c r="C1434" s="4" t="s">
        <v>2541</v>
      </c>
      <c r="D1434" s="4" t="s">
        <v>2541</v>
      </c>
    </row>
    <row r="1435" spans="1:4" x14ac:dyDescent="0.25">
      <c r="A1435" s="4" t="s">
        <v>2241</v>
      </c>
      <c r="B1435" s="4" t="s">
        <v>2514</v>
      </c>
      <c r="C1435" s="4" t="s">
        <v>2514</v>
      </c>
      <c r="D1435" s="4" t="s">
        <v>2514</v>
      </c>
    </row>
    <row r="1436" spans="1:4" x14ac:dyDescent="0.25">
      <c r="A1436" s="4" t="s">
        <v>2245</v>
      </c>
      <c r="B1436" s="4" t="s">
        <v>2494</v>
      </c>
      <c r="C1436" s="4" t="s">
        <v>2494</v>
      </c>
      <c r="D1436" s="4" t="s">
        <v>2494</v>
      </c>
    </row>
    <row r="1437" spans="1:4" x14ac:dyDescent="0.25">
      <c r="A1437" s="4" t="s">
        <v>2245</v>
      </c>
      <c r="B1437" s="4" t="s">
        <v>2493</v>
      </c>
      <c r="C1437" s="4" t="s">
        <v>2493</v>
      </c>
      <c r="D1437" s="4" t="s">
        <v>2493</v>
      </c>
    </row>
    <row r="1438" spans="1:4" x14ac:dyDescent="0.25">
      <c r="A1438" s="4" t="s">
        <v>2245</v>
      </c>
      <c r="B1438" s="4" t="s">
        <v>2492</v>
      </c>
      <c r="C1438" s="4" t="s">
        <v>2492</v>
      </c>
      <c r="D1438" s="4" t="s">
        <v>2492</v>
      </c>
    </row>
    <row r="1439" spans="1:4" x14ac:dyDescent="0.25">
      <c r="A1439" s="4" t="s">
        <v>2245</v>
      </c>
      <c r="B1439" s="4" t="s">
        <v>2492</v>
      </c>
      <c r="C1439" s="4" t="s">
        <v>1497</v>
      </c>
      <c r="D1439" s="4" t="s">
        <v>1497</v>
      </c>
    </row>
    <row r="1440" spans="1:4" x14ac:dyDescent="0.25">
      <c r="A1440" s="4" t="s">
        <v>2245</v>
      </c>
      <c r="B1440" s="4" t="s">
        <v>2533</v>
      </c>
      <c r="C1440" s="4" t="s">
        <v>2533</v>
      </c>
      <c r="D1440" s="4" t="s">
        <v>2533</v>
      </c>
    </row>
    <row r="1441" spans="1:4" x14ac:dyDescent="0.25">
      <c r="A1441" s="4" t="s">
        <v>2245</v>
      </c>
      <c r="B1441" s="4" t="s">
        <v>1497</v>
      </c>
      <c r="C1441" s="4" t="s">
        <v>1497</v>
      </c>
      <c r="D1441" s="4" t="s">
        <v>1497</v>
      </c>
    </row>
    <row r="1442" spans="1:4" x14ac:dyDescent="0.25">
      <c r="A1442" s="4" t="s">
        <v>2245</v>
      </c>
      <c r="B1442" s="4" t="s">
        <v>2534</v>
      </c>
      <c r="C1442" s="4" t="s">
        <v>2534</v>
      </c>
      <c r="D1442" s="4" t="s">
        <v>2534</v>
      </c>
    </row>
    <row r="1443" spans="1:4" x14ac:dyDescent="0.25">
      <c r="A1443" s="4" t="s">
        <v>2245</v>
      </c>
      <c r="B1443" s="4" t="s">
        <v>2496</v>
      </c>
      <c r="C1443" s="4" t="s">
        <v>2496</v>
      </c>
      <c r="D1443" s="4" t="s">
        <v>2496</v>
      </c>
    </row>
    <row r="1444" spans="1:4" x14ac:dyDescent="0.25">
      <c r="A1444" s="4" t="s">
        <v>2245</v>
      </c>
      <c r="B1444" s="4" t="s">
        <v>2504</v>
      </c>
      <c r="C1444" s="4" t="s">
        <v>2504</v>
      </c>
      <c r="D1444" s="4" t="s">
        <v>2504</v>
      </c>
    </row>
    <row r="1445" spans="1:4" x14ac:dyDescent="0.25">
      <c r="A1445" s="4" t="s">
        <v>2245</v>
      </c>
      <c r="B1445" s="4" t="s">
        <v>2536</v>
      </c>
      <c r="C1445" s="4" t="s">
        <v>2536</v>
      </c>
      <c r="D1445" s="4" t="s">
        <v>2536</v>
      </c>
    </row>
    <row r="1446" spans="1:4" x14ac:dyDescent="0.25">
      <c r="A1446" s="4" t="s">
        <v>2245</v>
      </c>
      <c r="B1446" s="4" t="s">
        <v>2515</v>
      </c>
      <c r="C1446" s="4" t="s">
        <v>2515</v>
      </c>
      <c r="D1446" s="4" t="s">
        <v>2515</v>
      </c>
    </row>
    <row r="1447" spans="1:4" x14ac:dyDescent="0.25">
      <c r="A1447" s="4" t="s">
        <v>2247</v>
      </c>
      <c r="B1447" s="4" t="s">
        <v>1497</v>
      </c>
      <c r="C1447" s="4" t="s">
        <v>1497</v>
      </c>
      <c r="D1447" s="4" t="s">
        <v>1497</v>
      </c>
    </row>
    <row r="1448" spans="1:4" x14ac:dyDescent="0.25">
      <c r="A1448" s="4" t="s">
        <v>2249</v>
      </c>
      <c r="B1448" s="4" t="s">
        <v>1497</v>
      </c>
      <c r="C1448" s="4" t="s">
        <v>1497</v>
      </c>
      <c r="D1448" s="4" t="s">
        <v>1497</v>
      </c>
    </row>
    <row r="1449" spans="1:4" x14ac:dyDescent="0.25">
      <c r="A1449" s="4" t="s">
        <v>2251</v>
      </c>
      <c r="B1449" s="4" t="s">
        <v>2492</v>
      </c>
      <c r="C1449" s="4" t="s">
        <v>1497</v>
      </c>
      <c r="D1449" s="4" t="s">
        <v>2492</v>
      </c>
    </row>
    <row r="1450" spans="1:4" x14ac:dyDescent="0.25">
      <c r="A1450" s="4" t="s">
        <v>2251</v>
      </c>
      <c r="B1450" s="4" t="s">
        <v>2492</v>
      </c>
      <c r="C1450" s="4" t="s">
        <v>2497</v>
      </c>
      <c r="D1450" s="4" t="s">
        <v>2492</v>
      </c>
    </row>
    <row r="1451" spans="1:4" x14ac:dyDescent="0.25">
      <c r="A1451" s="4" t="s">
        <v>2254</v>
      </c>
      <c r="B1451" s="4" t="s">
        <v>2492</v>
      </c>
      <c r="C1451" s="4" t="s">
        <v>1497</v>
      </c>
      <c r="D1451" s="4" t="s">
        <v>2492</v>
      </c>
    </row>
    <row r="1452" spans="1:4" x14ac:dyDescent="0.25">
      <c r="A1452" s="4" t="s">
        <v>2254</v>
      </c>
      <c r="B1452" s="4" t="s">
        <v>2492</v>
      </c>
      <c r="C1452" s="4" t="s">
        <v>2497</v>
      </c>
      <c r="D1452" s="4" t="s">
        <v>2492</v>
      </c>
    </row>
    <row r="1453" spans="1:4" x14ac:dyDescent="0.25">
      <c r="A1453" s="4" t="s">
        <v>2255</v>
      </c>
      <c r="B1453" s="4" t="s">
        <v>444</v>
      </c>
      <c r="C1453" s="4" t="s">
        <v>1497</v>
      </c>
      <c r="D1453" s="4" t="s">
        <v>444</v>
      </c>
    </row>
    <row r="1454" spans="1:4" x14ac:dyDescent="0.25">
      <c r="A1454" s="4" t="s">
        <v>2258</v>
      </c>
      <c r="B1454" s="4" t="s">
        <v>2492</v>
      </c>
      <c r="C1454" s="4" t="s">
        <v>1497</v>
      </c>
      <c r="D1454" s="4" t="s">
        <v>2492</v>
      </c>
    </row>
    <row r="1455" spans="1:4" x14ac:dyDescent="0.25">
      <c r="A1455" s="4" t="s">
        <v>2258</v>
      </c>
      <c r="B1455" s="4" t="s">
        <v>2492</v>
      </c>
      <c r="C1455" s="4" t="s">
        <v>2497</v>
      </c>
      <c r="D1455" s="4" t="s">
        <v>2492</v>
      </c>
    </row>
    <row r="1456" spans="1:4" x14ac:dyDescent="0.25">
      <c r="A1456" s="4" t="s">
        <v>2259</v>
      </c>
      <c r="B1456" s="4" t="s">
        <v>2492</v>
      </c>
      <c r="C1456" s="4" t="s">
        <v>1497</v>
      </c>
      <c r="D1456" s="4" t="s">
        <v>2492</v>
      </c>
    </row>
    <row r="1457" spans="1:4" x14ac:dyDescent="0.25">
      <c r="A1457" s="4" t="s">
        <v>2259</v>
      </c>
      <c r="B1457" s="4" t="s">
        <v>2492</v>
      </c>
      <c r="C1457" s="4" t="s">
        <v>2497</v>
      </c>
      <c r="D1457" s="4" t="s">
        <v>2492</v>
      </c>
    </row>
    <row r="1458" spans="1:4" x14ac:dyDescent="0.25">
      <c r="A1458" s="4" t="s">
        <v>2260</v>
      </c>
      <c r="B1458" s="4" t="s">
        <v>2492</v>
      </c>
      <c r="C1458" s="4" t="s">
        <v>1497</v>
      </c>
      <c r="D1458" s="4" t="s">
        <v>2492</v>
      </c>
    </row>
    <row r="1459" spans="1:4" x14ac:dyDescent="0.25">
      <c r="A1459" s="4" t="s">
        <v>2266</v>
      </c>
      <c r="B1459" s="4" t="s">
        <v>2493</v>
      </c>
      <c r="C1459" s="4" t="s">
        <v>2493</v>
      </c>
      <c r="D1459" s="4" t="s">
        <v>2493</v>
      </c>
    </row>
    <row r="1460" spans="1:4" x14ac:dyDescent="0.25">
      <c r="A1460" s="4" t="s">
        <v>2267</v>
      </c>
      <c r="B1460" s="4" t="s">
        <v>1497</v>
      </c>
      <c r="C1460" s="4" t="s">
        <v>1497</v>
      </c>
      <c r="D1460" s="4" t="s">
        <v>1497</v>
      </c>
    </row>
    <row r="1461" spans="1:4" x14ac:dyDescent="0.25">
      <c r="A1461" s="4" t="s">
        <v>2269</v>
      </c>
      <c r="B1461" s="4" t="s">
        <v>2494</v>
      </c>
      <c r="C1461" s="4" t="s">
        <v>2494</v>
      </c>
      <c r="D1461" s="4" t="s">
        <v>2494</v>
      </c>
    </row>
    <row r="1462" spans="1:4" x14ac:dyDescent="0.25">
      <c r="A1462" s="4" t="s">
        <v>2270</v>
      </c>
      <c r="B1462" s="4" t="s">
        <v>1497</v>
      </c>
      <c r="C1462" s="4" t="s">
        <v>1497</v>
      </c>
      <c r="D1462" s="4" t="s">
        <v>1497</v>
      </c>
    </row>
    <row r="1463" spans="1:4" x14ac:dyDescent="0.25">
      <c r="A1463" s="4" t="s">
        <v>2272</v>
      </c>
      <c r="B1463" s="4" t="s">
        <v>2492</v>
      </c>
      <c r="C1463" s="4" t="s">
        <v>2492</v>
      </c>
      <c r="D1463" s="4" t="s">
        <v>2492</v>
      </c>
    </row>
    <row r="1464" spans="1:4" x14ac:dyDescent="0.25">
      <c r="A1464" s="4" t="s">
        <v>2272</v>
      </c>
      <c r="B1464" s="4" t="s">
        <v>1497</v>
      </c>
      <c r="C1464" s="4" t="s">
        <v>1497</v>
      </c>
      <c r="D1464" s="4" t="s">
        <v>1497</v>
      </c>
    </row>
    <row r="1465" spans="1:4" x14ac:dyDescent="0.25">
      <c r="A1465" s="4" t="s">
        <v>2278</v>
      </c>
      <c r="B1465" s="4" t="s">
        <v>1497</v>
      </c>
      <c r="C1465" s="4" t="s">
        <v>1497</v>
      </c>
      <c r="D1465" s="4" t="s">
        <v>1497</v>
      </c>
    </row>
    <row r="1466" spans="1:4" x14ac:dyDescent="0.25">
      <c r="A1466" s="4" t="s">
        <v>2279</v>
      </c>
      <c r="B1466" s="4" t="s">
        <v>1497</v>
      </c>
      <c r="C1466" s="4" t="s">
        <v>1497</v>
      </c>
      <c r="D1466" s="4" t="s">
        <v>1497</v>
      </c>
    </row>
    <row r="1467" spans="1:4" x14ac:dyDescent="0.25">
      <c r="A1467" s="4" t="s">
        <v>2282</v>
      </c>
      <c r="B1467" s="4" t="s">
        <v>2492</v>
      </c>
      <c r="C1467" s="4" t="s">
        <v>1497</v>
      </c>
      <c r="D1467" s="4" t="s">
        <v>2492</v>
      </c>
    </row>
    <row r="1468" spans="1:4" x14ac:dyDescent="0.25">
      <c r="A1468" s="4" t="s">
        <v>2284</v>
      </c>
      <c r="B1468" s="4" t="s">
        <v>2492</v>
      </c>
      <c r="C1468" s="4" t="s">
        <v>2492</v>
      </c>
      <c r="D1468" s="4" t="s">
        <v>2492</v>
      </c>
    </row>
    <row r="1469" spans="1:4" x14ac:dyDescent="0.25">
      <c r="A1469" s="4" t="s">
        <v>2287</v>
      </c>
      <c r="B1469" s="4" t="s">
        <v>2492</v>
      </c>
      <c r="C1469" s="4" t="s">
        <v>2497</v>
      </c>
      <c r="D1469" s="4" t="s">
        <v>2492</v>
      </c>
    </row>
    <row r="1470" spans="1:4" x14ac:dyDescent="0.25">
      <c r="A1470" s="4" t="s">
        <v>2295</v>
      </c>
      <c r="B1470" s="4" t="s">
        <v>2492</v>
      </c>
      <c r="C1470" s="4" t="s">
        <v>1497</v>
      </c>
      <c r="D1470" s="4" t="s">
        <v>2492</v>
      </c>
    </row>
    <row r="1471" spans="1:4" x14ac:dyDescent="0.25">
      <c r="A1471" s="4" t="s">
        <v>2296</v>
      </c>
      <c r="B1471" s="4" t="s">
        <v>1497</v>
      </c>
      <c r="C1471" s="4" t="s">
        <v>1497</v>
      </c>
      <c r="D1471" s="4" t="s">
        <v>1497</v>
      </c>
    </row>
    <row r="1472" spans="1:4" x14ac:dyDescent="0.25">
      <c r="A1472" s="4" t="s">
        <v>2296</v>
      </c>
      <c r="B1472" s="4" t="s">
        <v>2514</v>
      </c>
      <c r="C1472" s="4" t="s">
        <v>2514</v>
      </c>
      <c r="D1472" s="4" t="s">
        <v>2514</v>
      </c>
    </row>
    <row r="1473" spans="1:4" x14ac:dyDescent="0.25">
      <c r="A1473" s="4" t="s">
        <v>2301</v>
      </c>
      <c r="B1473" s="4" t="s">
        <v>2492</v>
      </c>
      <c r="C1473" s="4" t="s">
        <v>1497</v>
      </c>
      <c r="D1473" s="4" t="s">
        <v>2492</v>
      </c>
    </row>
    <row r="1474" spans="1:4" x14ac:dyDescent="0.25">
      <c r="A1474" s="4" t="s">
        <v>2303</v>
      </c>
      <c r="B1474" s="4" t="s">
        <v>2498</v>
      </c>
      <c r="C1474" s="4" t="s">
        <v>2498</v>
      </c>
      <c r="D1474" s="4" t="s">
        <v>2498</v>
      </c>
    </row>
    <row r="1475" spans="1:4" x14ac:dyDescent="0.25">
      <c r="A1475" s="4" t="s">
        <v>2304</v>
      </c>
      <c r="B1475" s="4" t="s">
        <v>2492</v>
      </c>
      <c r="C1475" s="4" t="s">
        <v>2497</v>
      </c>
      <c r="D1475" s="4" t="s">
        <v>2492</v>
      </c>
    </row>
    <row r="1476" spans="1:4" x14ac:dyDescent="0.25">
      <c r="A1476" s="4" t="s">
        <v>2306</v>
      </c>
      <c r="B1476" s="4" t="s">
        <v>1497</v>
      </c>
      <c r="C1476" s="4" t="s">
        <v>1497</v>
      </c>
      <c r="D1476" s="4" t="s">
        <v>1497</v>
      </c>
    </row>
    <row r="1477" spans="1:4" x14ac:dyDescent="0.25">
      <c r="A1477" s="4" t="s">
        <v>2307</v>
      </c>
      <c r="B1477" s="4" t="s">
        <v>2493</v>
      </c>
      <c r="C1477" s="4" t="s">
        <v>2493</v>
      </c>
      <c r="D1477" s="4" t="s">
        <v>2493</v>
      </c>
    </row>
    <row r="1478" spans="1:4" x14ac:dyDescent="0.25">
      <c r="A1478" s="4" t="s">
        <v>2307</v>
      </c>
      <c r="B1478" s="4" t="s">
        <v>1497</v>
      </c>
      <c r="C1478" s="4" t="s">
        <v>1497</v>
      </c>
      <c r="D1478" s="4" t="s">
        <v>1497</v>
      </c>
    </row>
    <row r="1479" spans="1:4" x14ac:dyDescent="0.25">
      <c r="A1479" s="4" t="s">
        <v>2307</v>
      </c>
      <c r="B1479" s="4" t="s">
        <v>2498</v>
      </c>
      <c r="C1479" s="4" t="s">
        <v>2498</v>
      </c>
      <c r="D1479" s="4" t="s">
        <v>2498</v>
      </c>
    </row>
    <row r="1480" spans="1:4" x14ac:dyDescent="0.25">
      <c r="A1480" s="4" t="s">
        <v>2317</v>
      </c>
      <c r="B1480" s="4" t="s">
        <v>2492</v>
      </c>
      <c r="C1480" s="4" t="s">
        <v>1497</v>
      </c>
      <c r="D1480" s="4" t="s">
        <v>2492</v>
      </c>
    </row>
    <row r="1481" spans="1:4" x14ac:dyDescent="0.25">
      <c r="A1481" s="4" t="s">
        <v>2318</v>
      </c>
      <c r="B1481" s="4" t="s">
        <v>443</v>
      </c>
      <c r="C1481" s="4" t="s">
        <v>1497</v>
      </c>
      <c r="D1481" s="4" t="s">
        <v>443</v>
      </c>
    </row>
    <row r="1482" spans="1:4" x14ac:dyDescent="0.25">
      <c r="A1482" s="4" t="s">
        <v>2318</v>
      </c>
      <c r="B1482" s="4" t="s">
        <v>444</v>
      </c>
      <c r="C1482" s="4" t="s">
        <v>1497</v>
      </c>
      <c r="D1482" s="4" t="s">
        <v>444</v>
      </c>
    </row>
    <row r="1483" spans="1:4" x14ac:dyDescent="0.25">
      <c r="A1483" s="4" t="s">
        <v>2318</v>
      </c>
      <c r="B1483" s="4" t="s">
        <v>2492</v>
      </c>
      <c r="C1483" s="4" t="s">
        <v>1497</v>
      </c>
      <c r="D1483" s="4" t="s">
        <v>2492</v>
      </c>
    </row>
    <row r="1484" spans="1:4" x14ac:dyDescent="0.25">
      <c r="A1484" s="4" t="s">
        <v>2318</v>
      </c>
      <c r="B1484" s="4" t="s">
        <v>2492</v>
      </c>
      <c r="C1484" s="4" t="s">
        <v>2497</v>
      </c>
      <c r="D1484" s="4" t="s">
        <v>2492</v>
      </c>
    </row>
    <row r="1485" spans="1:4" x14ac:dyDescent="0.25">
      <c r="A1485" s="4" t="s">
        <v>2321</v>
      </c>
      <c r="B1485" s="4" t="s">
        <v>444</v>
      </c>
      <c r="C1485" s="4" t="s">
        <v>1497</v>
      </c>
      <c r="D1485" s="4" t="s">
        <v>444</v>
      </c>
    </row>
    <row r="1486" spans="1:4" x14ac:dyDescent="0.25">
      <c r="A1486" s="4" t="s">
        <v>2322</v>
      </c>
      <c r="B1486" s="4" t="s">
        <v>2492</v>
      </c>
      <c r="C1486" s="4" t="s">
        <v>1497</v>
      </c>
      <c r="D1486" s="4" t="s">
        <v>2492</v>
      </c>
    </row>
    <row r="1487" spans="1:4" x14ac:dyDescent="0.25">
      <c r="A1487" s="4" t="s">
        <v>2322</v>
      </c>
      <c r="B1487" s="4" t="s">
        <v>2492</v>
      </c>
      <c r="C1487" s="4" t="s">
        <v>2497</v>
      </c>
      <c r="D1487" s="4" t="s">
        <v>2492</v>
      </c>
    </row>
    <row r="1488" spans="1:4" x14ac:dyDescent="0.25">
      <c r="A1488" s="4" t="s">
        <v>2324</v>
      </c>
      <c r="B1488" s="4" t="s">
        <v>2492</v>
      </c>
      <c r="C1488" s="4" t="s">
        <v>2492</v>
      </c>
      <c r="D1488" s="4" t="s">
        <v>2492</v>
      </c>
    </row>
    <row r="1489" spans="1:4" x14ac:dyDescent="0.25">
      <c r="A1489" s="4" t="s">
        <v>2324</v>
      </c>
      <c r="B1489" s="4" t="s">
        <v>2492</v>
      </c>
      <c r="C1489" s="4" t="s">
        <v>1497</v>
      </c>
      <c r="D1489" s="4" t="s">
        <v>2492</v>
      </c>
    </row>
    <row r="1490" spans="1:4" x14ac:dyDescent="0.25">
      <c r="A1490" s="4" t="s">
        <v>2324</v>
      </c>
      <c r="B1490" s="4" t="s">
        <v>2492</v>
      </c>
      <c r="C1490" s="4" t="s">
        <v>2497</v>
      </c>
      <c r="D1490" s="4" t="s">
        <v>2492</v>
      </c>
    </row>
    <row r="1491" spans="1:4" x14ac:dyDescent="0.25">
      <c r="A1491" s="4" t="s">
        <v>2325</v>
      </c>
      <c r="B1491" s="4" t="s">
        <v>2492</v>
      </c>
      <c r="C1491" s="4" t="s">
        <v>2497</v>
      </c>
      <c r="D1491" s="4" t="s">
        <v>2492</v>
      </c>
    </row>
    <row r="1492" spans="1:4" x14ac:dyDescent="0.25">
      <c r="A1492" s="4" t="s">
        <v>2328</v>
      </c>
      <c r="B1492" s="4" t="s">
        <v>1497</v>
      </c>
      <c r="C1492" s="4" t="s">
        <v>1497</v>
      </c>
      <c r="D1492" s="4" t="s">
        <v>1497</v>
      </c>
    </row>
    <row r="1493" spans="1:4" x14ac:dyDescent="0.25">
      <c r="A1493" s="4" t="s">
        <v>2332</v>
      </c>
      <c r="B1493" s="4" t="s">
        <v>2492</v>
      </c>
      <c r="C1493" s="4" t="s">
        <v>2497</v>
      </c>
      <c r="D1493" s="4" t="s">
        <v>2492</v>
      </c>
    </row>
    <row r="1494" spans="1:4" x14ac:dyDescent="0.25">
      <c r="A1494" s="4" t="s">
        <v>2333</v>
      </c>
      <c r="B1494" s="4" t="s">
        <v>1497</v>
      </c>
      <c r="C1494" s="4" t="s">
        <v>1497</v>
      </c>
      <c r="D1494" s="4" t="s">
        <v>1497</v>
      </c>
    </row>
    <row r="1495" spans="1:4" x14ac:dyDescent="0.25">
      <c r="A1495" s="4" t="s">
        <v>2335</v>
      </c>
      <c r="B1495" s="4" t="s">
        <v>444</v>
      </c>
      <c r="C1495" s="4" t="s">
        <v>1497</v>
      </c>
      <c r="D1495" s="4" t="s">
        <v>444</v>
      </c>
    </row>
    <row r="1496" spans="1:4" x14ac:dyDescent="0.25">
      <c r="A1496" s="4" t="s">
        <v>2335</v>
      </c>
      <c r="B1496" s="4" t="s">
        <v>2492</v>
      </c>
      <c r="C1496" s="4" t="s">
        <v>2497</v>
      </c>
      <c r="D1496" s="4" t="s">
        <v>2492</v>
      </c>
    </row>
    <row r="1497" spans="1:4" x14ac:dyDescent="0.25">
      <c r="A1497" s="4" t="s">
        <v>2341</v>
      </c>
      <c r="B1497" s="4" t="s">
        <v>2492</v>
      </c>
      <c r="C1497" s="4" t="s">
        <v>2497</v>
      </c>
      <c r="D1497" s="4" t="s">
        <v>2492</v>
      </c>
    </row>
    <row r="1498" spans="1:4" x14ac:dyDescent="0.25">
      <c r="A1498" s="4" t="s">
        <v>2342</v>
      </c>
      <c r="B1498" s="4" t="s">
        <v>444</v>
      </c>
      <c r="C1498" s="4" t="s">
        <v>1497</v>
      </c>
      <c r="D1498" s="4" t="s">
        <v>444</v>
      </c>
    </row>
    <row r="1499" spans="1:4" x14ac:dyDescent="0.25">
      <c r="A1499" s="4" t="s">
        <v>2342</v>
      </c>
      <c r="B1499" s="4" t="s">
        <v>444</v>
      </c>
      <c r="C1499" s="4" t="s">
        <v>2534</v>
      </c>
      <c r="D1499" s="4" t="s">
        <v>444</v>
      </c>
    </row>
    <row r="1500" spans="1:4" x14ac:dyDescent="0.25">
      <c r="A1500" s="4" t="s">
        <v>2346</v>
      </c>
      <c r="B1500" s="4" t="s">
        <v>2493</v>
      </c>
      <c r="C1500" s="4" t="s">
        <v>2493</v>
      </c>
      <c r="D1500" s="4" t="s">
        <v>2493</v>
      </c>
    </row>
    <row r="1501" spans="1:4" x14ac:dyDescent="0.25">
      <c r="A1501" s="4" t="s">
        <v>2349</v>
      </c>
      <c r="B1501" s="4" t="s">
        <v>2492</v>
      </c>
      <c r="C1501" s="4" t="s">
        <v>2497</v>
      </c>
      <c r="D1501" s="4" t="s">
        <v>2492</v>
      </c>
    </row>
    <row r="1502" spans="1:4" x14ac:dyDescent="0.25">
      <c r="A1502" s="4" t="s">
        <v>2355</v>
      </c>
      <c r="B1502" s="4" t="s">
        <v>1497</v>
      </c>
      <c r="C1502" s="4" t="s">
        <v>1497</v>
      </c>
      <c r="D1502" s="4" t="s">
        <v>1497</v>
      </c>
    </row>
    <row r="1503" spans="1:4" x14ac:dyDescent="0.25">
      <c r="A1503" s="4" t="s">
        <v>2356</v>
      </c>
      <c r="B1503" s="4" t="s">
        <v>2492</v>
      </c>
      <c r="C1503" s="4" t="s">
        <v>2492</v>
      </c>
      <c r="D1503" s="4" t="s">
        <v>2492</v>
      </c>
    </row>
    <row r="1504" spans="1:4" x14ac:dyDescent="0.25">
      <c r="A1504" s="4" t="s">
        <v>2358</v>
      </c>
      <c r="B1504" s="4" t="s">
        <v>2492</v>
      </c>
      <c r="C1504" s="4" t="s">
        <v>1497</v>
      </c>
      <c r="D1504" s="4" t="s">
        <v>2492</v>
      </c>
    </row>
    <row r="1505" spans="1:4" x14ac:dyDescent="0.25">
      <c r="A1505" s="4" t="s">
        <v>2358</v>
      </c>
      <c r="B1505" s="4" t="s">
        <v>2492</v>
      </c>
      <c r="C1505" s="4" t="s">
        <v>2497</v>
      </c>
      <c r="D1505" s="4" t="s">
        <v>2492</v>
      </c>
    </row>
    <row r="1506" spans="1:4" x14ac:dyDescent="0.25">
      <c r="A1506" s="4" t="s">
        <v>2359</v>
      </c>
      <c r="B1506" s="4" t="s">
        <v>1497</v>
      </c>
      <c r="C1506" s="4" t="s">
        <v>1497</v>
      </c>
      <c r="D1506" s="4" t="s">
        <v>1497</v>
      </c>
    </row>
    <row r="1507" spans="1:4" x14ac:dyDescent="0.25">
      <c r="A1507" s="4" t="s">
        <v>2360</v>
      </c>
      <c r="B1507" s="4" t="s">
        <v>1497</v>
      </c>
      <c r="C1507" s="4" t="s">
        <v>1497</v>
      </c>
      <c r="D1507" s="4" t="s">
        <v>1497</v>
      </c>
    </row>
    <row r="1508" spans="1:4" x14ac:dyDescent="0.25">
      <c r="A1508" s="4" t="s">
        <v>2362</v>
      </c>
      <c r="B1508" s="4" t="s">
        <v>2494</v>
      </c>
      <c r="C1508" s="4" t="s">
        <v>2494</v>
      </c>
      <c r="D1508" s="4" t="s">
        <v>2494</v>
      </c>
    </row>
    <row r="1509" spans="1:4" x14ac:dyDescent="0.25">
      <c r="A1509" s="4" t="s">
        <v>2363</v>
      </c>
      <c r="B1509" s="4" t="s">
        <v>1497</v>
      </c>
      <c r="C1509" s="4" t="s">
        <v>1497</v>
      </c>
      <c r="D1509" s="4" t="s">
        <v>1497</v>
      </c>
    </row>
    <row r="1510" spans="1:4" x14ac:dyDescent="0.25">
      <c r="A1510" s="4" t="s">
        <v>2366</v>
      </c>
      <c r="B1510" s="4" t="s">
        <v>2492</v>
      </c>
      <c r="C1510" s="4" t="s">
        <v>2497</v>
      </c>
      <c r="D1510" s="4" t="s">
        <v>2492</v>
      </c>
    </row>
    <row r="1511" spans="1:4" x14ac:dyDescent="0.25">
      <c r="A1511" s="4" t="s">
        <v>2367</v>
      </c>
      <c r="B1511" s="4" t="s">
        <v>2492</v>
      </c>
      <c r="C1511" s="4" t="s">
        <v>2497</v>
      </c>
      <c r="D1511" s="4" t="s">
        <v>2492</v>
      </c>
    </row>
    <row r="1512" spans="1:4" x14ac:dyDescent="0.25">
      <c r="A1512" s="4" t="s">
        <v>2368</v>
      </c>
      <c r="B1512" s="4" t="s">
        <v>1497</v>
      </c>
      <c r="C1512" s="4" t="s">
        <v>1497</v>
      </c>
      <c r="D1512" s="4" t="s">
        <v>1497</v>
      </c>
    </row>
    <row r="1513" spans="1:4" x14ac:dyDescent="0.25">
      <c r="A1513" s="4" t="s">
        <v>2369</v>
      </c>
      <c r="B1513" s="4" t="s">
        <v>2492</v>
      </c>
      <c r="C1513" s="4" t="s">
        <v>2497</v>
      </c>
      <c r="D1513" s="4" t="s">
        <v>2492</v>
      </c>
    </row>
    <row r="1514" spans="1:4" x14ac:dyDescent="0.25">
      <c r="A1514" s="4" t="s">
        <v>2376</v>
      </c>
      <c r="B1514" s="4" t="s">
        <v>2492</v>
      </c>
      <c r="C1514" s="4" t="s">
        <v>1497</v>
      </c>
      <c r="D1514" s="4" t="s">
        <v>2492</v>
      </c>
    </row>
    <row r="1515" spans="1:4" x14ac:dyDescent="0.25">
      <c r="A1515" s="4" t="s">
        <v>2376</v>
      </c>
      <c r="B1515" s="4" t="s">
        <v>2492</v>
      </c>
      <c r="C1515" s="4" t="s">
        <v>2497</v>
      </c>
      <c r="D1515" s="4" t="s">
        <v>2492</v>
      </c>
    </row>
    <row r="1516" spans="1:4" x14ac:dyDescent="0.25">
      <c r="A1516" s="4" t="s">
        <v>2379</v>
      </c>
      <c r="B1516" s="4" t="s">
        <v>2492</v>
      </c>
      <c r="C1516" s="4" t="s">
        <v>1497</v>
      </c>
      <c r="D1516" s="4" t="s">
        <v>2492</v>
      </c>
    </row>
    <row r="1517" spans="1:4" x14ac:dyDescent="0.25">
      <c r="A1517" s="4" t="s">
        <v>2379</v>
      </c>
      <c r="B1517" s="4" t="s">
        <v>2492</v>
      </c>
      <c r="C1517" s="4" t="s">
        <v>2497</v>
      </c>
      <c r="D1517" s="4" t="s">
        <v>2492</v>
      </c>
    </row>
    <row r="1518" spans="1:4" x14ac:dyDescent="0.25">
      <c r="A1518" s="4" t="s">
        <v>2380</v>
      </c>
      <c r="B1518" s="4" t="s">
        <v>2494</v>
      </c>
      <c r="C1518" s="4" t="s">
        <v>2494</v>
      </c>
      <c r="D1518" s="4" t="s">
        <v>2494</v>
      </c>
    </row>
    <row r="1519" spans="1:4" x14ac:dyDescent="0.25">
      <c r="A1519" s="4" t="s">
        <v>2380</v>
      </c>
      <c r="B1519" s="4" t="s">
        <v>2493</v>
      </c>
      <c r="C1519" s="4" t="s">
        <v>2493</v>
      </c>
      <c r="D1519" s="4" t="s">
        <v>2493</v>
      </c>
    </row>
    <row r="1520" spans="1:4" x14ac:dyDescent="0.25">
      <c r="A1520" s="4" t="s">
        <v>2380</v>
      </c>
      <c r="B1520" s="4" t="s">
        <v>2499</v>
      </c>
      <c r="C1520" s="4" t="s">
        <v>2499</v>
      </c>
      <c r="D1520" s="4" t="s">
        <v>2499</v>
      </c>
    </row>
    <row r="1521" spans="1:4" x14ac:dyDescent="0.25">
      <c r="A1521" s="4" t="s">
        <v>2380</v>
      </c>
      <c r="B1521" s="4" t="s">
        <v>2520</v>
      </c>
      <c r="C1521" s="4" t="s">
        <v>2520</v>
      </c>
      <c r="D1521" s="4" t="s">
        <v>2520</v>
      </c>
    </row>
    <row r="1522" spans="1:4" x14ac:dyDescent="0.25">
      <c r="A1522" s="4" t="s">
        <v>2380</v>
      </c>
      <c r="B1522" s="4" t="s">
        <v>2553</v>
      </c>
      <c r="C1522" s="4" t="s">
        <v>2492</v>
      </c>
      <c r="D1522" s="4" t="s">
        <v>2492</v>
      </c>
    </row>
    <row r="1523" spans="1:4" x14ac:dyDescent="0.25">
      <c r="A1523" s="4" t="s">
        <v>2380</v>
      </c>
      <c r="B1523" s="4" t="s">
        <v>2540</v>
      </c>
      <c r="C1523" s="4" t="s">
        <v>2540</v>
      </c>
      <c r="D1523" s="4" t="s">
        <v>2540</v>
      </c>
    </row>
    <row r="1524" spans="1:4" x14ac:dyDescent="0.25">
      <c r="A1524" s="4" t="s">
        <v>2380</v>
      </c>
      <c r="B1524" s="4" t="s">
        <v>2524</v>
      </c>
      <c r="C1524" s="4" t="s">
        <v>2524</v>
      </c>
      <c r="D1524" s="4" t="s">
        <v>2524</v>
      </c>
    </row>
    <row r="1525" spans="1:4" x14ac:dyDescent="0.25">
      <c r="A1525" s="4" t="s">
        <v>2380</v>
      </c>
      <c r="B1525" s="4" t="s">
        <v>2508</v>
      </c>
      <c r="C1525" s="4" t="s">
        <v>2508</v>
      </c>
      <c r="D1525" s="4" t="s">
        <v>2508</v>
      </c>
    </row>
    <row r="1526" spans="1:4" x14ac:dyDescent="0.25">
      <c r="A1526" s="4" t="s">
        <v>2380</v>
      </c>
      <c r="B1526" s="4" t="s">
        <v>2525</v>
      </c>
      <c r="C1526" s="4" t="s">
        <v>2525</v>
      </c>
      <c r="D1526" s="4" t="s">
        <v>2525</v>
      </c>
    </row>
    <row r="1527" spans="1:4" x14ac:dyDescent="0.25">
      <c r="A1527" s="4" t="s">
        <v>2380</v>
      </c>
      <c r="B1527" s="4" t="s">
        <v>2526</v>
      </c>
      <c r="C1527" s="4" t="s">
        <v>2526</v>
      </c>
      <c r="D1527" s="4" t="s">
        <v>2526</v>
      </c>
    </row>
    <row r="1528" spans="1:4" x14ac:dyDescent="0.25">
      <c r="A1528" s="4" t="s">
        <v>2380</v>
      </c>
      <c r="B1528" s="4" t="s">
        <v>2527</v>
      </c>
      <c r="C1528" s="4" t="s">
        <v>2527</v>
      </c>
      <c r="D1528" s="4" t="s">
        <v>2527</v>
      </c>
    </row>
    <row r="1529" spans="1:4" x14ac:dyDescent="0.25">
      <c r="A1529" s="4" t="s">
        <v>2380</v>
      </c>
      <c r="B1529" s="4" t="s">
        <v>2548</v>
      </c>
      <c r="C1529" s="4" t="s">
        <v>2548</v>
      </c>
      <c r="D1529" s="4" t="s">
        <v>2548</v>
      </c>
    </row>
    <row r="1530" spans="1:4" x14ac:dyDescent="0.25">
      <c r="A1530" s="4" t="s">
        <v>2380</v>
      </c>
      <c r="B1530" s="4" t="s">
        <v>2521</v>
      </c>
      <c r="C1530" s="4" t="s">
        <v>2521</v>
      </c>
      <c r="D1530" s="4" t="s">
        <v>2521</v>
      </c>
    </row>
    <row r="1531" spans="1:4" x14ac:dyDescent="0.25">
      <c r="A1531" s="4" t="s">
        <v>2380</v>
      </c>
      <c r="B1531" s="4" t="s">
        <v>2522</v>
      </c>
      <c r="C1531" s="4" t="s">
        <v>2522</v>
      </c>
      <c r="D1531" s="4" t="s">
        <v>2522</v>
      </c>
    </row>
    <row r="1532" spans="1:4" x14ac:dyDescent="0.25">
      <c r="A1532" s="4" t="s">
        <v>2380</v>
      </c>
      <c r="B1532" s="4" t="s">
        <v>2501</v>
      </c>
      <c r="C1532" s="4" t="s">
        <v>2501</v>
      </c>
      <c r="D1532" s="4" t="s">
        <v>2501</v>
      </c>
    </row>
    <row r="1533" spans="1:4" x14ac:dyDescent="0.25">
      <c r="A1533" s="4" t="s">
        <v>2380</v>
      </c>
      <c r="B1533" s="4" t="s">
        <v>2509</v>
      </c>
      <c r="C1533" s="4" t="s">
        <v>2509</v>
      </c>
      <c r="D1533" s="4" t="s">
        <v>2509</v>
      </c>
    </row>
    <row r="1534" spans="1:4" x14ac:dyDescent="0.25">
      <c r="A1534" s="4" t="s">
        <v>2380</v>
      </c>
      <c r="B1534" s="4" t="s">
        <v>2528</v>
      </c>
      <c r="C1534" s="4" t="s">
        <v>2528</v>
      </c>
      <c r="D1534" s="4" t="s">
        <v>2528</v>
      </c>
    </row>
    <row r="1535" spans="1:4" x14ac:dyDescent="0.25">
      <c r="A1535" s="4" t="s">
        <v>2380</v>
      </c>
      <c r="B1535" s="4" t="s">
        <v>2529</v>
      </c>
      <c r="C1535" s="4" t="s">
        <v>2529</v>
      </c>
      <c r="D1535" s="4" t="s">
        <v>2529</v>
      </c>
    </row>
    <row r="1536" spans="1:4" x14ac:dyDescent="0.25">
      <c r="A1536" s="4" t="s">
        <v>2380</v>
      </c>
      <c r="B1536" s="4" t="s">
        <v>2530</v>
      </c>
      <c r="C1536" s="4" t="s">
        <v>2530</v>
      </c>
      <c r="D1536" s="4" t="s">
        <v>2530</v>
      </c>
    </row>
    <row r="1537" spans="1:4" x14ac:dyDescent="0.25">
      <c r="A1537" s="4" t="s">
        <v>2380</v>
      </c>
      <c r="B1537" s="4" t="s">
        <v>2531</v>
      </c>
      <c r="C1537" s="4" t="s">
        <v>2531</v>
      </c>
      <c r="D1537" s="4" t="s">
        <v>2531</v>
      </c>
    </row>
    <row r="1538" spans="1:4" x14ac:dyDescent="0.25">
      <c r="A1538" s="4" t="s">
        <v>2380</v>
      </c>
      <c r="B1538" s="4" t="s">
        <v>2510</v>
      </c>
      <c r="C1538" s="4" t="s">
        <v>2510</v>
      </c>
      <c r="D1538" s="4" t="s">
        <v>2510</v>
      </c>
    </row>
    <row r="1539" spans="1:4" x14ac:dyDescent="0.25">
      <c r="A1539" s="4" t="s">
        <v>2380</v>
      </c>
      <c r="B1539" s="4" t="s">
        <v>2532</v>
      </c>
      <c r="C1539" s="4" t="s">
        <v>2532</v>
      </c>
      <c r="D1539" s="4" t="s">
        <v>2532</v>
      </c>
    </row>
    <row r="1540" spans="1:4" x14ac:dyDescent="0.25">
      <c r="A1540" s="4" t="s">
        <v>2380</v>
      </c>
      <c r="B1540" s="4" t="s">
        <v>2533</v>
      </c>
      <c r="C1540" s="4" t="s">
        <v>2533</v>
      </c>
      <c r="D1540" s="4" t="s">
        <v>2533</v>
      </c>
    </row>
    <row r="1541" spans="1:4" x14ac:dyDescent="0.25">
      <c r="A1541" s="4" t="s">
        <v>2380</v>
      </c>
      <c r="B1541" s="4" t="s">
        <v>2511</v>
      </c>
      <c r="C1541" s="4" t="s">
        <v>2511</v>
      </c>
      <c r="D1541" s="4" t="s">
        <v>2511</v>
      </c>
    </row>
    <row r="1542" spans="1:4" x14ac:dyDescent="0.25">
      <c r="A1542" s="4" t="s">
        <v>2380</v>
      </c>
      <c r="B1542" s="4" t="s">
        <v>2495</v>
      </c>
      <c r="C1542" s="4" t="s">
        <v>2495</v>
      </c>
      <c r="D1542" s="4" t="s">
        <v>2495</v>
      </c>
    </row>
    <row r="1543" spans="1:4" x14ac:dyDescent="0.25">
      <c r="A1543" s="4" t="s">
        <v>2380</v>
      </c>
      <c r="B1543" s="4" t="s">
        <v>1497</v>
      </c>
      <c r="C1543" s="4" t="s">
        <v>1497</v>
      </c>
      <c r="D1543" s="4" t="s">
        <v>1497</v>
      </c>
    </row>
    <row r="1544" spans="1:4" x14ac:dyDescent="0.25">
      <c r="A1544" s="4" t="s">
        <v>2380</v>
      </c>
      <c r="B1544" s="4" t="s">
        <v>2534</v>
      </c>
      <c r="C1544" s="4" t="s">
        <v>2534</v>
      </c>
      <c r="D1544" s="4" t="s">
        <v>2534</v>
      </c>
    </row>
    <row r="1545" spans="1:4" x14ac:dyDescent="0.25">
      <c r="A1545" s="4" t="s">
        <v>2380</v>
      </c>
      <c r="B1545" s="4" t="s">
        <v>2535</v>
      </c>
      <c r="C1545" s="4" t="s">
        <v>2535</v>
      </c>
      <c r="D1545" s="4" t="s">
        <v>2535</v>
      </c>
    </row>
    <row r="1546" spans="1:4" x14ac:dyDescent="0.25">
      <c r="A1546" s="4" t="s">
        <v>2380</v>
      </c>
      <c r="B1546" s="4" t="s">
        <v>2513</v>
      </c>
      <c r="C1546" s="4" t="s">
        <v>2513</v>
      </c>
      <c r="D1546" s="4" t="s">
        <v>2513</v>
      </c>
    </row>
    <row r="1547" spans="1:4" x14ac:dyDescent="0.25">
      <c r="A1547" s="4" t="s">
        <v>2380</v>
      </c>
      <c r="B1547" s="4" t="s">
        <v>2502</v>
      </c>
      <c r="C1547" s="4" t="s">
        <v>2502</v>
      </c>
      <c r="D1547" s="4" t="s">
        <v>2502</v>
      </c>
    </row>
    <row r="1548" spans="1:4" x14ac:dyDescent="0.25">
      <c r="A1548" s="4" t="s">
        <v>2380</v>
      </c>
      <c r="B1548" s="4" t="s">
        <v>2541</v>
      </c>
      <c r="C1548" s="4" t="s">
        <v>2541</v>
      </c>
      <c r="D1548" s="4" t="s">
        <v>2541</v>
      </c>
    </row>
    <row r="1549" spans="1:4" x14ac:dyDescent="0.25">
      <c r="A1549" s="4" t="s">
        <v>2380</v>
      </c>
      <c r="B1549" s="4" t="s">
        <v>2496</v>
      </c>
      <c r="C1549" s="4" t="s">
        <v>2496</v>
      </c>
      <c r="D1549" s="4" t="s">
        <v>2496</v>
      </c>
    </row>
    <row r="1550" spans="1:4" x14ac:dyDescent="0.25">
      <c r="A1550" s="4" t="s">
        <v>2380</v>
      </c>
      <c r="B1550" s="4" t="s">
        <v>2503</v>
      </c>
      <c r="C1550" s="4" t="s">
        <v>2503</v>
      </c>
      <c r="D1550" s="4" t="s">
        <v>2503</v>
      </c>
    </row>
    <row r="1551" spans="1:4" x14ac:dyDescent="0.25">
      <c r="A1551" s="4" t="s">
        <v>2380</v>
      </c>
      <c r="B1551" s="4" t="s">
        <v>2504</v>
      </c>
      <c r="C1551" s="4" t="s">
        <v>2504</v>
      </c>
      <c r="D1551" s="4" t="s">
        <v>2504</v>
      </c>
    </row>
    <row r="1552" spans="1:4" x14ac:dyDescent="0.25">
      <c r="A1552" s="4" t="s">
        <v>2380</v>
      </c>
      <c r="B1552" s="4" t="s">
        <v>2536</v>
      </c>
      <c r="C1552" s="4" t="s">
        <v>2536</v>
      </c>
      <c r="D1552" s="4" t="s">
        <v>2536</v>
      </c>
    </row>
    <row r="1553" spans="1:4" x14ac:dyDescent="0.25">
      <c r="A1553" s="4" t="s">
        <v>2380</v>
      </c>
      <c r="B1553" s="4" t="s">
        <v>2515</v>
      </c>
      <c r="C1553" s="4" t="s">
        <v>2515</v>
      </c>
      <c r="D1553" s="4" t="s">
        <v>2515</v>
      </c>
    </row>
    <row r="1554" spans="1:4" x14ac:dyDescent="0.25">
      <c r="A1554" s="4" t="s">
        <v>2380</v>
      </c>
      <c r="B1554" s="4" t="s">
        <v>2516</v>
      </c>
      <c r="C1554" s="4" t="s">
        <v>2516</v>
      </c>
      <c r="D1554" s="4" t="s">
        <v>2516</v>
      </c>
    </row>
    <row r="1555" spans="1:4" x14ac:dyDescent="0.25">
      <c r="A1555" s="4" t="s">
        <v>2380</v>
      </c>
      <c r="B1555" s="4" t="s">
        <v>2517</v>
      </c>
      <c r="C1555" s="4" t="s">
        <v>2517</v>
      </c>
      <c r="D1555" s="4" t="s">
        <v>2517</v>
      </c>
    </row>
    <row r="1556" spans="1:4" x14ac:dyDescent="0.25">
      <c r="A1556" s="4" t="s">
        <v>2380</v>
      </c>
      <c r="B1556" s="4" t="s">
        <v>2497</v>
      </c>
      <c r="C1556" s="4" t="s">
        <v>2549</v>
      </c>
      <c r="D1556" s="4" t="s">
        <v>2549</v>
      </c>
    </row>
    <row r="1557" spans="1:4" x14ac:dyDescent="0.25">
      <c r="A1557" s="4" t="s">
        <v>2380</v>
      </c>
      <c r="B1557" s="4" t="s">
        <v>2523</v>
      </c>
      <c r="C1557" s="4" t="s">
        <v>2523</v>
      </c>
      <c r="D1557" s="4" t="s">
        <v>2523</v>
      </c>
    </row>
    <row r="1558" spans="1:4" x14ac:dyDescent="0.25">
      <c r="A1558" s="4" t="s">
        <v>2380</v>
      </c>
      <c r="B1558" s="4" t="s">
        <v>2542</v>
      </c>
      <c r="C1558" s="4" t="s">
        <v>2542</v>
      </c>
      <c r="D1558" s="4" t="s">
        <v>2542</v>
      </c>
    </row>
    <row r="1559" spans="1:4" x14ac:dyDescent="0.25">
      <c r="A1559" s="4" t="s">
        <v>2380</v>
      </c>
      <c r="B1559" s="4" t="s">
        <v>2537</v>
      </c>
      <c r="C1559" s="4" t="s">
        <v>2537</v>
      </c>
      <c r="D1559" s="4" t="s">
        <v>2537</v>
      </c>
    </row>
    <row r="1560" spans="1:4" x14ac:dyDescent="0.25">
      <c r="A1560" s="4" t="s">
        <v>2380</v>
      </c>
      <c r="B1560" s="4" t="s">
        <v>2538</v>
      </c>
      <c r="C1560" s="4" t="s">
        <v>2538</v>
      </c>
      <c r="D1560" s="4" t="s">
        <v>2538</v>
      </c>
    </row>
    <row r="1561" spans="1:4" x14ac:dyDescent="0.25">
      <c r="A1561" s="4" t="s">
        <v>2380</v>
      </c>
      <c r="B1561" s="4" t="s">
        <v>2539</v>
      </c>
      <c r="C1561" s="4" t="s">
        <v>2539</v>
      </c>
      <c r="D1561" s="4" t="s">
        <v>2539</v>
      </c>
    </row>
    <row r="1562" spans="1:4" x14ac:dyDescent="0.25">
      <c r="A1562" s="4" t="s">
        <v>2381</v>
      </c>
      <c r="B1562" s="4" t="s">
        <v>2547</v>
      </c>
      <c r="C1562" s="4" t="s">
        <v>2547</v>
      </c>
      <c r="D1562" s="4" t="s">
        <v>2547</v>
      </c>
    </row>
    <row r="1563" spans="1:4" x14ac:dyDescent="0.25">
      <c r="A1563" s="4" t="s">
        <v>2389</v>
      </c>
      <c r="B1563" s="4" t="s">
        <v>1497</v>
      </c>
      <c r="C1563" s="4" t="s">
        <v>1497</v>
      </c>
      <c r="D1563" s="4" t="s">
        <v>1497</v>
      </c>
    </row>
    <row r="1564" spans="1:4" x14ac:dyDescent="0.25">
      <c r="A1564" s="4" t="s">
        <v>2399</v>
      </c>
      <c r="B1564" s="4" t="s">
        <v>1497</v>
      </c>
      <c r="C1564" s="4" t="s">
        <v>1497</v>
      </c>
      <c r="D1564" s="4" t="s">
        <v>1497</v>
      </c>
    </row>
    <row r="1565" spans="1:4" x14ac:dyDescent="0.25">
      <c r="A1565" s="4" t="s">
        <v>2400</v>
      </c>
      <c r="B1565" s="4" t="s">
        <v>2492</v>
      </c>
      <c r="C1565" s="4" t="s">
        <v>2492</v>
      </c>
      <c r="D1565" s="4" t="s">
        <v>2492</v>
      </c>
    </row>
    <row r="1566" spans="1:4" x14ac:dyDescent="0.25">
      <c r="A1566" s="4" t="s">
        <v>2400</v>
      </c>
      <c r="B1566" s="4" t="s">
        <v>2492</v>
      </c>
      <c r="C1566" s="4" t="s">
        <v>1497</v>
      </c>
      <c r="D1566" s="4" t="s">
        <v>2492</v>
      </c>
    </row>
    <row r="1567" spans="1:4" x14ac:dyDescent="0.25">
      <c r="A1567" s="4" t="s">
        <v>2400</v>
      </c>
      <c r="B1567" s="4" t="s">
        <v>2492</v>
      </c>
      <c r="C1567" s="4" t="s">
        <v>2497</v>
      </c>
      <c r="D1567" s="4" t="s">
        <v>2492</v>
      </c>
    </row>
    <row r="1568" spans="1:4" x14ac:dyDescent="0.25">
      <c r="A1568" s="4" t="s">
        <v>2402</v>
      </c>
      <c r="B1568" s="4" t="s">
        <v>1497</v>
      </c>
      <c r="C1568" s="4" t="s">
        <v>1497</v>
      </c>
      <c r="D1568" s="4" t="s">
        <v>1497</v>
      </c>
    </row>
    <row r="1569" spans="1:4" x14ac:dyDescent="0.25">
      <c r="A1569" s="4" t="s">
        <v>2403</v>
      </c>
      <c r="B1569" s="4" t="s">
        <v>1497</v>
      </c>
      <c r="C1569" s="4" t="s">
        <v>1497</v>
      </c>
      <c r="D1569" s="4" t="s">
        <v>1497</v>
      </c>
    </row>
    <row r="1570" spans="1:4" x14ac:dyDescent="0.25">
      <c r="A1570" s="4" t="s">
        <v>2407</v>
      </c>
      <c r="B1570" s="4" t="s">
        <v>2520</v>
      </c>
      <c r="C1570" s="4" t="s">
        <v>2520</v>
      </c>
      <c r="D1570" s="4" t="s">
        <v>2520</v>
      </c>
    </row>
    <row r="1571" spans="1:4" x14ac:dyDescent="0.25">
      <c r="A1571" s="4" t="s">
        <v>2407</v>
      </c>
      <c r="B1571" s="4" t="s">
        <v>2510</v>
      </c>
      <c r="C1571" s="4" t="s">
        <v>2510</v>
      </c>
      <c r="D1571" s="4" t="s">
        <v>2510</v>
      </c>
    </row>
    <row r="1572" spans="1:4" x14ac:dyDescent="0.25">
      <c r="A1572" s="4" t="s">
        <v>2407</v>
      </c>
      <c r="B1572" s="4" t="s">
        <v>2532</v>
      </c>
      <c r="C1572" s="4" t="s">
        <v>2532</v>
      </c>
      <c r="D1572" s="4" t="s">
        <v>2532</v>
      </c>
    </row>
    <row r="1573" spans="1:4" x14ac:dyDescent="0.25">
      <c r="A1573" s="4" t="s">
        <v>2407</v>
      </c>
      <c r="B1573" s="4" t="s">
        <v>2511</v>
      </c>
      <c r="C1573" s="4" t="s">
        <v>2511</v>
      </c>
      <c r="D1573" s="4" t="s">
        <v>2511</v>
      </c>
    </row>
    <row r="1574" spans="1:4" x14ac:dyDescent="0.25">
      <c r="A1574" s="4" t="s">
        <v>2407</v>
      </c>
      <c r="B1574" s="4" t="s">
        <v>2512</v>
      </c>
      <c r="C1574" s="4" t="s">
        <v>2512</v>
      </c>
      <c r="D1574" s="4" t="s">
        <v>2512</v>
      </c>
    </row>
    <row r="1575" spans="1:4" x14ac:dyDescent="0.25">
      <c r="A1575" s="4" t="s">
        <v>2407</v>
      </c>
      <c r="B1575" s="4" t="s">
        <v>2513</v>
      </c>
      <c r="C1575" s="4" t="s">
        <v>2513</v>
      </c>
      <c r="D1575" s="4" t="s">
        <v>2513</v>
      </c>
    </row>
    <row r="1576" spans="1:4" x14ac:dyDescent="0.25">
      <c r="A1576" s="4" t="s">
        <v>2407</v>
      </c>
      <c r="B1576" s="4" t="s">
        <v>2496</v>
      </c>
      <c r="C1576" s="4" t="s">
        <v>2496</v>
      </c>
      <c r="D1576" s="4" t="s">
        <v>2496</v>
      </c>
    </row>
    <row r="1577" spans="1:4" x14ac:dyDescent="0.25">
      <c r="A1577" s="4" t="s">
        <v>2407</v>
      </c>
      <c r="B1577" s="4" t="s">
        <v>2515</v>
      </c>
      <c r="C1577" s="4" t="s">
        <v>2515</v>
      </c>
      <c r="D1577" s="4" t="s">
        <v>2515</v>
      </c>
    </row>
    <row r="1578" spans="1:4" x14ac:dyDescent="0.25">
      <c r="A1578" s="4" t="s">
        <v>2407</v>
      </c>
      <c r="B1578" s="4" t="s">
        <v>2516</v>
      </c>
      <c r="C1578" s="4" t="s">
        <v>2516</v>
      </c>
      <c r="D1578" s="4" t="s">
        <v>2516</v>
      </c>
    </row>
    <row r="1579" spans="1:4" x14ac:dyDescent="0.25">
      <c r="A1579" s="4" t="s">
        <v>2409</v>
      </c>
      <c r="B1579" s="4" t="s">
        <v>2498</v>
      </c>
      <c r="C1579" s="4" t="s">
        <v>2498</v>
      </c>
      <c r="D1579" s="4" t="s">
        <v>2498</v>
      </c>
    </row>
    <row r="1580" spans="1:4" x14ac:dyDescent="0.25">
      <c r="A1580" s="4" t="s">
        <v>2413</v>
      </c>
      <c r="B1580" s="4" t="s">
        <v>2492</v>
      </c>
      <c r="C1580" s="4" t="s">
        <v>1497</v>
      </c>
      <c r="D1580" s="4" t="s">
        <v>2492</v>
      </c>
    </row>
    <row r="1581" spans="1:4" x14ac:dyDescent="0.25">
      <c r="A1581" s="4" t="s">
        <v>2413</v>
      </c>
      <c r="B1581" s="4" t="s">
        <v>2492</v>
      </c>
      <c r="C1581" s="4" t="s">
        <v>2497</v>
      </c>
      <c r="D1581" s="4" t="s">
        <v>2492</v>
      </c>
    </row>
    <row r="1582" spans="1:4" x14ac:dyDescent="0.25">
      <c r="A1582" s="4" t="s">
        <v>2418</v>
      </c>
      <c r="B1582" s="4" t="s">
        <v>2492</v>
      </c>
      <c r="C1582" s="4" t="s">
        <v>1497</v>
      </c>
      <c r="D1582" s="4" t="s">
        <v>2492</v>
      </c>
    </row>
    <row r="1583" spans="1:4" x14ac:dyDescent="0.25">
      <c r="A1583" s="4" t="s">
        <v>2418</v>
      </c>
      <c r="B1583" s="4" t="s">
        <v>2492</v>
      </c>
      <c r="C1583" s="4" t="s">
        <v>2497</v>
      </c>
      <c r="D1583" s="4" t="s">
        <v>2492</v>
      </c>
    </row>
    <row r="1584" spans="1:4" x14ac:dyDescent="0.25">
      <c r="A1584" s="4" t="s">
        <v>2420</v>
      </c>
      <c r="B1584" s="4" t="s">
        <v>2492</v>
      </c>
      <c r="C1584" s="4" t="s">
        <v>1497</v>
      </c>
      <c r="D1584" s="4" t="s">
        <v>2492</v>
      </c>
    </row>
    <row r="1585" spans="1:4" x14ac:dyDescent="0.25">
      <c r="A1585" s="4" t="s">
        <v>2420</v>
      </c>
      <c r="B1585" s="4" t="s">
        <v>2492</v>
      </c>
      <c r="C1585" s="4" t="s">
        <v>2497</v>
      </c>
      <c r="D1585" s="4" t="s">
        <v>2492</v>
      </c>
    </row>
    <row r="1586" spans="1:4" x14ac:dyDescent="0.25">
      <c r="A1586" s="4" t="s">
        <v>2421</v>
      </c>
      <c r="B1586" s="4" t="s">
        <v>2492</v>
      </c>
      <c r="C1586" s="4" t="s">
        <v>2497</v>
      </c>
      <c r="D1586" s="4" t="s">
        <v>2492</v>
      </c>
    </row>
    <row r="1587" spans="1:4" x14ac:dyDescent="0.25">
      <c r="A1587" s="4" t="s">
        <v>2422</v>
      </c>
      <c r="B1587" s="4" t="s">
        <v>1497</v>
      </c>
      <c r="C1587" s="4" t="s">
        <v>1497</v>
      </c>
      <c r="D1587" s="4" t="s">
        <v>1497</v>
      </c>
    </row>
    <row r="1588" spans="1:4" x14ac:dyDescent="0.25">
      <c r="A1588" s="4" t="s">
        <v>2423</v>
      </c>
      <c r="B1588" s="4" t="s">
        <v>444</v>
      </c>
      <c r="C1588" s="4" t="s">
        <v>1497</v>
      </c>
      <c r="D1588" s="4" t="s">
        <v>444</v>
      </c>
    </row>
    <row r="1589" spans="1:4" x14ac:dyDescent="0.25">
      <c r="A1589" s="4" t="s">
        <v>2427</v>
      </c>
      <c r="B1589" s="4" t="s">
        <v>2492</v>
      </c>
      <c r="C1589" s="4" t="s">
        <v>2492</v>
      </c>
      <c r="D1589" s="4" t="s">
        <v>2492</v>
      </c>
    </row>
    <row r="1590" spans="1:4" x14ac:dyDescent="0.25">
      <c r="A1590" s="4" t="s">
        <v>2433</v>
      </c>
      <c r="B1590" s="4" t="s">
        <v>1497</v>
      </c>
      <c r="C1590" s="4" t="s">
        <v>1497</v>
      </c>
      <c r="D1590" s="4" t="s">
        <v>1497</v>
      </c>
    </row>
    <row r="1591" spans="1:4" x14ac:dyDescent="0.25">
      <c r="A1591" s="4" t="s">
        <v>2437</v>
      </c>
      <c r="B1591" s="4" t="s">
        <v>2493</v>
      </c>
      <c r="C1591" s="4" t="s">
        <v>2493</v>
      </c>
      <c r="D1591" s="4" t="s">
        <v>2493</v>
      </c>
    </row>
    <row r="1592" spans="1:4" x14ac:dyDescent="0.25">
      <c r="A1592" s="4" t="s">
        <v>2445</v>
      </c>
      <c r="B1592" s="4" t="s">
        <v>2492</v>
      </c>
      <c r="C1592" s="4" t="s">
        <v>1497</v>
      </c>
      <c r="D1592" s="4" t="s">
        <v>2492</v>
      </c>
    </row>
    <row r="1593" spans="1:4" x14ac:dyDescent="0.25">
      <c r="A1593" s="4" t="s">
        <v>2446</v>
      </c>
      <c r="B1593" s="4" t="s">
        <v>2493</v>
      </c>
      <c r="C1593" s="4" t="s">
        <v>2493</v>
      </c>
      <c r="D1593" s="4" t="s">
        <v>2493</v>
      </c>
    </row>
    <row r="1594" spans="1:4" x14ac:dyDescent="0.25">
      <c r="A1594" s="4" t="s">
        <v>2447</v>
      </c>
      <c r="B1594" s="4" t="s">
        <v>2498</v>
      </c>
      <c r="C1594" s="4" t="s">
        <v>2498</v>
      </c>
      <c r="D1594" s="4" t="s">
        <v>2498</v>
      </c>
    </row>
    <row r="1595" spans="1:4" x14ac:dyDescent="0.25">
      <c r="A1595" s="4" t="s">
        <v>2450</v>
      </c>
      <c r="B1595" s="4" t="s">
        <v>2498</v>
      </c>
      <c r="C1595" s="4" t="s">
        <v>2498</v>
      </c>
      <c r="D1595" s="4" t="s">
        <v>2498</v>
      </c>
    </row>
    <row r="1596" spans="1:4" x14ac:dyDescent="0.25">
      <c r="A1596" s="4" t="s">
        <v>2452</v>
      </c>
      <c r="B1596" s="4" t="s">
        <v>2492</v>
      </c>
      <c r="C1596" s="4" t="s">
        <v>1497</v>
      </c>
      <c r="D1596" s="4" t="s">
        <v>2492</v>
      </c>
    </row>
    <row r="1597" spans="1:4" x14ac:dyDescent="0.25">
      <c r="A1597" s="4" t="s">
        <v>2452</v>
      </c>
      <c r="B1597" s="4" t="s">
        <v>2492</v>
      </c>
      <c r="C1597" s="4" t="s">
        <v>2497</v>
      </c>
      <c r="D1597" s="4" t="s">
        <v>2492</v>
      </c>
    </row>
    <row r="1598" spans="1:4" x14ac:dyDescent="0.25">
      <c r="A1598" s="4" t="s">
        <v>2455</v>
      </c>
      <c r="B1598" s="4" t="s">
        <v>2514</v>
      </c>
      <c r="C1598" s="4" t="s">
        <v>2514</v>
      </c>
      <c r="D1598" s="4" t="s">
        <v>2514</v>
      </c>
    </row>
    <row r="1599" spans="1:4" x14ac:dyDescent="0.25">
      <c r="A1599" s="4" t="s">
        <v>2455</v>
      </c>
      <c r="B1599" s="4" t="s">
        <v>2517</v>
      </c>
      <c r="C1599" s="4" t="s">
        <v>2517</v>
      </c>
      <c r="D1599" s="4" t="s">
        <v>2517</v>
      </c>
    </row>
    <row r="1600" spans="1:4" x14ac:dyDescent="0.25">
      <c r="A1600" s="4" t="s">
        <v>2458</v>
      </c>
      <c r="B1600" s="4" t="s">
        <v>444</v>
      </c>
      <c r="C1600" s="4" t="s">
        <v>1497</v>
      </c>
      <c r="D1600" s="4" t="s">
        <v>444</v>
      </c>
    </row>
    <row r="1601" spans="1:4" x14ac:dyDescent="0.25">
      <c r="A1601" s="4" t="s">
        <v>2458</v>
      </c>
      <c r="B1601" s="4" t="s">
        <v>2492</v>
      </c>
      <c r="C1601" s="4" t="s">
        <v>2497</v>
      </c>
      <c r="D1601" s="4" t="s">
        <v>2492</v>
      </c>
    </row>
    <row r="1602" spans="1:4" x14ac:dyDescent="0.25">
      <c r="A1602" s="4" t="s">
        <v>2460</v>
      </c>
      <c r="B1602" s="4" t="s">
        <v>2492</v>
      </c>
      <c r="C1602" s="4" t="s">
        <v>1497</v>
      </c>
      <c r="D1602" s="4" t="s">
        <v>2492</v>
      </c>
    </row>
    <row r="1603" spans="1:4" x14ac:dyDescent="0.25">
      <c r="A1603" s="4" t="s">
        <v>2460</v>
      </c>
      <c r="B1603" s="4" t="s">
        <v>2492</v>
      </c>
      <c r="C1603" s="4" t="s">
        <v>2497</v>
      </c>
      <c r="D1603" s="4" t="s">
        <v>2492</v>
      </c>
    </row>
    <row r="1604" spans="1:4" x14ac:dyDescent="0.25">
      <c r="A1604" s="4" t="s">
        <v>2466</v>
      </c>
      <c r="B1604" s="4" t="s">
        <v>2493</v>
      </c>
      <c r="C1604" s="4" t="s">
        <v>2493</v>
      </c>
      <c r="D1604" s="4" t="s">
        <v>2493</v>
      </c>
    </row>
    <row r="1605" spans="1:4" x14ac:dyDescent="0.25">
      <c r="A1605" s="4" t="s">
        <v>2467</v>
      </c>
      <c r="B1605" s="4" t="s">
        <v>443</v>
      </c>
      <c r="C1605" s="4" t="s">
        <v>2492</v>
      </c>
      <c r="D1605" s="4" t="s">
        <v>443</v>
      </c>
    </row>
    <row r="1606" spans="1:4" x14ac:dyDescent="0.25">
      <c r="A1606" s="4" t="s">
        <v>2467</v>
      </c>
      <c r="B1606" s="4" t="s">
        <v>443</v>
      </c>
      <c r="C1606" s="4" t="s">
        <v>1497</v>
      </c>
      <c r="D1606" s="4" t="s">
        <v>443</v>
      </c>
    </row>
    <row r="1607" spans="1:4" x14ac:dyDescent="0.25">
      <c r="A1607" s="4" t="s">
        <v>2467</v>
      </c>
      <c r="B1607" s="4" t="s">
        <v>444</v>
      </c>
      <c r="C1607" s="4" t="s">
        <v>1497</v>
      </c>
      <c r="D1607" s="4" t="s">
        <v>444</v>
      </c>
    </row>
    <row r="1608" spans="1:4" x14ac:dyDescent="0.25">
      <c r="A1608" s="4" t="s">
        <v>2467</v>
      </c>
      <c r="B1608" s="4" t="s">
        <v>2492</v>
      </c>
      <c r="C1608" s="4" t="s">
        <v>1497</v>
      </c>
      <c r="D1608" s="4" t="s">
        <v>2492</v>
      </c>
    </row>
    <row r="1609" spans="1:4" x14ac:dyDescent="0.25">
      <c r="A1609" s="4" t="s">
        <v>2467</v>
      </c>
      <c r="B1609" s="4" t="s">
        <v>2492</v>
      </c>
      <c r="C1609" s="4" t="s">
        <v>2497</v>
      </c>
      <c r="D1609" s="4" t="s">
        <v>2492</v>
      </c>
    </row>
    <row r="1610" spans="1:4" x14ac:dyDescent="0.25">
      <c r="A1610" s="4" t="s">
        <v>2469</v>
      </c>
      <c r="B1610" s="4" t="s">
        <v>2492</v>
      </c>
      <c r="C1610" s="4" t="s">
        <v>1497</v>
      </c>
      <c r="D1610" s="4" t="s">
        <v>2492</v>
      </c>
    </row>
    <row r="1611" spans="1:4" x14ac:dyDescent="0.25">
      <c r="A1611" s="4" t="s">
        <v>2469</v>
      </c>
      <c r="B1611" s="4" t="s">
        <v>2492</v>
      </c>
      <c r="C1611" s="4" t="s">
        <v>2497</v>
      </c>
      <c r="D1611" s="4" t="s">
        <v>2492</v>
      </c>
    </row>
    <row r="1612" spans="1:4" x14ac:dyDescent="0.25">
      <c r="A1612" s="4" t="s">
        <v>2475</v>
      </c>
      <c r="B1612" s="4" t="s">
        <v>2492</v>
      </c>
      <c r="C1612" s="4" t="s">
        <v>2492</v>
      </c>
      <c r="D1612" s="4" t="s">
        <v>2492</v>
      </c>
    </row>
    <row r="1613" spans="1:4" x14ac:dyDescent="0.25">
      <c r="A1613" s="4" t="s">
        <v>2476</v>
      </c>
      <c r="B1613" s="4" t="s">
        <v>2492</v>
      </c>
      <c r="C1613" s="4" t="s">
        <v>2492</v>
      </c>
      <c r="D1613" s="4" t="s">
        <v>2492</v>
      </c>
    </row>
    <row r="1614" spans="1:4" x14ac:dyDescent="0.25">
      <c r="A1614" s="4" t="s">
        <v>2478</v>
      </c>
      <c r="B1614" s="4" t="s">
        <v>2517</v>
      </c>
      <c r="C1614" s="4" t="s">
        <v>2517</v>
      </c>
      <c r="D1614" s="4" t="s">
        <v>2517</v>
      </c>
    </row>
    <row r="1615" spans="1:4" x14ac:dyDescent="0.25">
      <c r="A1615" s="4" t="s">
        <v>2480</v>
      </c>
      <c r="B1615" s="4" t="s">
        <v>444</v>
      </c>
      <c r="C1615" s="4" t="s">
        <v>1497</v>
      </c>
      <c r="D1615" s="4" t="s">
        <v>444</v>
      </c>
    </row>
    <row r="1616" spans="1:4" x14ac:dyDescent="0.25">
      <c r="A1616" s="4" t="s">
        <v>2482</v>
      </c>
      <c r="B1616" s="4" t="s">
        <v>2492</v>
      </c>
      <c r="C1616" s="4" t="s">
        <v>2492</v>
      </c>
      <c r="D1616" s="4" t="s">
        <v>2492</v>
      </c>
    </row>
    <row r="1617" spans="1:4" x14ac:dyDescent="0.25">
      <c r="A1617" s="4" t="s">
        <v>2484</v>
      </c>
      <c r="B1617" s="4" t="s">
        <v>2492</v>
      </c>
      <c r="C1617" s="4" t="s">
        <v>2497</v>
      </c>
      <c r="D1617" s="4" t="s">
        <v>2492</v>
      </c>
    </row>
    <row r="1618" spans="1:4" x14ac:dyDescent="0.25">
      <c r="A1618" s="4" t="s">
        <v>2485</v>
      </c>
      <c r="B1618" s="4" t="s">
        <v>2492</v>
      </c>
      <c r="C1618" s="4" t="s">
        <v>2497</v>
      </c>
      <c r="D1618" s="4" t="s">
        <v>2492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Planilha3</vt:lpstr>
      <vt:lpstr>FORNECEDOR</vt:lpstr>
      <vt:lpstr>PEDIDOS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Devide</dc:creator>
  <cp:lastModifiedBy>Paulo Devide</cp:lastModifiedBy>
  <dcterms:created xsi:type="dcterms:W3CDTF">2016-08-11T17:59:09Z</dcterms:created>
  <dcterms:modified xsi:type="dcterms:W3CDTF">2016-08-11T19:51:49Z</dcterms:modified>
</cp:coreProperties>
</file>