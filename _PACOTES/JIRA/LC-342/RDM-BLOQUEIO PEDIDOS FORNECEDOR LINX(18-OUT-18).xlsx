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/>
  <bookViews>
    <workbookView xWindow="0" yWindow="0" windowWidth="19890" windowHeight="8505"/>
  </bookViews>
  <sheets>
    <sheet name="RDM" sheetId="1" r:id="rId1"/>
    <sheet name="Riscos" sheetId="2" r:id="rId2"/>
  </sheets>
  <externalReferences>
    <externalReference r:id="rId3"/>
  </externalReferences>
  <definedNames>
    <definedName name="Acao">[1]Param!$F$4:$F$8</definedName>
    <definedName name="Impacto">[1]Param!$D$4:$D$8</definedName>
    <definedName name="Probabilidade">[1]Param!$C$4:$C$8</definedName>
  </definedNames>
  <calcPr calcId="124519"/>
</workbook>
</file>

<file path=xl/calcChain.xml><?xml version="1.0" encoding="utf-8"?>
<calcChain xmlns="http://schemas.openxmlformats.org/spreadsheetml/2006/main">
  <c r="B2" i="2"/>
  <c r="B3"/>
</calcChain>
</file>

<file path=xl/sharedStrings.xml><?xml version="1.0" encoding="utf-8"?>
<sst xmlns="http://schemas.openxmlformats.org/spreadsheetml/2006/main" count="76" uniqueCount="58">
  <si>
    <t>REQUISIÇÃO DE MUDANÇA</t>
  </si>
  <si>
    <t xml:space="preserve">OBJETIVO DETALHADO DA MUDANÇA </t>
  </si>
  <si>
    <t>DADOS DA MUDANÇA</t>
  </si>
  <si>
    <t>ID Service Desk</t>
  </si>
  <si>
    <t>Tipo de Mudança</t>
  </si>
  <si>
    <t>Normal</t>
  </si>
  <si>
    <t>IC/Sistema/Serviço</t>
  </si>
  <si>
    <t>LINX</t>
  </si>
  <si>
    <t>Data de implantação</t>
  </si>
  <si>
    <t>Descrição da Mudança</t>
  </si>
  <si>
    <t>Copiar objetos do Linx para Servidor da Aplicação e Atualizar Transação</t>
  </si>
  <si>
    <t>TESTES EXECUTADOS</t>
  </si>
  <si>
    <t>Todos testes necessários foram executados?</t>
  </si>
  <si>
    <t>Sim</t>
  </si>
  <si>
    <t>Todos os cenários possíveis foram considerados?</t>
  </si>
  <si>
    <t>Todas as especificações foram avaliadas e testadas?</t>
  </si>
  <si>
    <t>O Cliente validou todas as solicitações realizadas?</t>
  </si>
  <si>
    <t>PLANO DA MUDANÇA - DETALHADO</t>
  </si>
  <si>
    <t>Passo</t>
  </si>
  <si>
    <t>Etapa</t>
  </si>
  <si>
    <t>Descrição atividade</t>
  </si>
  <si>
    <t xml:space="preserve">Nome Responsável </t>
  </si>
  <si>
    <t>Data</t>
  </si>
  <si>
    <t>Fone e e-mail</t>
  </si>
  <si>
    <t>Início</t>
  </si>
  <si>
    <t>Término</t>
  </si>
  <si>
    <t>2-Procedimentos</t>
  </si>
  <si>
    <t>Paulo Devide</t>
  </si>
  <si>
    <t>paulo.devide@caedu.com.br</t>
  </si>
  <si>
    <t>3-Validação</t>
  </si>
  <si>
    <t>PLANO DE VOLTA</t>
  </si>
  <si>
    <t>Nome Responsável</t>
  </si>
  <si>
    <t>Tempo do Plano</t>
  </si>
  <si>
    <t>ESCALADAS - EM CASO DE FALHAS E NECESSIDADES (por telefone)</t>
  </si>
  <si>
    <t>Quem escalar</t>
  </si>
  <si>
    <t>Contato</t>
  </si>
  <si>
    <t>Motivo</t>
  </si>
  <si>
    <t>3738-2613</t>
  </si>
  <si>
    <t>Cód.</t>
  </si>
  <si>
    <t>Severidade</t>
  </si>
  <si>
    <t>Descrição do risco</t>
  </si>
  <si>
    <t>Probabi-lidade</t>
  </si>
  <si>
    <t>Impacto</t>
  </si>
  <si>
    <t>Causa</t>
  </si>
  <si>
    <t>Potencial Impacto</t>
  </si>
  <si>
    <t>Ação</t>
  </si>
  <si>
    <t>Descrição da ação</t>
  </si>
  <si>
    <t>Responsável Risco</t>
  </si>
  <si>
    <t>Comentários</t>
  </si>
  <si>
    <t>Atualização do Pedido de Compras (bloqueio de fornecedor)</t>
  </si>
  <si>
    <t xml:space="preserve">Copiar objetos lx999412.scx, lx999412.sct, lx004006GP3.SCX, lx004006GP3.SCT e OBJ_004006GP3.PRG para servidor da aplicação
</t>
  </si>
  <si>
    <t>Atualizar Tabela de Transações alterando CONTROL_SISTEMA de 004006GP2 para 004006GP3;
Criar transação para tela lx999412</t>
  </si>
  <si>
    <r>
      <rPr>
        <b/>
        <sz val="10"/>
        <color rgb="FF000000"/>
        <rFont val="Calibri"/>
        <family val="2"/>
      </rPr>
      <t xml:space="preserve">Executar script SQL abaixo:
</t>
    </r>
    <r>
      <rPr>
        <sz val="10"/>
        <color rgb="FF000000"/>
        <rFont val="Calibri"/>
        <family val="2"/>
      </rPr>
      <t xml:space="preserve">
ALTER TABLE FORNECEDORES 
 ADD ERP_BLOQUEIO_AUDITORIA BIT NULL CONSTRAINT DF_FORNECEDORES_ERP_BLOQUEIO_AUDITORIA DEFAULT(0);
GO
UPDATE FORNECEDORES SET ERP_BLOQUEIO_AUDITORIA=0 WHERE 1=1
GO</t>
    </r>
  </si>
  <si>
    <t>Felipe Lima</t>
  </si>
  <si>
    <t>Validar com Auditoria</t>
  </si>
  <si>
    <t>Voltar para transação para 004006GP2 (anterior)</t>
  </si>
  <si>
    <t xml:space="preserve">Inativar a transação para 999412 </t>
  </si>
  <si>
    <t>felipe.lima@caedu.com.br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</si>
</sst>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9" tint="0.3999450666829432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6" fillId="0" borderId="0" xfId="0" applyFont="1" applyBorder="1" applyAlignment="1">
      <alignment horizontal="center" vertical="center"/>
    </xf>
    <xf numFmtId="16" fontId="6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4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6" fontId="9" fillId="0" borderId="21" xfId="0" applyNumberFormat="1" applyFon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9" fillId="0" borderId="2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4" fillId="0" borderId="32" xfId="0" applyFont="1" applyBorder="1"/>
    <xf numFmtId="0" fontId="4" fillId="0" borderId="34" xfId="0" applyFont="1" applyBorder="1" applyAlignment="1">
      <alignment horizontal="center"/>
    </xf>
    <xf numFmtId="0" fontId="0" fillId="0" borderId="24" xfId="0" applyBorder="1"/>
    <xf numFmtId="0" fontId="0" fillId="0" borderId="1" xfId="0" applyBorder="1" applyAlignment="1">
      <alignment horizontal="center"/>
    </xf>
    <xf numFmtId="0" fontId="0" fillId="0" borderId="13" xfId="0" applyBorder="1"/>
    <xf numFmtId="0" fontId="0" fillId="0" borderId="16" xfId="0" applyBorder="1" applyAlignment="1">
      <alignment horizontal="center"/>
    </xf>
    <xf numFmtId="20" fontId="9" fillId="0" borderId="21" xfId="0" applyNumberFormat="1" applyFont="1" applyBorder="1" applyAlignment="1">
      <alignment horizontal="center" vertical="center"/>
    </xf>
    <xf numFmtId="20" fontId="9" fillId="0" borderId="38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0" borderId="5" xfId="1" applyFont="1" applyBorder="1" applyAlignment="1">
      <alignment horizontal="center" wrapText="1"/>
    </xf>
    <xf numFmtId="0" fontId="7" fillId="0" borderId="36" xfId="1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4" fontId="6" fillId="0" borderId="14" xfId="0" applyNumberFormat="1" applyFont="1" applyBorder="1" applyAlignment="1">
      <alignment horizontal="center" wrapText="1"/>
    </xf>
    <xf numFmtId="14" fontId="6" fillId="0" borderId="16" xfId="0" applyNumberFormat="1" applyFont="1" applyBorder="1" applyAlignment="1">
      <alignment horizontal="center" wrapText="1"/>
    </xf>
    <xf numFmtId="14" fontId="6" fillId="0" borderId="15" xfId="0" applyNumberFormat="1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" fontId="6" fillId="0" borderId="2" xfId="0" applyNumberFormat="1" applyFont="1" applyBorder="1" applyAlignment="1">
      <alignment horizontal="center" vertical="center" wrapText="1"/>
    </xf>
    <xf numFmtId="16" fontId="6" fillId="0" borderId="3" xfId="0" applyNumberFormat="1" applyFont="1" applyBorder="1" applyAlignment="1">
      <alignment horizontal="center" vertical="center" wrapText="1"/>
    </xf>
    <xf numFmtId="16" fontId="6" fillId="0" borderId="9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8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20" fontId="9" fillId="0" borderId="21" xfId="0" applyNumberFormat="1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20" fontId="9" fillId="0" borderId="29" xfId="0" applyNumberFormat="1" applyFont="1" applyBorder="1" applyAlignment="1">
      <alignment horizontal="center" vertical="center" wrapText="1"/>
    </xf>
    <xf numFmtId="20" fontId="9" fillId="0" borderId="35" xfId="0" applyNumberFormat="1" applyFont="1" applyBorder="1" applyAlignment="1">
      <alignment horizontal="center" vertical="center" wrapText="1"/>
    </xf>
    <xf numFmtId="20" fontId="9" fillId="0" borderId="40" xfId="0" applyNumberFormat="1" applyFont="1" applyBorder="1" applyAlignment="1">
      <alignment horizontal="center" vertical="center" wrapText="1"/>
    </xf>
    <xf numFmtId="20" fontId="9" fillId="0" borderId="31" xfId="0" applyNumberFormat="1" applyFont="1" applyBorder="1" applyAlignment="1">
      <alignment horizontal="center" vertical="center" wrapText="1"/>
    </xf>
    <xf numFmtId="20" fontId="9" fillId="0" borderId="10" xfId="0" applyNumberFormat="1" applyFont="1" applyBorder="1" applyAlignment="1">
      <alignment horizontal="center" vertical="center" wrapText="1"/>
    </xf>
    <xf numFmtId="20" fontId="9" fillId="0" borderId="12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9" fillId="0" borderId="22" xfId="0" applyFont="1" applyBorder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6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4</xdr:row>
      <xdr:rowOff>57150</xdr:rowOff>
    </xdr:from>
    <xdr:to>
      <xdr:col>2</xdr:col>
      <xdr:colOff>781050</xdr:colOff>
      <xdr:row>4</xdr:row>
      <xdr:rowOff>923925</xdr:rowOff>
    </xdr:to>
    <xdr:pic>
      <xdr:nvPicPr>
        <xdr:cNvPr id="1025" name="Picture 2"/>
        <xdr:cNvPicPr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5" y="914400"/>
          <a:ext cx="9334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ppalma.sharepoint.com\Arquivos%20Renata\TI%20-%20Sistemas%20Financeiros\Projetos\PRIN\2-Planejamento\PlanoDeGerenciamentoDeRiscos_201402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scos"/>
      <sheetName val="Grafico"/>
      <sheetName val="Param"/>
      <sheetName val="Riscos Bases Conductor"/>
      <sheetName val="Statu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ulo.devide@caedu.com.br" TargetMode="External"/><Relationship Id="rId2" Type="http://schemas.openxmlformats.org/officeDocument/2006/relationships/hyperlink" Target="mailto:paulo.devide@caedu.com.br" TargetMode="External"/><Relationship Id="rId1" Type="http://schemas.openxmlformats.org/officeDocument/2006/relationships/hyperlink" Target="mailto:paulo.devide@caedu.com.br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felipe.lima@caedu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40"/>
  <sheetViews>
    <sheetView showGridLines="0" tabSelected="1" zoomScale="90" zoomScaleSheetLayoutView="100" workbookViewId="0">
      <selection activeCell="C26" sqref="C26"/>
    </sheetView>
  </sheetViews>
  <sheetFormatPr defaultColWidth="9" defaultRowHeight="15"/>
  <cols>
    <col min="1" max="1" width="2" customWidth="1"/>
    <col min="2" max="2" width="5.28515625" customWidth="1"/>
    <col min="3" max="3" width="16.5703125" style="14" customWidth="1"/>
    <col min="4" max="4" width="5.28515625" customWidth="1"/>
    <col min="5" max="5" width="47.7109375" customWidth="1"/>
    <col min="6" max="6" width="25.42578125" style="14" customWidth="1"/>
    <col min="7" max="7" width="14.28515625" style="14" customWidth="1"/>
    <col min="8" max="8" width="39.7109375" style="14" customWidth="1"/>
    <col min="9" max="9" width="23.140625" style="14" customWidth="1"/>
    <col min="10" max="10" width="21.28515625" style="14" customWidth="1"/>
    <col min="11" max="11" width="7.5703125" customWidth="1"/>
  </cols>
  <sheetData>
    <row r="1" spans="2:10" ht="9.75" customHeight="1"/>
    <row r="2" spans="2:10" ht="37.5" customHeight="1">
      <c r="B2" s="46" t="s">
        <v>0</v>
      </c>
      <c r="C2" s="47"/>
      <c r="D2" s="47"/>
      <c r="E2" s="47"/>
      <c r="F2" s="47"/>
      <c r="G2" s="47"/>
      <c r="H2" s="47"/>
      <c r="I2" s="47"/>
      <c r="J2" s="48"/>
    </row>
    <row r="3" spans="2:10" ht="5.25" customHeight="1">
      <c r="B3" s="49"/>
      <c r="C3" s="49"/>
      <c r="D3" s="49"/>
      <c r="E3" s="49"/>
      <c r="F3" s="49"/>
      <c r="G3" s="49"/>
      <c r="H3" s="49"/>
      <c r="I3" s="49"/>
      <c r="J3" s="49"/>
    </row>
    <row r="4" spans="2:10">
      <c r="B4" s="50" t="s">
        <v>1</v>
      </c>
      <c r="C4" s="51"/>
      <c r="D4" s="51"/>
      <c r="E4" s="51"/>
      <c r="F4" s="51"/>
      <c r="G4" s="51"/>
      <c r="H4" s="51"/>
      <c r="I4" s="51"/>
      <c r="J4" s="52"/>
    </row>
    <row r="5" spans="2:10" ht="84" customHeight="1">
      <c r="B5" s="53" t="s">
        <v>49</v>
      </c>
      <c r="C5" s="54"/>
      <c r="D5" s="55"/>
      <c r="E5" s="55"/>
      <c r="F5" s="55"/>
      <c r="G5" s="55"/>
      <c r="H5" s="55"/>
      <c r="I5" s="55"/>
      <c r="J5" s="56"/>
    </row>
    <row r="6" spans="2:10" ht="5.25" customHeight="1">
      <c r="B6" s="57"/>
      <c r="C6" s="57"/>
      <c r="D6" s="57"/>
      <c r="E6" s="57"/>
      <c r="F6" s="57"/>
      <c r="G6" s="57"/>
      <c r="H6" s="57"/>
      <c r="I6" s="57"/>
      <c r="J6" s="57"/>
    </row>
    <row r="7" spans="2:10">
      <c r="B7" s="58" t="s">
        <v>2</v>
      </c>
      <c r="C7" s="59"/>
      <c r="D7" s="60"/>
      <c r="E7" s="60"/>
      <c r="F7" s="60"/>
      <c r="G7" s="60"/>
      <c r="H7" s="60"/>
      <c r="I7" s="60"/>
      <c r="J7" s="61"/>
    </row>
    <row r="8" spans="2:10">
      <c r="B8" s="62" t="s">
        <v>3</v>
      </c>
      <c r="C8" s="63"/>
      <c r="D8" s="64"/>
      <c r="E8" s="65"/>
      <c r="F8" s="65"/>
      <c r="G8" s="65"/>
      <c r="H8" s="65"/>
      <c r="I8" s="65"/>
      <c r="J8" s="66"/>
    </row>
    <row r="9" spans="2:10">
      <c r="B9" s="67" t="s">
        <v>4</v>
      </c>
      <c r="C9" s="68"/>
      <c r="D9" s="69"/>
      <c r="E9" s="70" t="s">
        <v>5</v>
      </c>
      <c r="F9" s="70"/>
      <c r="G9" s="70"/>
      <c r="H9" s="70"/>
      <c r="I9" s="70"/>
      <c r="J9" s="71"/>
    </row>
    <row r="10" spans="2:10">
      <c r="B10" s="72" t="s">
        <v>6</v>
      </c>
      <c r="C10" s="73"/>
      <c r="D10" s="74"/>
      <c r="E10" s="70" t="s">
        <v>7</v>
      </c>
      <c r="F10" s="70"/>
      <c r="G10" s="70"/>
      <c r="H10" s="70"/>
      <c r="I10" s="70"/>
      <c r="J10" s="71"/>
    </row>
    <row r="11" spans="2:10" ht="15.75" customHeight="1">
      <c r="B11" s="75" t="s">
        <v>8</v>
      </c>
      <c r="C11" s="76"/>
      <c r="D11" s="77"/>
      <c r="E11" s="78">
        <v>43391</v>
      </c>
      <c r="F11" s="79"/>
      <c r="G11" s="79"/>
      <c r="H11" s="79"/>
      <c r="I11" s="79"/>
      <c r="J11" s="80"/>
    </row>
    <row r="12" spans="2:10" ht="15.75" customHeight="1">
      <c r="B12" s="81" t="s">
        <v>9</v>
      </c>
      <c r="C12" s="82"/>
      <c r="D12" s="83"/>
      <c r="E12" s="84" t="s">
        <v>10</v>
      </c>
      <c r="F12" s="85"/>
      <c r="G12" s="85"/>
      <c r="H12" s="85"/>
      <c r="I12" s="85"/>
      <c r="J12" s="86"/>
    </row>
    <row r="13" spans="2:10" ht="19.5" customHeight="1">
      <c r="B13" s="17"/>
      <c r="C13" s="17"/>
      <c r="D13" s="17"/>
      <c r="E13" s="18"/>
      <c r="F13" s="18"/>
      <c r="G13" s="18"/>
      <c r="H13" s="18"/>
      <c r="I13" s="18"/>
      <c r="J13" s="18"/>
    </row>
    <row r="14" spans="2:10" ht="5.25" customHeight="1">
      <c r="B14" s="19"/>
      <c r="C14" s="19"/>
      <c r="D14" s="19"/>
      <c r="E14" s="20"/>
      <c r="F14" s="20"/>
      <c r="G14" s="20"/>
      <c r="H14" s="20"/>
      <c r="I14" s="20"/>
      <c r="J14" s="20"/>
    </row>
    <row r="15" spans="2:10" ht="15" customHeight="1">
      <c r="B15" s="50" t="s">
        <v>11</v>
      </c>
      <c r="C15" s="51"/>
      <c r="D15" s="51"/>
      <c r="E15" s="51"/>
      <c r="F15" s="51"/>
      <c r="G15" s="51"/>
      <c r="H15" s="51"/>
      <c r="I15" s="51"/>
      <c r="J15" s="52"/>
    </row>
    <row r="16" spans="2:10" ht="15" customHeight="1">
      <c r="B16" s="87" t="s">
        <v>12</v>
      </c>
      <c r="C16" s="88"/>
      <c r="D16" s="88"/>
      <c r="E16" s="88"/>
      <c r="F16" s="89"/>
      <c r="G16" s="90" t="s">
        <v>13</v>
      </c>
      <c r="H16" s="91"/>
      <c r="I16" s="91"/>
      <c r="J16" s="92"/>
    </row>
    <row r="17" spans="2:11" ht="15" customHeight="1">
      <c r="B17" s="87" t="s">
        <v>14</v>
      </c>
      <c r="C17" s="88"/>
      <c r="D17" s="88"/>
      <c r="E17" s="88"/>
      <c r="F17" s="89"/>
      <c r="G17" s="90" t="s">
        <v>13</v>
      </c>
      <c r="H17" s="91"/>
      <c r="I17" s="91"/>
      <c r="J17" s="92"/>
    </row>
    <row r="18" spans="2:11" ht="15" customHeight="1">
      <c r="B18" s="87" t="s">
        <v>15</v>
      </c>
      <c r="C18" s="88"/>
      <c r="D18" s="88"/>
      <c r="E18" s="88"/>
      <c r="F18" s="89"/>
      <c r="G18" s="90" t="s">
        <v>13</v>
      </c>
      <c r="H18" s="91"/>
      <c r="I18" s="91"/>
      <c r="J18" s="92"/>
    </row>
    <row r="19" spans="2:11" ht="15.75" customHeight="1">
      <c r="B19" s="87" t="s">
        <v>16</v>
      </c>
      <c r="C19" s="88"/>
      <c r="D19" s="88"/>
      <c r="E19" s="88"/>
      <c r="F19" s="89"/>
      <c r="G19" s="90" t="s">
        <v>13</v>
      </c>
      <c r="H19" s="91"/>
      <c r="I19" s="91"/>
      <c r="J19" s="92"/>
    </row>
    <row r="20" spans="2:11">
      <c r="B20" s="93"/>
      <c r="C20" s="93"/>
      <c r="D20" s="93"/>
      <c r="E20" s="93"/>
      <c r="F20" s="93"/>
      <c r="G20" s="93"/>
      <c r="H20" s="93"/>
      <c r="I20" s="93"/>
      <c r="J20" s="93"/>
    </row>
    <row r="21" spans="2:11">
      <c r="B21" s="58" t="s">
        <v>17</v>
      </c>
      <c r="C21" s="59"/>
      <c r="D21" s="60"/>
      <c r="E21" s="60"/>
      <c r="F21" s="60"/>
      <c r="G21" s="60"/>
      <c r="H21" s="60"/>
      <c r="I21" s="60"/>
      <c r="J21" s="61"/>
    </row>
    <row r="22" spans="2:11">
      <c r="B22" s="21" t="s">
        <v>18</v>
      </c>
      <c r="C22" s="21" t="s">
        <v>19</v>
      </c>
      <c r="D22" s="94" t="s">
        <v>20</v>
      </c>
      <c r="E22" s="95"/>
      <c r="F22" s="22" t="s">
        <v>21</v>
      </c>
      <c r="G22" s="22" t="s">
        <v>22</v>
      </c>
      <c r="H22" s="22" t="s">
        <v>23</v>
      </c>
      <c r="I22" s="22" t="s">
        <v>24</v>
      </c>
      <c r="J22" s="22" t="s">
        <v>25</v>
      </c>
    </row>
    <row r="23" spans="2:11" ht="42.95" customHeight="1">
      <c r="B23" s="23">
        <v>1</v>
      </c>
      <c r="C23" s="24" t="s">
        <v>26</v>
      </c>
      <c r="D23" s="128" t="s">
        <v>50</v>
      </c>
      <c r="E23" s="129"/>
      <c r="F23" s="25" t="s">
        <v>27</v>
      </c>
      <c r="G23" s="26">
        <v>43391</v>
      </c>
      <c r="H23" s="27" t="s">
        <v>28</v>
      </c>
      <c r="I23" s="43">
        <v>0.45833333333333331</v>
      </c>
      <c r="J23" s="44">
        <v>0.46527777777777773</v>
      </c>
      <c r="K23" s="45"/>
    </row>
    <row r="24" spans="2:11" ht="45.75" customHeight="1" thickBot="1">
      <c r="B24" s="23">
        <v>2</v>
      </c>
      <c r="C24" s="24" t="s">
        <v>26</v>
      </c>
      <c r="D24" s="130" t="s">
        <v>51</v>
      </c>
      <c r="E24" s="131"/>
      <c r="F24" s="25" t="s">
        <v>27</v>
      </c>
      <c r="G24" s="26">
        <v>43391</v>
      </c>
      <c r="H24" s="27" t="s">
        <v>28</v>
      </c>
      <c r="I24" s="43">
        <v>0.46527777777777773</v>
      </c>
      <c r="J24" s="44">
        <v>0.47222222222222227</v>
      </c>
      <c r="K24" s="45"/>
    </row>
    <row r="25" spans="2:11" ht="132.75" customHeight="1" thickBot="1">
      <c r="B25" s="23">
        <v>3</v>
      </c>
      <c r="C25" s="24" t="s">
        <v>26</v>
      </c>
      <c r="D25" s="130" t="s">
        <v>52</v>
      </c>
      <c r="E25" s="131"/>
      <c r="F25" s="25" t="s">
        <v>53</v>
      </c>
      <c r="G25" s="26">
        <v>43391</v>
      </c>
      <c r="H25" s="27" t="s">
        <v>57</v>
      </c>
      <c r="I25" s="43">
        <v>0.47222222222222227</v>
      </c>
      <c r="J25" s="44">
        <v>0.47916666666666669</v>
      </c>
      <c r="K25" s="45"/>
    </row>
    <row r="26" spans="2:11" ht="36.75" customHeight="1">
      <c r="B26" s="28">
        <v>4</v>
      </c>
      <c r="C26" s="29" t="s">
        <v>29</v>
      </c>
      <c r="D26" s="132" t="s">
        <v>54</v>
      </c>
      <c r="E26" s="132"/>
      <c r="F26" s="25" t="s">
        <v>27</v>
      </c>
      <c r="G26" s="26">
        <v>43391</v>
      </c>
      <c r="H26" s="27" t="s">
        <v>28</v>
      </c>
      <c r="I26" s="44">
        <v>0.625</v>
      </c>
      <c r="J26" s="44">
        <v>0.66666666666666663</v>
      </c>
    </row>
    <row r="27" spans="2:11" s="14" customFormat="1" ht="15" customHeight="1">
      <c r="B27" s="97"/>
      <c r="C27" s="97"/>
      <c r="D27" s="97"/>
      <c r="E27" s="97"/>
      <c r="F27" s="97"/>
      <c r="G27" s="97"/>
      <c r="H27" s="97"/>
      <c r="I27" s="97"/>
      <c r="J27" s="97"/>
    </row>
    <row r="28" spans="2:11" s="14" customFormat="1">
      <c r="B28" s="50" t="s">
        <v>30</v>
      </c>
      <c r="C28" s="51"/>
      <c r="D28" s="51"/>
      <c r="E28" s="51"/>
      <c r="F28" s="51"/>
      <c r="G28" s="51"/>
      <c r="H28" s="51"/>
      <c r="I28" s="51"/>
      <c r="J28" s="52"/>
    </row>
    <row r="29" spans="2:11" s="14" customFormat="1">
      <c r="B29" s="30" t="s">
        <v>19</v>
      </c>
      <c r="C29" s="30"/>
      <c r="D29" s="98" t="s">
        <v>20</v>
      </c>
      <c r="E29" s="99"/>
      <c r="F29" s="22" t="s">
        <v>31</v>
      </c>
      <c r="G29" s="22" t="s">
        <v>23</v>
      </c>
      <c r="H29" s="100" t="s">
        <v>32</v>
      </c>
      <c r="I29" s="101"/>
      <c r="J29" s="102"/>
    </row>
    <row r="30" spans="2:11" s="14" customFormat="1" ht="15.75" thickBot="1">
      <c r="B30" s="23">
        <v>1</v>
      </c>
      <c r="C30" s="24" t="s">
        <v>26</v>
      </c>
      <c r="D30" s="103" t="s">
        <v>55</v>
      </c>
      <c r="E30" s="103"/>
      <c r="F30" s="25" t="s">
        <v>27</v>
      </c>
      <c r="G30" s="31"/>
      <c r="H30" s="104">
        <v>3.4722222222222199E-3</v>
      </c>
      <c r="I30" s="103"/>
      <c r="J30" s="105"/>
    </row>
    <row r="31" spans="2:11" s="15" customFormat="1" ht="15.75" thickBot="1">
      <c r="B31" s="23">
        <v>2</v>
      </c>
      <c r="C31" s="24" t="s">
        <v>26</v>
      </c>
      <c r="D31" s="103" t="s">
        <v>56</v>
      </c>
      <c r="E31" s="103"/>
      <c r="F31" s="25" t="s">
        <v>27</v>
      </c>
      <c r="G31" s="31"/>
      <c r="H31" s="104">
        <v>3.4722222222222199E-3</v>
      </c>
      <c r="I31" s="103"/>
      <c r="J31" s="105"/>
    </row>
    <row r="32" spans="2:11" s="15" customFormat="1" ht="15.75" thickBot="1">
      <c r="B32" s="32"/>
      <c r="C32" s="33"/>
      <c r="D32" s="106"/>
      <c r="E32" s="107"/>
      <c r="F32" s="25"/>
      <c r="G32" s="31"/>
      <c r="H32" s="108"/>
      <c r="I32" s="109"/>
      <c r="J32" s="110"/>
    </row>
    <row r="33" spans="2:10" s="15" customFormat="1">
      <c r="B33" s="34"/>
      <c r="C33" s="35"/>
      <c r="D33" s="96"/>
      <c r="E33" s="96"/>
      <c r="F33" s="25"/>
      <c r="G33" s="36"/>
      <c r="H33" s="111"/>
      <c r="I33" s="112"/>
      <c r="J33" s="113"/>
    </row>
    <row r="34" spans="2:10" ht="16.5" customHeight="1"/>
    <row r="35" spans="2:10" ht="16.5" customHeight="1">
      <c r="B35" s="114" t="s">
        <v>33</v>
      </c>
      <c r="C35" s="115"/>
      <c r="D35" s="115"/>
      <c r="E35" s="115"/>
      <c r="F35" s="115"/>
      <c r="G35" s="115"/>
      <c r="H35" s="115"/>
      <c r="I35" s="115"/>
      <c r="J35" s="116"/>
    </row>
    <row r="36" spans="2:10" s="16" customFormat="1" ht="12.75">
      <c r="B36" s="37" t="s">
        <v>19</v>
      </c>
      <c r="C36" s="117" t="s">
        <v>34</v>
      </c>
      <c r="D36" s="118"/>
      <c r="E36" s="119"/>
      <c r="F36" s="38" t="s">
        <v>35</v>
      </c>
      <c r="G36" s="117" t="s">
        <v>36</v>
      </c>
      <c r="H36" s="118"/>
      <c r="I36" s="118"/>
      <c r="J36" s="120"/>
    </row>
    <row r="37" spans="2:10">
      <c r="B37" s="39">
        <v>1</v>
      </c>
      <c r="C37" s="121" t="s">
        <v>27</v>
      </c>
      <c r="D37" s="122"/>
      <c r="E37" s="123"/>
      <c r="F37" s="40" t="s">
        <v>37</v>
      </c>
      <c r="G37" s="121"/>
      <c r="H37" s="122"/>
      <c r="I37" s="122"/>
      <c r="J37" s="124"/>
    </row>
    <row r="38" spans="2:10">
      <c r="B38" s="39"/>
      <c r="C38" s="121"/>
      <c r="D38" s="122"/>
      <c r="E38" s="123"/>
      <c r="F38" s="40"/>
      <c r="G38" s="121"/>
      <c r="H38" s="122"/>
      <c r="I38" s="122"/>
      <c r="J38" s="124"/>
    </row>
    <row r="39" spans="2:10">
      <c r="B39" s="39"/>
      <c r="C39" s="121"/>
      <c r="D39" s="122"/>
      <c r="E39" s="123"/>
      <c r="F39" s="40"/>
      <c r="G39" s="121"/>
      <c r="H39" s="122"/>
      <c r="I39" s="122"/>
      <c r="J39" s="124"/>
    </row>
    <row r="40" spans="2:10">
      <c r="B40" s="41"/>
      <c r="C40" s="125"/>
      <c r="D40" s="97"/>
      <c r="E40" s="126"/>
      <c r="F40" s="42"/>
      <c r="G40" s="125"/>
      <c r="H40" s="97"/>
      <c r="I40" s="97"/>
      <c r="J40" s="127"/>
    </row>
  </sheetData>
  <mergeCells count="55">
    <mergeCell ref="C39:E39"/>
    <mergeCell ref="G39:J39"/>
    <mergeCell ref="C40:E40"/>
    <mergeCell ref="G40:J40"/>
    <mergeCell ref="D25:E25"/>
    <mergeCell ref="B35:J35"/>
    <mergeCell ref="C36:E36"/>
    <mergeCell ref="G36:J36"/>
    <mergeCell ref="C37:E37"/>
    <mergeCell ref="G37:J37"/>
    <mergeCell ref="C38:E38"/>
    <mergeCell ref="G38:J38"/>
    <mergeCell ref="D31:E31"/>
    <mergeCell ref="H31:J31"/>
    <mergeCell ref="D32:E32"/>
    <mergeCell ref="H32:J32"/>
    <mergeCell ref="D33:E33"/>
    <mergeCell ref="H33:J33"/>
    <mergeCell ref="B27:J27"/>
    <mergeCell ref="B28:J28"/>
    <mergeCell ref="D29:E29"/>
    <mergeCell ref="H29:J29"/>
    <mergeCell ref="D30:E30"/>
    <mergeCell ref="H30:J30"/>
    <mergeCell ref="B20:J20"/>
    <mergeCell ref="B21:J21"/>
    <mergeCell ref="D22:E22"/>
    <mergeCell ref="D23:E23"/>
    <mergeCell ref="D24:E24"/>
    <mergeCell ref="D26:E26"/>
    <mergeCell ref="B17:F17"/>
    <mergeCell ref="G17:J17"/>
    <mergeCell ref="B18:F18"/>
    <mergeCell ref="G18:J18"/>
    <mergeCell ref="B19:F19"/>
    <mergeCell ref="G19:J19"/>
    <mergeCell ref="B11:D11"/>
    <mergeCell ref="E11:J11"/>
    <mergeCell ref="B12:D12"/>
    <mergeCell ref="E12:J12"/>
    <mergeCell ref="B15:J15"/>
    <mergeCell ref="B16:F16"/>
    <mergeCell ref="G16:J16"/>
    <mergeCell ref="B8:D8"/>
    <mergeCell ref="E8:J8"/>
    <mergeCell ref="B9:D9"/>
    <mergeCell ref="E9:J9"/>
    <mergeCell ref="B10:D10"/>
    <mergeCell ref="E10:J10"/>
    <mergeCell ref="B2:J2"/>
    <mergeCell ref="B3:J3"/>
    <mergeCell ref="B4:J4"/>
    <mergeCell ref="B5:J5"/>
    <mergeCell ref="B6:J6"/>
    <mergeCell ref="B7:J7"/>
  </mergeCells>
  <dataValidations count="2">
    <dataValidation type="list" allowBlank="1" showInputMessage="1" showErrorMessage="1" sqref="E9:J9">
      <formula1>"Emergencial corretiva,Emergencial demanda,Normal"</formula1>
    </dataValidation>
    <dataValidation type="list" allowBlank="1" showInputMessage="1" showErrorMessage="1" sqref="C23:C26 C30:C33">
      <formula1>"1-Pré-Requisitos,2-Procedimentos,3-Validação,4-Divulgação"</formula1>
    </dataValidation>
  </dataValidations>
  <hyperlinks>
    <hyperlink ref="H23" r:id="rId1" tooltip="mailto:paulo.devide@caedu.com.br"/>
    <hyperlink ref="H24" r:id="rId2" tooltip="mailto:paulo.devide@caedu.com.br"/>
    <hyperlink ref="H26" r:id="rId3" tooltip="mailto:paulo.devide@caedu.com.br"/>
    <hyperlink ref="H25" r:id="rId4"/>
  </hyperlinks>
  <pageMargins left="0.25" right="0.25" top="0.75" bottom="0.75" header="0.3" footer="0.3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zoomScaleSheetLayoutView="100" workbookViewId="0">
      <selection activeCell="C2" sqref="C2:J2"/>
    </sheetView>
  </sheetViews>
  <sheetFormatPr defaultRowHeight="12.75"/>
  <cols>
    <col min="1" max="1" width="6.140625" style="3" customWidth="1"/>
    <col min="2" max="2" width="10.28515625" style="4" customWidth="1"/>
    <col min="3" max="3" width="29.5703125" style="3" customWidth="1"/>
    <col min="4" max="4" width="7.85546875" style="4" customWidth="1"/>
    <col min="5" max="5" width="11.85546875" style="4" customWidth="1"/>
    <col min="6" max="7" width="25.42578125" style="3" customWidth="1"/>
    <col min="8" max="8" width="9.140625" style="4" customWidth="1"/>
    <col min="9" max="9" width="23.5703125" style="4" customWidth="1"/>
    <col min="10" max="10" width="15.140625" style="3" customWidth="1"/>
    <col min="11" max="11" width="19.42578125" style="3" customWidth="1"/>
    <col min="12" max="15" width="9.140625" style="3" bestFit="1" customWidth="1"/>
    <col min="16" max="17" width="12.140625" style="3" customWidth="1"/>
    <col min="18" max="18" width="9.140625" style="3" bestFit="1"/>
    <col min="19" max="16384" width="9.140625" style="3"/>
  </cols>
  <sheetData>
    <row r="1" spans="1:11" s="1" customFormat="1" ht="24" customHeight="1">
      <c r="A1" s="5" t="s">
        <v>38</v>
      </c>
      <c r="B1" s="5" t="s">
        <v>39</v>
      </c>
      <c r="C1" s="6" t="s">
        <v>40</v>
      </c>
      <c r="D1" s="5" t="s">
        <v>41</v>
      </c>
      <c r="E1" s="5" t="s">
        <v>42</v>
      </c>
      <c r="F1" s="6" t="s">
        <v>43</v>
      </c>
      <c r="G1" s="6" t="s">
        <v>44</v>
      </c>
      <c r="H1" s="7" t="s">
        <v>45</v>
      </c>
      <c r="I1" s="5" t="s">
        <v>46</v>
      </c>
      <c r="J1" s="5" t="s">
        <v>47</v>
      </c>
      <c r="K1" s="5" t="s">
        <v>48</v>
      </c>
    </row>
    <row r="2" spans="1:11" s="2" customFormat="1">
      <c r="A2" s="8"/>
      <c r="B2" s="9">
        <f>IF(ISTEXT(D2),LEFT(D2,1),D2)*IF(ISTEXT(E2),LEFT(E2,1),E2)</f>
        <v>0</v>
      </c>
      <c r="C2" s="10"/>
      <c r="D2" s="11"/>
      <c r="E2" s="11"/>
      <c r="F2" s="10"/>
      <c r="G2" s="10"/>
      <c r="H2" s="12"/>
      <c r="I2" s="10"/>
      <c r="J2" s="13"/>
      <c r="K2" s="10"/>
    </row>
    <row r="3" spans="1:11" s="2" customFormat="1">
      <c r="A3" s="8"/>
      <c r="B3" s="9">
        <f>IF(ISTEXT(D3),LEFT(D3,1),D3)*IF(ISTEXT(E3),LEFT(E3,1),E3)</f>
        <v>0</v>
      </c>
      <c r="C3" s="10"/>
      <c r="D3" s="11"/>
      <c r="E3" s="11"/>
      <c r="F3" s="10"/>
      <c r="G3" s="10"/>
      <c r="H3" s="12"/>
      <c r="I3" s="10"/>
      <c r="J3" s="13"/>
      <c r="K3" s="10"/>
    </row>
    <row r="4" spans="1:11" s="2" customFormat="1"/>
    <row r="5" spans="1:11">
      <c r="B5" s="3"/>
      <c r="D5" s="3"/>
      <c r="E5" s="3"/>
      <c r="H5" s="3"/>
      <c r="I5" s="3"/>
    </row>
  </sheetData>
  <conditionalFormatting sqref="B2">
    <cfRule type="cellIs" dxfId="5" priority="7" stopIfTrue="1" operator="greaterThanOrEqual">
      <formula>15</formula>
    </cfRule>
    <cfRule type="cellIs" dxfId="4" priority="8" stopIfTrue="1" operator="lessThan">
      <formula>6</formula>
    </cfRule>
    <cfRule type="cellIs" dxfId="3" priority="9" stopIfTrue="1" operator="lessThan">
      <formula>15</formula>
    </cfRule>
  </conditionalFormatting>
  <conditionalFormatting sqref="B3">
    <cfRule type="cellIs" dxfId="2" priority="1" stopIfTrue="1" operator="greaterThanOrEqual">
      <formula>15</formula>
    </cfRule>
    <cfRule type="cellIs" dxfId="1" priority="2" stopIfTrue="1" operator="lessThan">
      <formula>6</formula>
    </cfRule>
    <cfRule type="cellIs" dxfId="0" priority="3" stopIfTrue="1" operator="lessThan">
      <formula>15</formula>
    </cfRule>
  </conditionalFormatting>
  <dataValidations count="3">
    <dataValidation type="list" allowBlank="1" showInputMessage="1" showErrorMessage="1" sqref="D2:D3">
      <formula1>"1-Muito Baixa,2-Baixa,3-Média,4-Alta,5-Muito Alta"</formula1>
    </dataValidation>
    <dataValidation type="list" showInputMessage="1" showErrorMessage="1" sqref="E2:E3">
      <formula1>"1-Muito Baixo,2-Baixo,3-Médio,4-Alto,5-Muito Alto"</formula1>
    </dataValidation>
    <dataValidation type="list" allowBlank="1" showInputMessage="1" showErrorMessage="1" sqref="H2:H3">
      <formula1>"Assumir,Mitigar,Transferir,Evitar"</formula1>
    </dataValidation>
  </dataValidations>
  <pageMargins left="0.51" right="0.51" top="0.79" bottom="0.79" header="0.31" footer="0.31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F5557881B1B44A977D46B25010F1CD" ma:contentTypeVersion="2" ma:contentTypeDescription="Create a new document." ma:contentTypeScope="" ma:versionID="9b870f5cc118799fbe340da099c42f46">
  <xsd:schema xmlns:xsd="http://www.w3.org/2001/XMLSchema" xmlns:xs="http://www.w3.org/2001/XMLSchema" xmlns:p="http://schemas.microsoft.com/office/2006/metadata/properties" xmlns:ns2="c1e05764-0987-4e46-8173-22b1b7e8cf48" targetNamespace="http://schemas.microsoft.com/office/2006/metadata/properties" ma:root="true" ma:fieldsID="6881849a6ae0bc39ab107089a67de7ed" ns2:_="">
    <xsd:import namespace="c1e05764-0987-4e46-8173-22b1b7e8cf4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05764-0987-4e46-8173-22b1b7e8cf4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5F0353-9F6C-4387-BF60-1B791007192C}">
  <ds:schemaRefs/>
</ds:datastoreItem>
</file>

<file path=customXml/itemProps2.xml><?xml version="1.0" encoding="utf-8"?>
<ds:datastoreItem xmlns:ds="http://schemas.openxmlformats.org/officeDocument/2006/customXml" ds:itemID="{B4BC2A02-66A9-4FD0-BAEF-8D9CAB2A103F}">
  <ds:schemaRefs/>
</ds:datastoreItem>
</file>

<file path=customXml/itemProps3.xml><?xml version="1.0" encoding="utf-8"?>
<ds:datastoreItem xmlns:ds="http://schemas.openxmlformats.org/officeDocument/2006/customXml" ds:itemID="{E8AFBB33-5A98-4CF0-853E-233CE8744D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RDM</vt:lpstr>
      <vt:lpstr>Riscos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 Henrique Pereira</dc:creator>
  <cp:lastModifiedBy>USER01</cp:lastModifiedBy>
  <cp:lastPrinted>2013-12-05T21:00:00Z</cp:lastPrinted>
  <dcterms:created xsi:type="dcterms:W3CDTF">2013-11-28T22:31:00Z</dcterms:created>
  <dcterms:modified xsi:type="dcterms:W3CDTF">2018-10-17T19:12:54Z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0x010100EEF5557881B1B44A977D46B25010F1CD</vt:lpwstr>
  </property>
  <property fmtid="{D5CDD505-2E9C-101B-9397-08002B2CF9AE}" pid="3" name="KSOProductBuildVer">
    <vt:lpwstr>1046-10.2.0.7478</vt:lpwstr>
  </property>
</Properties>
</file>